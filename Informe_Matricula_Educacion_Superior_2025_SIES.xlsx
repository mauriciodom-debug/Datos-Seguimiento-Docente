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autoCompressPictures="0" defaultThemeVersion="124226"/>
  <mc:AlternateContent xmlns:mc="http://schemas.openxmlformats.org/markup-compatibility/2006">
    <mc:Choice Requires="x15">
      <x15ac:absPath xmlns:x15ac="http://schemas.microsoft.com/office/spreadsheetml/2010/11/ac" url="D:\Documents\2025\Informes\Matrícula\"/>
    </mc:Choice>
  </mc:AlternateContent>
  <xr:revisionPtr revIDLastSave="0" documentId="8_{571ADCDB-98CC-4852-83BA-4928C10CF9A3}" xr6:coauthVersionLast="47" xr6:coauthVersionMax="47" xr10:uidLastSave="{00000000-0000-0000-0000-000000000000}"/>
  <bookViews>
    <workbookView xWindow="-120" yWindow="-120" windowWidth="29040" windowHeight="15720" tabRatio="875" xr2:uid="{00000000-000D-0000-FFFF-FFFF00000000}"/>
  </bookViews>
  <sheets>
    <sheet name="Índice" sheetId="19" r:id="rId1"/>
    <sheet name="Matrícula Total 2025" sheetId="34" r:id="rId2"/>
    <sheet name="Evolución Matrícula Total" sheetId="25" r:id="rId3"/>
    <sheet name="Matrícula Pregrado 2025" sheetId="35" r:id="rId4"/>
    <sheet name="Evolución Matrícula Pregrado" sheetId="36" r:id="rId5"/>
    <sheet name="Matrícula Posgrado 2025" sheetId="29" r:id="rId6"/>
    <sheet name="Evolución Matrícula Posgrado" sheetId="28" r:id="rId7"/>
    <sheet name="Matrícula Postitulo 2025" sheetId="32" r:id="rId8"/>
    <sheet name="Evolución Matrícula Postítulo" sheetId="31" r:id="rId9"/>
    <sheet name="Matrícula PPOO" sheetId="41" r:id="rId10"/>
    <sheet name="Matrícula con Discapacidad" sheetId="40" r:id="rId11"/>
    <sheet name="Listado de instituciones 2025" sheetId="33" r:id="rId12"/>
  </sheets>
  <definedNames>
    <definedName name="_xlnm._FilterDatabase" localSheetId="11" hidden="1">'Listado de instituciones 2025'!$A$3:$F$129</definedName>
    <definedName name="_xlnm._FilterDatabase" localSheetId="10" hidden="1">'Matrícula con Discapacidad'!$A$229:$DU$342</definedName>
    <definedName name="_xlnm._FilterDatabase" localSheetId="9" hidden="1">'Matrícula PPOO'!#REF!</definedName>
    <definedName name="Matricula_Total_2019_por_tipo_de_institución_y_sexo" localSheetId="4">#REF!</definedName>
    <definedName name="Matricula_Total_2019_por_tipo_de_institución_y_sexo" localSheetId="3">#REF!</definedName>
    <definedName name="Matricula_Total_2019_por_tipo_de_institución_y_sexo">'Matrícula Total 2025'!$A$11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2" i="40" l="1"/>
  <c r="I103" i="40"/>
  <c r="I104" i="40"/>
  <c r="I105" i="40"/>
  <c r="I106" i="40"/>
  <c r="I107" i="40"/>
  <c r="I108" i="40"/>
  <c r="I109" i="40"/>
  <c r="I110" i="40"/>
  <c r="I111" i="40"/>
  <c r="I112" i="40"/>
  <c r="I113" i="40"/>
  <c r="I114" i="40"/>
  <c r="I115" i="40"/>
  <c r="I116" i="40"/>
  <c r="I117" i="40"/>
  <c r="I101" i="40"/>
  <c r="J117" i="40"/>
  <c r="H117" i="40"/>
  <c r="G117" i="40"/>
  <c r="J116" i="40"/>
  <c r="H116" i="40"/>
  <c r="G116" i="40"/>
  <c r="J115" i="40"/>
  <c r="H115" i="40"/>
  <c r="G115" i="40"/>
  <c r="J114" i="40"/>
  <c r="H114" i="40"/>
  <c r="G114" i="40"/>
  <c r="J113" i="40"/>
  <c r="H113" i="40"/>
  <c r="G113" i="40"/>
  <c r="J112" i="40"/>
  <c r="H112" i="40"/>
  <c r="G112" i="40"/>
  <c r="J111" i="40"/>
  <c r="H111" i="40"/>
  <c r="G111" i="40"/>
  <c r="J110" i="40"/>
  <c r="H110" i="40"/>
  <c r="G110" i="40"/>
  <c r="J109" i="40"/>
  <c r="H109" i="40"/>
  <c r="G109" i="40"/>
  <c r="J108" i="40"/>
  <c r="H108" i="40"/>
  <c r="G108" i="40"/>
  <c r="J107" i="40"/>
  <c r="H107" i="40"/>
  <c r="G107" i="40"/>
  <c r="J106" i="40"/>
  <c r="H106" i="40"/>
  <c r="G106" i="40"/>
  <c r="J105" i="40"/>
  <c r="H105" i="40"/>
  <c r="G105" i="40"/>
  <c r="J104" i="40"/>
  <c r="H104" i="40"/>
  <c r="G104" i="40"/>
  <c r="J103" i="40"/>
  <c r="H103" i="40"/>
  <c r="G103" i="40"/>
  <c r="J102" i="40"/>
  <c r="H102" i="40"/>
  <c r="G102" i="40"/>
  <c r="J101" i="40"/>
  <c r="H101" i="40"/>
  <c r="G101" i="40"/>
  <c r="J333" i="41"/>
  <c r="I333" i="41"/>
  <c r="L84" i="41"/>
  <c r="L85" i="41"/>
  <c r="N85" i="41" s="1"/>
  <c r="L86" i="41"/>
  <c r="O86" i="41" s="1"/>
  <c r="L87" i="41"/>
  <c r="L88" i="41"/>
  <c r="L89" i="41"/>
  <c r="O89" i="41" s="1"/>
  <c r="L90" i="41"/>
  <c r="L91" i="41"/>
  <c r="N91" i="41" s="1"/>
  <c r="L92" i="41"/>
  <c r="O92" i="41" s="1"/>
  <c r="L93" i="41"/>
  <c r="L83" i="41"/>
  <c r="L70" i="41"/>
  <c r="L71" i="41"/>
  <c r="N71" i="41" s="1"/>
  <c r="L72" i="41"/>
  <c r="O72" i="41" s="1"/>
  <c r="L73" i="41"/>
  <c r="O73" i="41" s="1"/>
  <c r="L74" i="41"/>
  <c r="O74" i="41" s="1"/>
  <c r="L75" i="41"/>
  <c r="L76" i="41"/>
  <c r="L77" i="41"/>
  <c r="N77" i="41" s="1"/>
  <c r="L78" i="41"/>
  <c r="L69" i="41"/>
  <c r="N69" i="41" s="1"/>
  <c r="J83" i="40"/>
  <c r="I83" i="40"/>
  <c r="H83" i="40"/>
  <c r="G83" i="40"/>
  <c r="J82" i="40"/>
  <c r="I82" i="40"/>
  <c r="H82" i="40"/>
  <c r="G82" i="40"/>
  <c r="J81" i="40"/>
  <c r="I81" i="40"/>
  <c r="H81" i="40"/>
  <c r="G81" i="40"/>
  <c r="J80" i="40"/>
  <c r="I80" i="40"/>
  <c r="H80" i="40"/>
  <c r="G80" i="40"/>
  <c r="J79" i="40"/>
  <c r="I79" i="40"/>
  <c r="H79" i="40"/>
  <c r="G79" i="40"/>
  <c r="J78" i="40"/>
  <c r="I78" i="40"/>
  <c r="H78" i="40"/>
  <c r="G78" i="40"/>
  <c r="J77" i="40"/>
  <c r="I77" i="40"/>
  <c r="H77" i="40"/>
  <c r="G77" i="40"/>
  <c r="J76" i="40"/>
  <c r="I76" i="40"/>
  <c r="H76" i="40"/>
  <c r="G76" i="40"/>
  <c r="J75" i="40"/>
  <c r="I75" i="40"/>
  <c r="H75" i="40"/>
  <c r="G75" i="40"/>
  <c r="J74" i="40"/>
  <c r="I74" i="40"/>
  <c r="H74" i="40"/>
  <c r="G74" i="40"/>
  <c r="J73" i="40"/>
  <c r="I73" i="40"/>
  <c r="H73" i="40"/>
  <c r="G73" i="40"/>
  <c r="I88" i="40"/>
  <c r="I89" i="40"/>
  <c r="I90" i="40"/>
  <c r="I91" i="40"/>
  <c r="I92" i="40"/>
  <c r="I93" i="40"/>
  <c r="I94" i="40"/>
  <c r="I95" i="40"/>
  <c r="I96" i="40"/>
  <c r="I97" i="40"/>
  <c r="I87" i="40"/>
  <c r="J97" i="40"/>
  <c r="H97" i="40"/>
  <c r="G97" i="40"/>
  <c r="J96" i="40"/>
  <c r="H96" i="40"/>
  <c r="G96" i="40"/>
  <c r="J95" i="40"/>
  <c r="H95" i="40"/>
  <c r="G95" i="40"/>
  <c r="J94" i="40"/>
  <c r="H94" i="40"/>
  <c r="G94" i="40"/>
  <c r="J93" i="40"/>
  <c r="H93" i="40"/>
  <c r="G93" i="40"/>
  <c r="J92" i="40"/>
  <c r="H92" i="40"/>
  <c r="G92" i="40"/>
  <c r="J91" i="40"/>
  <c r="H91" i="40"/>
  <c r="G91" i="40"/>
  <c r="J90" i="40"/>
  <c r="H90" i="40"/>
  <c r="G90" i="40"/>
  <c r="J89" i="40"/>
  <c r="H89" i="40"/>
  <c r="G89" i="40"/>
  <c r="J88" i="40"/>
  <c r="H88" i="40"/>
  <c r="G88" i="40"/>
  <c r="J87" i="40"/>
  <c r="H87" i="40"/>
  <c r="G87" i="40"/>
  <c r="O93" i="41"/>
  <c r="N93" i="41"/>
  <c r="O91" i="41"/>
  <c r="O90" i="41"/>
  <c r="N90" i="41"/>
  <c r="O88" i="41"/>
  <c r="N88" i="41"/>
  <c r="O87" i="41"/>
  <c r="N87" i="41"/>
  <c r="N86" i="41"/>
  <c r="O85" i="41"/>
  <c r="O84" i="41"/>
  <c r="N84" i="41"/>
  <c r="O83" i="41"/>
  <c r="N83" i="41"/>
  <c r="O79" i="41"/>
  <c r="N79" i="41"/>
  <c r="O78" i="41"/>
  <c r="N78" i="41"/>
  <c r="O77" i="41"/>
  <c r="O76" i="41"/>
  <c r="N76" i="41"/>
  <c r="O75" i="41"/>
  <c r="N75" i="41"/>
  <c r="N72" i="41"/>
  <c r="O71" i="41"/>
  <c r="O70" i="41"/>
  <c r="N70" i="41"/>
  <c r="G97" i="41"/>
  <c r="I60" i="40"/>
  <c r="I61" i="40"/>
  <c r="I62" i="40"/>
  <c r="I63" i="40"/>
  <c r="I64" i="40"/>
  <c r="I65" i="40"/>
  <c r="I66" i="40"/>
  <c r="I67" i="40"/>
  <c r="I68" i="40"/>
  <c r="I69" i="40"/>
  <c r="I59" i="40"/>
  <c r="J69" i="40"/>
  <c r="H69" i="40"/>
  <c r="G69" i="40"/>
  <c r="J68" i="40"/>
  <c r="H68" i="40"/>
  <c r="G68" i="40"/>
  <c r="J67" i="40"/>
  <c r="H67" i="40"/>
  <c r="G67" i="40"/>
  <c r="J66" i="40"/>
  <c r="H66" i="40"/>
  <c r="G66" i="40"/>
  <c r="J65" i="40"/>
  <c r="H65" i="40"/>
  <c r="G65" i="40"/>
  <c r="J64" i="40"/>
  <c r="H64" i="40"/>
  <c r="G64" i="40"/>
  <c r="J63" i="40"/>
  <c r="H63" i="40"/>
  <c r="G63" i="40"/>
  <c r="J62" i="40"/>
  <c r="H62" i="40"/>
  <c r="G62" i="40"/>
  <c r="J61" i="40"/>
  <c r="J60" i="40"/>
  <c r="H60" i="40"/>
  <c r="G60" i="40"/>
  <c r="J59" i="40"/>
  <c r="H59" i="40"/>
  <c r="G59" i="40"/>
  <c r="D286" i="40"/>
  <c r="D246" i="40"/>
  <c r="D289" i="40"/>
  <c r="E301" i="40"/>
  <c r="D311" i="40"/>
  <c r="E313" i="40"/>
  <c r="D318" i="40"/>
  <c r="D319" i="40"/>
  <c r="E325" i="40"/>
  <c r="E337" i="40"/>
  <c r="D348" i="40"/>
  <c r="D349" i="40"/>
  <c r="D354" i="40"/>
  <c r="D355" i="40"/>
  <c r="E359" i="40"/>
  <c r="E361" i="40"/>
  <c r="E365" i="40"/>
  <c r="D367" i="40"/>
  <c r="E371" i="40"/>
  <c r="E248" i="40"/>
  <c r="E258" i="40"/>
  <c r="E259" i="40"/>
  <c r="E260" i="40"/>
  <c r="E270" i="40"/>
  <c r="E271" i="40"/>
  <c r="E272" i="40"/>
  <c r="E282" i="40"/>
  <c r="E283" i="40"/>
  <c r="E284" i="40"/>
  <c r="E294" i="40"/>
  <c r="E295" i="40"/>
  <c r="E296" i="40"/>
  <c r="E306" i="40"/>
  <c r="E307" i="40"/>
  <c r="E308" i="40"/>
  <c r="E318" i="40"/>
  <c r="E319" i="40"/>
  <c r="E320" i="40"/>
  <c r="E330" i="40"/>
  <c r="E331" i="40"/>
  <c r="E332" i="40"/>
  <c r="E342" i="40"/>
  <c r="E343" i="40"/>
  <c r="E344" i="40"/>
  <c r="E354" i="40"/>
  <c r="E355" i="40"/>
  <c r="E356" i="40"/>
  <c r="E366" i="40"/>
  <c r="E368" i="40"/>
  <c r="D370" i="40"/>
  <c r="D368" i="40"/>
  <c r="D366" i="40"/>
  <c r="D365" i="40"/>
  <c r="D364" i="40"/>
  <c r="D362" i="40"/>
  <c r="D360" i="40"/>
  <c r="D359" i="40"/>
  <c r="D358" i="40"/>
  <c r="D356" i="40"/>
  <c r="D353" i="40"/>
  <c r="D352" i="40"/>
  <c r="D350" i="40"/>
  <c r="D346" i="40"/>
  <c r="D344" i="40"/>
  <c r="D343" i="40"/>
  <c r="D342" i="40"/>
  <c r="D340" i="40"/>
  <c r="D338" i="40"/>
  <c r="D337" i="40"/>
  <c r="D336" i="40"/>
  <c r="D335" i="40"/>
  <c r="D334" i="40"/>
  <c r="D332" i="40"/>
  <c r="D331" i="40"/>
  <c r="D330" i="40"/>
  <c r="D329" i="40"/>
  <c r="D328" i="40"/>
  <c r="D326" i="40"/>
  <c r="D324" i="40"/>
  <c r="D323" i="40"/>
  <c r="D322" i="40"/>
  <c r="D320" i="40"/>
  <c r="D317" i="40"/>
  <c r="D316" i="40"/>
  <c r="D314" i="40"/>
  <c r="D313" i="40"/>
  <c r="D312" i="40"/>
  <c r="D310" i="40"/>
  <c r="D308" i="40"/>
  <c r="D307" i="40"/>
  <c r="D306" i="40"/>
  <c r="D304" i="40"/>
  <c r="D302" i="40"/>
  <c r="D301" i="40"/>
  <c r="D300" i="40"/>
  <c r="D299" i="40"/>
  <c r="D298" i="40"/>
  <c r="D296" i="40"/>
  <c r="D295" i="40"/>
  <c r="D294" i="40"/>
  <c r="D293" i="40"/>
  <c r="D292" i="40"/>
  <c r="D290" i="40"/>
  <c r="D288" i="40"/>
  <c r="D287" i="40"/>
  <c r="D284" i="40"/>
  <c r="D283" i="40"/>
  <c r="D282" i="40"/>
  <c r="D281" i="40"/>
  <c r="D280" i="40"/>
  <c r="D278" i="40"/>
  <c r="D277" i="40"/>
  <c r="D276" i="40"/>
  <c r="D274" i="40"/>
  <c r="D272" i="40"/>
  <c r="D271" i="40"/>
  <c r="D270" i="40"/>
  <c r="D268" i="40"/>
  <c r="D266" i="40"/>
  <c r="D265" i="40"/>
  <c r="D264" i="40"/>
  <c r="D263" i="40"/>
  <c r="D262" i="40"/>
  <c r="D260" i="40"/>
  <c r="D259" i="40"/>
  <c r="D258" i="40"/>
  <c r="D257" i="40"/>
  <c r="D256" i="40"/>
  <c r="D254" i="40"/>
  <c r="D253" i="40"/>
  <c r="D252" i="40"/>
  <c r="D251" i="40"/>
  <c r="D250" i="40"/>
  <c r="D248" i="40"/>
  <c r="J222" i="40"/>
  <c r="I222" i="40"/>
  <c r="H222" i="40"/>
  <c r="G222" i="40"/>
  <c r="J221" i="40"/>
  <c r="I221" i="40"/>
  <c r="H221" i="40"/>
  <c r="G221" i="40"/>
  <c r="J220" i="40"/>
  <c r="I220" i="40"/>
  <c r="H220" i="40"/>
  <c r="G220" i="40"/>
  <c r="J219" i="40"/>
  <c r="I219" i="40"/>
  <c r="H219" i="40"/>
  <c r="G219" i="40"/>
  <c r="J218" i="40"/>
  <c r="I218" i="40"/>
  <c r="H218" i="40"/>
  <c r="G218" i="40"/>
  <c r="J217" i="40"/>
  <c r="I217" i="40"/>
  <c r="H217" i="40"/>
  <c r="G217" i="40"/>
  <c r="J216" i="40"/>
  <c r="I216" i="40"/>
  <c r="H216" i="40"/>
  <c r="G216" i="40"/>
  <c r="J215" i="40"/>
  <c r="I215" i="40"/>
  <c r="H215" i="40"/>
  <c r="G215" i="40"/>
  <c r="J214" i="40"/>
  <c r="I214" i="40"/>
  <c r="H214" i="40"/>
  <c r="G214" i="40"/>
  <c r="J213" i="40"/>
  <c r="I213" i="40"/>
  <c r="H213" i="40"/>
  <c r="G213" i="40"/>
  <c r="J182" i="40"/>
  <c r="I182" i="40"/>
  <c r="H182" i="40"/>
  <c r="G182" i="40"/>
  <c r="J181" i="40"/>
  <c r="I181" i="40"/>
  <c r="H181" i="40"/>
  <c r="G181" i="40"/>
  <c r="J180" i="40"/>
  <c r="I180" i="40"/>
  <c r="H180" i="40"/>
  <c r="G180" i="40"/>
  <c r="J179" i="40"/>
  <c r="I179" i="40"/>
  <c r="H179" i="40"/>
  <c r="G179" i="40"/>
  <c r="J178" i="40"/>
  <c r="I178" i="40"/>
  <c r="H178" i="40"/>
  <c r="G178" i="40"/>
  <c r="J177" i="40"/>
  <c r="I177" i="40"/>
  <c r="H177" i="40"/>
  <c r="G177" i="40"/>
  <c r="J176" i="40"/>
  <c r="I176" i="40"/>
  <c r="H176" i="40"/>
  <c r="G176" i="40"/>
  <c r="I207" i="40"/>
  <c r="I208" i="40"/>
  <c r="I209" i="40"/>
  <c r="I206" i="40"/>
  <c r="J209" i="40"/>
  <c r="H209" i="40"/>
  <c r="G209" i="40"/>
  <c r="J208" i="40"/>
  <c r="H208" i="40"/>
  <c r="G208" i="40"/>
  <c r="J207" i="40"/>
  <c r="H207" i="40"/>
  <c r="G207" i="40"/>
  <c r="J206" i="40"/>
  <c r="H206" i="40"/>
  <c r="G206" i="40"/>
  <c r="I171" i="40"/>
  <c r="I172" i="40"/>
  <c r="I170" i="40"/>
  <c r="J172" i="40"/>
  <c r="H172" i="40"/>
  <c r="G172" i="40"/>
  <c r="J171" i="40"/>
  <c r="H171" i="40"/>
  <c r="G171" i="40"/>
  <c r="J170" i="40"/>
  <c r="H170" i="40"/>
  <c r="G170" i="40"/>
  <c r="I227" i="40"/>
  <c r="I228" i="40"/>
  <c r="I229" i="40"/>
  <c r="I230" i="40"/>
  <c r="I231" i="40"/>
  <c r="I232" i="40"/>
  <c r="I233" i="40"/>
  <c r="I234" i="40"/>
  <c r="I235" i="40"/>
  <c r="I236" i="40"/>
  <c r="I237" i="40"/>
  <c r="I238" i="40"/>
  <c r="I239" i="40"/>
  <c r="I240" i="40"/>
  <c r="I241" i="40"/>
  <c r="I242" i="40"/>
  <c r="I226" i="40"/>
  <c r="J242" i="40"/>
  <c r="H242" i="40"/>
  <c r="G242" i="40"/>
  <c r="J241" i="40"/>
  <c r="J240" i="40"/>
  <c r="J239" i="40"/>
  <c r="J238" i="40"/>
  <c r="H238" i="40"/>
  <c r="G238" i="40"/>
  <c r="J237" i="40"/>
  <c r="H237" i="40"/>
  <c r="G237" i="40"/>
  <c r="J236" i="40"/>
  <c r="H236" i="40"/>
  <c r="G236" i="40"/>
  <c r="J235" i="40"/>
  <c r="H235" i="40"/>
  <c r="J234" i="40"/>
  <c r="H234" i="40"/>
  <c r="G234" i="40"/>
  <c r="J233" i="40"/>
  <c r="J232" i="40"/>
  <c r="H232" i="40"/>
  <c r="G232" i="40"/>
  <c r="J231" i="40"/>
  <c r="H231" i="40"/>
  <c r="G231" i="40"/>
  <c r="J230" i="40"/>
  <c r="H230" i="40"/>
  <c r="G230" i="40"/>
  <c r="J229" i="40"/>
  <c r="G229" i="40"/>
  <c r="J228" i="40"/>
  <c r="J227" i="40"/>
  <c r="G227" i="40"/>
  <c r="J226" i="40"/>
  <c r="I187" i="40"/>
  <c r="I188" i="40"/>
  <c r="I189" i="40"/>
  <c r="I190" i="40"/>
  <c r="I191" i="40"/>
  <c r="I192" i="40"/>
  <c r="I193" i="40"/>
  <c r="I194" i="40"/>
  <c r="I195" i="40"/>
  <c r="I196" i="40"/>
  <c r="I197" i="40"/>
  <c r="I198" i="40"/>
  <c r="I199" i="40"/>
  <c r="I200" i="40"/>
  <c r="I201" i="40"/>
  <c r="I202" i="40"/>
  <c r="I186" i="40"/>
  <c r="J202" i="40"/>
  <c r="H202" i="40"/>
  <c r="G202" i="40"/>
  <c r="J201" i="40"/>
  <c r="H201" i="40"/>
  <c r="J200" i="40"/>
  <c r="J199" i="40"/>
  <c r="H199" i="40"/>
  <c r="G199" i="40"/>
  <c r="J198" i="40"/>
  <c r="H198" i="40"/>
  <c r="G198" i="40"/>
  <c r="J197" i="40"/>
  <c r="H197" i="40"/>
  <c r="G197" i="40"/>
  <c r="J196" i="40"/>
  <c r="H196" i="40"/>
  <c r="G196" i="40"/>
  <c r="J195" i="40"/>
  <c r="H195" i="40"/>
  <c r="G195" i="40"/>
  <c r="J194" i="40"/>
  <c r="H194" i="40"/>
  <c r="G194" i="40"/>
  <c r="J193" i="40"/>
  <c r="J192" i="40"/>
  <c r="H192" i="40"/>
  <c r="G192" i="40"/>
  <c r="J191" i="40"/>
  <c r="H191" i="40"/>
  <c r="G191" i="40"/>
  <c r="J190" i="40"/>
  <c r="H190" i="40"/>
  <c r="G190" i="40"/>
  <c r="J189" i="40"/>
  <c r="J188" i="40"/>
  <c r="H188" i="40"/>
  <c r="G188" i="40"/>
  <c r="J187" i="40"/>
  <c r="G187" i="40"/>
  <c r="J186" i="40"/>
  <c r="J166" i="40"/>
  <c r="I166" i="40"/>
  <c r="H166" i="40"/>
  <c r="G166" i="40"/>
  <c r="J165" i="40"/>
  <c r="I165" i="40"/>
  <c r="H165" i="40"/>
  <c r="G165" i="40"/>
  <c r="J164" i="40"/>
  <c r="I164" i="40"/>
  <c r="H164" i="40"/>
  <c r="G164" i="40"/>
  <c r="J163" i="40"/>
  <c r="I163" i="40"/>
  <c r="H163" i="40"/>
  <c r="G163" i="40"/>
  <c r="J162" i="40"/>
  <c r="I162" i="40"/>
  <c r="H162" i="40"/>
  <c r="G162" i="40"/>
  <c r="J161" i="40"/>
  <c r="I161" i="40"/>
  <c r="H161" i="40"/>
  <c r="G161" i="40"/>
  <c r="J160" i="40"/>
  <c r="I160" i="40"/>
  <c r="H160" i="40"/>
  <c r="G160" i="40"/>
  <c r="J159" i="40"/>
  <c r="I159" i="40"/>
  <c r="H159" i="40"/>
  <c r="G159" i="40"/>
  <c r="J158" i="40"/>
  <c r="I158" i="40"/>
  <c r="H158" i="40"/>
  <c r="G158" i="40"/>
  <c r="J157" i="40"/>
  <c r="I157" i="40"/>
  <c r="H157" i="40"/>
  <c r="G157" i="40"/>
  <c r="J156" i="40"/>
  <c r="I156" i="40"/>
  <c r="H156" i="40"/>
  <c r="G156" i="40"/>
  <c r="J155" i="40"/>
  <c r="I155" i="40"/>
  <c r="H155" i="40"/>
  <c r="G155" i="40"/>
  <c r="J154" i="40"/>
  <c r="I154" i="40"/>
  <c r="H154" i="40"/>
  <c r="G154" i="40"/>
  <c r="J153" i="40"/>
  <c r="I153" i="40"/>
  <c r="H153" i="40"/>
  <c r="G153" i="40"/>
  <c r="J152" i="40"/>
  <c r="I152" i="40"/>
  <c r="H152" i="40"/>
  <c r="G152" i="40"/>
  <c r="J151" i="40"/>
  <c r="I151" i="40"/>
  <c r="H151" i="40"/>
  <c r="G151" i="40"/>
  <c r="J150" i="40"/>
  <c r="I150" i="40"/>
  <c r="H150" i="40"/>
  <c r="G150" i="40"/>
  <c r="J146" i="40"/>
  <c r="I146" i="40"/>
  <c r="H146" i="40"/>
  <c r="G146" i="40"/>
  <c r="J145" i="40"/>
  <c r="I145" i="40"/>
  <c r="H145" i="40"/>
  <c r="G145" i="40"/>
  <c r="J144" i="40"/>
  <c r="I144" i="40"/>
  <c r="H144" i="40"/>
  <c r="G144" i="40"/>
  <c r="J143" i="40"/>
  <c r="I143" i="40"/>
  <c r="H143" i="40"/>
  <c r="G143" i="40"/>
  <c r="J142" i="40"/>
  <c r="I142" i="40"/>
  <c r="J141" i="40"/>
  <c r="I141" i="40"/>
  <c r="H141" i="40"/>
  <c r="G141" i="40"/>
  <c r="J140" i="40"/>
  <c r="I140" i="40"/>
  <c r="H140" i="40"/>
  <c r="G140" i="40"/>
  <c r="J139" i="40"/>
  <c r="I139" i="40"/>
  <c r="H139" i="40"/>
  <c r="G139" i="40"/>
  <c r="J138" i="40"/>
  <c r="I138" i="40"/>
  <c r="H138" i="40"/>
  <c r="G138" i="40"/>
  <c r="J137" i="40"/>
  <c r="I137" i="40"/>
  <c r="H137" i="40"/>
  <c r="G137" i="40"/>
  <c r="J136" i="40"/>
  <c r="I136" i="40"/>
  <c r="H136" i="40"/>
  <c r="G136" i="40"/>
  <c r="J122" i="40"/>
  <c r="J123" i="40"/>
  <c r="J124" i="40"/>
  <c r="J125" i="40"/>
  <c r="J126" i="40"/>
  <c r="J127" i="40"/>
  <c r="J128" i="40"/>
  <c r="J129" i="40"/>
  <c r="J130" i="40"/>
  <c r="J131" i="40"/>
  <c r="J132" i="40"/>
  <c r="J121" i="40"/>
  <c r="I122" i="40"/>
  <c r="I123" i="40"/>
  <c r="I124" i="40"/>
  <c r="I125" i="40"/>
  <c r="I126" i="40"/>
  <c r="I127" i="40"/>
  <c r="I128" i="40"/>
  <c r="I129" i="40"/>
  <c r="I130" i="40"/>
  <c r="I131" i="40"/>
  <c r="I132" i="40"/>
  <c r="I121" i="40"/>
  <c r="H122" i="40"/>
  <c r="H123" i="40"/>
  <c r="H124" i="40"/>
  <c r="H125" i="40"/>
  <c r="H126" i="40"/>
  <c r="H127" i="40"/>
  <c r="H128" i="40"/>
  <c r="H129" i="40"/>
  <c r="H130" i="40"/>
  <c r="H131" i="40"/>
  <c r="H132" i="40"/>
  <c r="H121" i="40"/>
  <c r="G122" i="40"/>
  <c r="G123" i="40"/>
  <c r="G124" i="40"/>
  <c r="G125" i="40"/>
  <c r="G126" i="40"/>
  <c r="G127" i="40"/>
  <c r="G128" i="40"/>
  <c r="G129" i="40"/>
  <c r="G130" i="40"/>
  <c r="G131" i="40"/>
  <c r="G132" i="40"/>
  <c r="G121" i="40"/>
  <c r="N92" i="41" l="1"/>
  <c r="N89" i="41"/>
  <c r="N73" i="41"/>
  <c r="N74" i="41"/>
  <c r="O69" i="41"/>
  <c r="E247" i="40"/>
  <c r="E251" i="40"/>
  <c r="E347" i="40"/>
  <c r="E335" i="40"/>
  <c r="E323" i="40"/>
  <c r="E317" i="40"/>
  <c r="E305" i="40"/>
  <c r="E299" i="40"/>
  <c r="E293" i="40"/>
  <c r="E287" i="40"/>
  <c r="E275" i="40"/>
  <c r="E269" i="40"/>
  <c r="E257" i="40"/>
  <c r="D275" i="40"/>
  <c r="D325" i="40"/>
  <c r="D347" i="40"/>
  <c r="D361" i="40"/>
  <c r="E362" i="40"/>
  <c r="E350" i="40"/>
  <c r="E338" i="40"/>
  <c r="E326" i="40"/>
  <c r="E314" i="40"/>
  <c r="E302" i="40"/>
  <c r="E290" i="40"/>
  <c r="E278" i="40"/>
  <c r="E266" i="40"/>
  <c r="E254" i="40"/>
  <c r="E370" i="40"/>
  <c r="E364" i="40"/>
  <c r="E358" i="40"/>
  <c r="E352" i="40"/>
  <c r="E346" i="40"/>
  <c r="E340" i="40"/>
  <c r="E334" i="40"/>
  <c r="E328" i="40"/>
  <c r="E322" i="40"/>
  <c r="E316" i="40"/>
  <c r="E310" i="40"/>
  <c r="E304" i="40"/>
  <c r="E298" i="40"/>
  <c r="E292" i="40"/>
  <c r="E286" i="40"/>
  <c r="E280" i="40"/>
  <c r="E274" i="40"/>
  <c r="E268" i="40"/>
  <c r="E262" i="40"/>
  <c r="E256" i="40"/>
  <c r="E250" i="40"/>
  <c r="E367" i="40"/>
  <c r="E353" i="40"/>
  <c r="E341" i="40"/>
  <c r="E329" i="40"/>
  <c r="E311" i="40"/>
  <c r="E281" i="40"/>
  <c r="E263" i="40"/>
  <c r="D269" i="40"/>
  <c r="D305" i="40"/>
  <c r="D341" i="40"/>
  <c r="D371" i="40"/>
  <c r="E349" i="40"/>
  <c r="E289" i="40"/>
  <c r="E277" i="40"/>
  <c r="E265" i="40"/>
  <c r="E253" i="40"/>
  <c r="E369" i="40"/>
  <c r="E363" i="40"/>
  <c r="E357" i="40"/>
  <c r="E351" i="40"/>
  <c r="E345" i="40"/>
  <c r="E339" i="40"/>
  <c r="E333" i="40"/>
  <c r="E327" i="40"/>
  <c r="E321" i="40"/>
  <c r="E315" i="40"/>
  <c r="E309" i="40"/>
  <c r="E303" i="40"/>
  <c r="E297" i="40"/>
  <c r="E291" i="40"/>
  <c r="E285" i="40"/>
  <c r="E279" i="40"/>
  <c r="E273" i="40"/>
  <c r="E267" i="40"/>
  <c r="E261" i="40"/>
  <c r="E255" i="40"/>
  <c r="E249" i="40"/>
  <c r="E246" i="40"/>
  <c r="E360" i="40"/>
  <c r="E348" i="40"/>
  <c r="E336" i="40"/>
  <c r="E324" i="40"/>
  <c r="E312" i="40"/>
  <c r="E300" i="40"/>
  <c r="E288" i="40"/>
  <c r="E276" i="40"/>
  <c r="E264" i="40"/>
  <c r="E252" i="40"/>
  <c r="D249" i="40"/>
  <c r="D255" i="40"/>
  <c r="D261" i="40"/>
  <c r="D267" i="40"/>
  <c r="D273" i="40"/>
  <c r="D279" i="40"/>
  <c r="D285" i="40"/>
  <c r="D291" i="40"/>
  <c r="D297" i="40"/>
  <c r="D303" i="40"/>
  <c r="D309" i="40"/>
  <c r="D315" i="40"/>
  <c r="D321" i="40"/>
  <c r="D327" i="40"/>
  <c r="D333" i="40"/>
  <c r="D339" i="40"/>
  <c r="D345" i="40"/>
  <c r="D351" i="40"/>
  <c r="D357" i="40"/>
  <c r="D363" i="40"/>
  <c r="D369" i="40"/>
  <c r="D247" i="40"/>
  <c r="Y262" i="36"/>
  <c r="Y261" i="36"/>
  <c r="Y353" i="36" l="1"/>
  <c r="Y354" i="36"/>
  <c r="Y355" i="36"/>
  <c r="Y356" i="36"/>
  <c r="Y357" i="36"/>
  <c r="Y358" i="36"/>
  <c r="Y359" i="36"/>
  <c r="Y360" i="36"/>
  <c r="Y361" i="36"/>
  <c r="Y362" i="36"/>
  <c r="Y363" i="36"/>
  <c r="Y364" i="36"/>
  <c r="Y365" i="36"/>
  <c r="Y366" i="36"/>
  <c r="Y367" i="36"/>
  <c r="Y368" i="36"/>
  <c r="Y369" i="36"/>
  <c r="Y370" i="36"/>
  <c r="Y371" i="36"/>
  <c r="D428" i="41"/>
  <c r="D429" i="41"/>
  <c r="D430" i="41"/>
  <c r="D431" i="41"/>
  <c r="D432" i="41"/>
  <c r="D433" i="41"/>
  <c r="E379" i="41"/>
  <c r="E380" i="41"/>
  <c r="E381" i="41"/>
  <c r="E382" i="41"/>
  <c r="E383" i="41"/>
  <c r="E384" i="41"/>
  <c r="E385" i="41"/>
  <c r="E386" i="41"/>
  <c r="E387" i="41"/>
  <c r="E388" i="41"/>
  <c r="E389" i="41"/>
  <c r="E390" i="41"/>
  <c r="E391" i="41"/>
  <c r="E392" i="41"/>
  <c r="E393" i="41"/>
  <c r="E394" i="41"/>
  <c r="E395" i="41"/>
  <c r="E396" i="41"/>
  <c r="E397" i="41"/>
  <c r="E398" i="41"/>
  <c r="E399" i="41"/>
  <c r="E400" i="41"/>
  <c r="E401" i="41"/>
  <c r="E402" i="41"/>
  <c r="E403" i="41"/>
  <c r="E404" i="41"/>
  <c r="E405" i="41"/>
  <c r="E406" i="41"/>
  <c r="E407" i="41"/>
  <c r="E408" i="41"/>
  <c r="E409" i="41"/>
  <c r="E410" i="41"/>
  <c r="E411" i="41"/>
  <c r="E412" i="41"/>
  <c r="E413" i="41"/>
  <c r="E414" i="41"/>
  <c r="E415" i="41"/>
  <c r="E416" i="41"/>
  <c r="E417" i="41"/>
  <c r="E418" i="41"/>
  <c r="E419" i="41"/>
  <c r="E420" i="41"/>
  <c r="E421" i="41"/>
  <c r="E422" i="41"/>
  <c r="E423" i="41"/>
  <c r="E424" i="41"/>
  <c r="E425" i="41"/>
  <c r="E426" i="41"/>
  <c r="E427" i="41"/>
  <c r="E428" i="41"/>
  <c r="E429" i="41"/>
  <c r="E430" i="41"/>
  <c r="E431" i="41"/>
  <c r="E432" i="41"/>
  <c r="E433" i="41"/>
  <c r="E434" i="41"/>
  <c r="E435" i="41"/>
  <c r="E436" i="41"/>
  <c r="E437" i="41"/>
  <c r="E438" i="41"/>
  <c r="E439" i="41"/>
  <c r="E440" i="41"/>
  <c r="E441" i="41"/>
  <c r="E442" i="41"/>
  <c r="E443" i="41"/>
  <c r="E444" i="41"/>
  <c r="E445" i="41"/>
  <c r="E446" i="41"/>
  <c r="E447" i="41"/>
  <c r="E448" i="41"/>
  <c r="E449" i="41"/>
  <c r="E450" i="41"/>
  <c r="E451" i="41"/>
  <c r="E452" i="41"/>
  <c r="E453" i="41"/>
  <c r="E454" i="41"/>
  <c r="E455" i="41"/>
  <c r="E456" i="41"/>
  <c r="E457" i="41"/>
  <c r="E458" i="41"/>
  <c r="E459" i="41"/>
  <c r="E460" i="41"/>
  <c r="E461" i="41"/>
  <c r="E462" i="41"/>
  <c r="E463" i="41"/>
  <c r="E464" i="41"/>
  <c r="E465" i="41"/>
  <c r="E466" i="41"/>
  <c r="E467" i="41"/>
  <c r="E468" i="41"/>
  <c r="E469" i="41"/>
  <c r="E470" i="41"/>
  <c r="E471" i="41"/>
  <c r="E472" i="41"/>
  <c r="E473" i="41"/>
  <c r="E474" i="41"/>
  <c r="E475" i="41"/>
  <c r="E476" i="41"/>
  <c r="E477" i="41"/>
  <c r="E478" i="41"/>
  <c r="E479" i="41"/>
  <c r="E480" i="41"/>
  <c r="E481" i="41"/>
  <c r="E482" i="41"/>
  <c r="E483" i="41"/>
  <c r="E484" i="41"/>
  <c r="E485" i="41"/>
  <c r="E486" i="41"/>
  <c r="E487" i="41"/>
  <c r="E488" i="41"/>
  <c r="E489" i="41"/>
  <c r="E490" i="41"/>
  <c r="E491" i="41"/>
  <c r="E492" i="41"/>
  <c r="E493" i="41"/>
  <c r="E494" i="41"/>
  <c r="E495" i="41"/>
  <c r="E496" i="41"/>
  <c r="E497" i="41"/>
  <c r="E498" i="41"/>
  <c r="E499" i="41"/>
  <c r="E500" i="41"/>
  <c r="E501" i="41"/>
  <c r="E502" i="41"/>
  <c r="E503" i="41"/>
  <c r="E378" i="41"/>
  <c r="G219" i="41"/>
  <c r="H219" i="41"/>
  <c r="I219" i="41"/>
  <c r="J219" i="41"/>
  <c r="J220" i="41"/>
  <c r="I220" i="41"/>
  <c r="H220" i="41"/>
  <c r="G220" i="41"/>
  <c r="J218" i="41"/>
  <c r="I218" i="41"/>
  <c r="H218" i="41"/>
  <c r="G218" i="41"/>
  <c r="J217" i="41"/>
  <c r="I217" i="41"/>
  <c r="H217" i="41"/>
  <c r="G217" i="41"/>
  <c r="J216" i="41"/>
  <c r="I216" i="41"/>
  <c r="H216" i="41"/>
  <c r="G216" i="41"/>
  <c r="J215" i="41"/>
  <c r="I215" i="41"/>
  <c r="H215" i="41"/>
  <c r="G215" i="41"/>
  <c r="J214" i="41"/>
  <c r="I214" i="41"/>
  <c r="H214" i="41"/>
  <c r="G214" i="41"/>
  <c r="J213" i="41"/>
  <c r="I213" i="41"/>
  <c r="H213" i="41"/>
  <c r="G213" i="41"/>
  <c r="J212" i="41"/>
  <c r="I212" i="41"/>
  <c r="H212" i="41"/>
  <c r="G212" i="41"/>
  <c r="J211" i="41"/>
  <c r="I211" i="41"/>
  <c r="H211" i="41"/>
  <c r="G211" i="41"/>
  <c r="J210" i="41"/>
  <c r="I210" i="41"/>
  <c r="H210" i="41"/>
  <c r="G210" i="41"/>
  <c r="J235" i="41"/>
  <c r="I235" i="41"/>
  <c r="H235" i="41"/>
  <c r="G235" i="41"/>
  <c r="J234" i="41"/>
  <c r="I234" i="41"/>
  <c r="H234" i="41"/>
  <c r="G234" i="41"/>
  <c r="J233" i="41"/>
  <c r="I233" i="41"/>
  <c r="H233" i="41"/>
  <c r="G233" i="41"/>
  <c r="J232" i="41"/>
  <c r="I232" i="41"/>
  <c r="H232" i="41"/>
  <c r="G232" i="41"/>
  <c r="J231" i="41"/>
  <c r="I231" i="41"/>
  <c r="H231" i="41"/>
  <c r="G231" i="41"/>
  <c r="J230" i="41"/>
  <c r="I230" i="41"/>
  <c r="H230" i="41"/>
  <c r="G230" i="41"/>
  <c r="J229" i="41"/>
  <c r="I229" i="41"/>
  <c r="H229" i="41"/>
  <c r="G229" i="41"/>
  <c r="J228" i="41"/>
  <c r="I228" i="41"/>
  <c r="H228" i="41"/>
  <c r="G228" i="41"/>
  <c r="J227" i="41"/>
  <c r="I227" i="41"/>
  <c r="H227" i="41"/>
  <c r="G227" i="41"/>
  <c r="J226" i="41"/>
  <c r="I226" i="41"/>
  <c r="H226" i="41"/>
  <c r="G226" i="41"/>
  <c r="J225" i="41"/>
  <c r="I225" i="41"/>
  <c r="H225" i="41"/>
  <c r="G225" i="41"/>
  <c r="J224" i="41"/>
  <c r="I224" i="41"/>
  <c r="H224" i="41"/>
  <c r="G224" i="41"/>
  <c r="J251" i="41"/>
  <c r="I251" i="41"/>
  <c r="H251" i="41"/>
  <c r="G251" i="41"/>
  <c r="J250" i="41"/>
  <c r="I250" i="41"/>
  <c r="H250" i="41"/>
  <c r="J249" i="41"/>
  <c r="I249" i="41"/>
  <c r="H249" i="41"/>
  <c r="G249" i="41"/>
  <c r="J248" i="41"/>
  <c r="I248" i="41"/>
  <c r="H248" i="41"/>
  <c r="G248" i="41"/>
  <c r="J247" i="41"/>
  <c r="I247" i="41"/>
  <c r="H247" i="41"/>
  <c r="G247" i="41"/>
  <c r="J246" i="41"/>
  <c r="I246" i="41"/>
  <c r="J245" i="41"/>
  <c r="I245" i="41"/>
  <c r="H245" i="41"/>
  <c r="G245" i="41"/>
  <c r="J244" i="41"/>
  <c r="I244" i="41"/>
  <c r="H244" i="41"/>
  <c r="G244" i="41"/>
  <c r="J243" i="41"/>
  <c r="I243" i="41"/>
  <c r="H243" i="41"/>
  <c r="G243" i="41"/>
  <c r="J242" i="41"/>
  <c r="I242" i="41"/>
  <c r="J241" i="41"/>
  <c r="I241" i="41"/>
  <c r="H241" i="41"/>
  <c r="G241" i="41"/>
  <c r="J240" i="41"/>
  <c r="I240" i="41"/>
  <c r="H240" i="41"/>
  <c r="G240" i="41"/>
  <c r="J239" i="41"/>
  <c r="I239" i="41"/>
  <c r="H239" i="41"/>
  <c r="G239" i="41"/>
  <c r="J284" i="41"/>
  <c r="I284" i="41"/>
  <c r="H284" i="41"/>
  <c r="G284" i="41"/>
  <c r="J283" i="41"/>
  <c r="I283" i="41"/>
  <c r="H283" i="41"/>
  <c r="G283" i="41"/>
  <c r="J282" i="41"/>
  <c r="I282" i="41"/>
  <c r="H282" i="41"/>
  <c r="G282" i="41"/>
  <c r="J281" i="41"/>
  <c r="I281" i="41"/>
  <c r="H281" i="41"/>
  <c r="G281" i="41"/>
  <c r="J280" i="41"/>
  <c r="I280" i="41"/>
  <c r="H280" i="41"/>
  <c r="J279" i="41"/>
  <c r="I279" i="41"/>
  <c r="H279" i="41"/>
  <c r="G279" i="41"/>
  <c r="J278" i="41"/>
  <c r="I278" i="41"/>
  <c r="H278" i="41"/>
  <c r="G278" i="41"/>
  <c r="J277" i="41"/>
  <c r="I277" i="41"/>
  <c r="H277" i="41"/>
  <c r="G277" i="41"/>
  <c r="J276" i="41"/>
  <c r="I276" i="41"/>
  <c r="H276" i="41"/>
  <c r="G276" i="41"/>
  <c r="J275" i="41"/>
  <c r="I275" i="41"/>
  <c r="H275" i="41"/>
  <c r="G275" i="41"/>
  <c r="J290" i="41"/>
  <c r="I290" i="41"/>
  <c r="H290" i="41"/>
  <c r="G290" i="41"/>
  <c r="J289" i="41"/>
  <c r="I289" i="41"/>
  <c r="H289" i="41"/>
  <c r="G289" i="41"/>
  <c r="J288" i="41"/>
  <c r="I288" i="41"/>
  <c r="H288" i="41"/>
  <c r="G288" i="41"/>
  <c r="J300" i="41"/>
  <c r="I300" i="41"/>
  <c r="H300" i="41"/>
  <c r="G300" i="41"/>
  <c r="J299" i="41"/>
  <c r="I299" i="41"/>
  <c r="H299" i="41"/>
  <c r="G299" i="41"/>
  <c r="J298" i="41"/>
  <c r="I298" i="41"/>
  <c r="H298" i="41"/>
  <c r="G298" i="41"/>
  <c r="J297" i="41"/>
  <c r="I297" i="41"/>
  <c r="H297" i="41"/>
  <c r="G297" i="41"/>
  <c r="J296" i="41"/>
  <c r="I296" i="41"/>
  <c r="H296" i="41"/>
  <c r="G296" i="41"/>
  <c r="J295" i="41"/>
  <c r="I295" i="41"/>
  <c r="H295" i="41"/>
  <c r="G295" i="41"/>
  <c r="J294" i="41"/>
  <c r="I294" i="41"/>
  <c r="H294" i="41"/>
  <c r="G294" i="41"/>
  <c r="J334" i="41"/>
  <c r="I334" i="41"/>
  <c r="H334" i="41"/>
  <c r="G334" i="41"/>
  <c r="J332" i="41"/>
  <c r="I332" i="41"/>
  <c r="H332" i="41"/>
  <c r="G332" i="41"/>
  <c r="J331" i="41"/>
  <c r="I331" i="41"/>
  <c r="H331" i="41"/>
  <c r="G331" i="41"/>
  <c r="J330" i="41"/>
  <c r="I330" i="41"/>
  <c r="H330" i="41"/>
  <c r="G330" i="41"/>
  <c r="J329" i="41"/>
  <c r="I329" i="41"/>
  <c r="J328" i="41"/>
  <c r="I328" i="41"/>
  <c r="H328" i="41"/>
  <c r="G328" i="41"/>
  <c r="J327" i="41"/>
  <c r="I327" i="41"/>
  <c r="H327" i="41"/>
  <c r="G327" i="41"/>
  <c r="J326" i="41"/>
  <c r="I326" i="41"/>
  <c r="H326" i="41"/>
  <c r="G326" i="41"/>
  <c r="J325" i="41"/>
  <c r="I325" i="41"/>
  <c r="H325" i="41"/>
  <c r="G325" i="41"/>
  <c r="J324" i="41"/>
  <c r="I324" i="41"/>
  <c r="H324" i="41"/>
  <c r="G324" i="41"/>
  <c r="J341" i="41"/>
  <c r="I341" i="41"/>
  <c r="H341" i="41"/>
  <c r="G341" i="41"/>
  <c r="J340" i="41"/>
  <c r="I340" i="41"/>
  <c r="H340" i="41"/>
  <c r="G340" i="41"/>
  <c r="J339" i="41"/>
  <c r="I339" i="41"/>
  <c r="H339" i="41"/>
  <c r="G339" i="41"/>
  <c r="J338" i="41"/>
  <c r="I338" i="41"/>
  <c r="H338" i="41"/>
  <c r="G338" i="41"/>
  <c r="J354" i="41"/>
  <c r="I354" i="41"/>
  <c r="H354" i="41"/>
  <c r="G354" i="41"/>
  <c r="J353" i="41"/>
  <c r="I353" i="41"/>
  <c r="H353" i="41"/>
  <c r="G353" i="41"/>
  <c r="J352" i="41"/>
  <c r="I352" i="41"/>
  <c r="H352" i="41"/>
  <c r="G352" i="41"/>
  <c r="J351" i="41"/>
  <c r="I351" i="41"/>
  <c r="H351" i="41"/>
  <c r="G351" i="41"/>
  <c r="J350" i="41"/>
  <c r="I350" i="41"/>
  <c r="H350" i="41"/>
  <c r="G350" i="41"/>
  <c r="J349" i="41"/>
  <c r="I349" i="41"/>
  <c r="H349" i="41"/>
  <c r="G349" i="41"/>
  <c r="J348" i="41"/>
  <c r="I348" i="41"/>
  <c r="H348" i="41"/>
  <c r="G348" i="41"/>
  <c r="J347" i="41"/>
  <c r="I347" i="41"/>
  <c r="H347" i="41"/>
  <c r="G347" i="41"/>
  <c r="J346" i="41"/>
  <c r="I346" i="41"/>
  <c r="H346" i="41"/>
  <c r="G346" i="41"/>
  <c r="J345" i="41"/>
  <c r="I345" i="41"/>
  <c r="H345" i="41"/>
  <c r="G345" i="41"/>
  <c r="I359" i="41"/>
  <c r="I360" i="41"/>
  <c r="I361" i="41"/>
  <c r="I362" i="41"/>
  <c r="I363" i="41"/>
  <c r="I364" i="41"/>
  <c r="I365" i="41"/>
  <c r="I366" i="41"/>
  <c r="I367" i="41"/>
  <c r="I368" i="41"/>
  <c r="I369" i="41"/>
  <c r="I370" i="41"/>
  <c r="I371" i="41"/>
  <c r="I372" i="41"/>
  <c r="I373" i="41"/>
  <c r="I374" i="41"/>
  <c r="I358" i="41"/>
  <c r="J374" i="41"/>
  <c r="H374" i="41"/>
  <c r="G374" i="41"/>
  <c r="J373" i="41"/>
  <c r="H373" i="41"/>
  <c r="G373" i="41"/>
  <c r="J372" i="41"/>
  <c r="J371" i="41"/>
  <c r="H371" i="41"/>
  <c r="G371" i="41"/>
  <c r="J370" i="41"/>
  <c r="H370" i="41"/>
  <c r="G370" i="41"/>
  <c r="J369" i="41"/>
  <c r="H369" i="41"/>
  <c r="G369" i="41"/>
  <c r="J368" i="41"/>
  <c r="H368" i="41"/>
  <c r="G368" i="41"/>
  <c r="J367" i="41"/>
  <c r="H367" i="41"/>
  <c r="J366" i="41"/>
  <c r="H366" i="41"/>
  <c r="G366" i="41"/>
  <c r="J365" i="41"/>
  <c r="J364" i="41"/>
  <c r="H364" i="41"/>
  <c r="G364" i="41"/>
  <c r="J363" i="41"/>
  <c r="H363" i="41"/>
  <c r="G363" i="41"/>
  <c r="J362" i="41"/>
  <c r="H362" i="41"/>
  <c r="G362" i="41"/>
  <c r="J361" i="41"/>
  <c r="G361" i="41"/>
  <c r="J360" i="41"/>
  <c r="H360" i="41"/>
  <c r="G360" i="41"/>
  <c r="J359" i="41"/>
  <c r="G359" i="41"/>
  <c r="J358" i="41"/>
  <c r="I305" i="41"/>
  <c r="I306" i="41"/>
  <c r="I307" i="41"/>
  <c r="I308" i="41"/>
  <c r="I309" i="41"/>
  <c r="I310" i="41"/>
  <c r="I311" i="41"/>
  <c r="I312" i="41"/>
  <c r="I313" i="41"/>
  <c r="I314" i="41"/>
  <c r="I315" i="41"/>
  <c r="I316" i="41"/>
  <c r="I317" i="41"/>
  <c r="I318" i="41"/>
  <c r="I319" i="41"/>
  <c r="I320" i="41"/>
  <c r="I304" i="41"/>
  <c r="J320" i="41"/>
  <c r="H320" i="41"/>
  <c r="G320" i="41"/>
  <c r="J319" i="41"/>
  <c r="J318" i="41"/>
  <c r="H318" i="41"/>
  <c r="G318" i="41"/>
  <c r="J317" i="41"/>
  <c r="H317" i="41"/>
  <c r="G317" i="41"/>
  <c r="J316" i="41"/>
  <c r="H316" i="41"/>
  <c r="G316" i="41"/>
  <c r="J315" i="41"/>
  <c r="H315" i="41"/>
  <c r="G315" i="41"/>
  <c r="J314" i="41"/>
  <c r="H314" i="41"/>
  <c r="G314" i="41"/>
  <c r="J313" i="41"/>
  <c r="H313" i="41"/>
  <c r="G313" i="41"/>
  <c r="J312" i="41"/>
  <c r="H312" i="41"/>
  <c r="G312" i="41"/>
  <c r="J311" i="41"/>
  <c r="H311" i="41"/>
  <c r="J310" i="41"/>
  <c r="H310" i="41"/>
  <c r="G310" i="41"/>
  <c r="J309" i="41"/>
  <c r="H309" i="41"/>
  <c r="G309" i="41"/>
  <c r="J308" i="41"/>
  <c r="H308" i="41"/>
  <c r="G308" i="41"/>
  <c r="J307" i="41"/>
  <c r="H307" i="41"/>
  <c r="G307" i="41"/>
  <c r="J306" i="41"/>
  <c r="H306" i="41"/>
  <c r="G306" i="41"/>
  <c r="J305" i="41"/>
  <c r="H305" i="41"/>
  <c r="G305" i="41"/>
  <c r="J304" i="41"/>
  <c r="H304" i="41"/>
  <c r="G304" i="41"/>
  <c r="I256" i="41"/>
  <c r="I257" i="41"/>
  <c r="I258" i="41"/>
  <c r="I259" i="41"/>
  <c r="I260" i="41"/>
  <c r="I261" i="41"/>
  <c r="I262" i="41"/>
  <c r="I263" i="41"/>
  <c r="I264" i="41"/>
  <c r="I265" i="41"/>
  <c r="I266" i="41"/>
  <c r="I267" i="41"/>
  <c r="I268" i="41"/>
  <c r="I269" i="41"/>
  <c r="I270" i="41"/>
  <c r="I271" i="41"/>
  <c r="I255" i="41"/>
  <c r="J271" i="41"/>
  <c r="H271" i="41"/>
  <c r="G271" i="41"/>
  <c r="J270" i="41"/>
  <c r="H270" i="41"/>
  <c r="G270" i="41"/>
  <c r="J269" i="41"/>
  <c r="H269" i="41"/>
  <c r="G269" i="41"/>
  <c r="J268" i="41"/>
  <c r="H268" i="41"/>
  <c r="G268" i="41"/>
  <c r="J267" i="41"/>
  <c r="H267" i="41"/>
  <c r="G267" i="41"/>
  <c r="J266" i="41"/>
  <c r="H266" i="41"/>
  <c r="G266" i="41"/>
  <c r="J265" i="41"/>
  <c r="H265" i="41"/>
  <c r="G265" i="41"/>
  <c r="J264" i="41"/>
  <c r="H264" i="41"/>
  <c r="G264" i="41"/>
  <c r="J263" i="41"/>
  <c r="H263" i="41"/>
  <c r="G263" i="41"/>
  <c r="J262" i="41"/>
  <c r="H262" i="41"/>
  <c r="G262" i="41"/>
  <c r="J261" i="41"/>
  <c r="H261" i="41"/>
  <c r="G261" i="41"/>
  <c r="J260" i="41"/>
  <c r="H260" i="41"/>
  <c r="G260" i="41"/>
  <c r="J259" i="41"/>
  <c r="H259" i="41"/>
  <c r="G259" i="41"/>
  <c r="J258" i="41"/>
  <c r="H258" i="41"/>
  <c r="G258" i="41"/>
  <c r="J257" i="41"/>
  <c r="H257" i="41"/>
  <c r="G257" i="41"/>
  <c r="J256" i="41"/>
  <c r="H256" i="41"/>
  <c r="G256" i="41"/>
  <c r="J255" i="41"/>
  <c r="H255" i="41"/>
  <c r="G255" i="41"/>
  <c r="J206" i="41"/>
  <c r="I206" i="41"/>
  <c r="H206" i="41"/>
  <c r="G206" i="41"/>
  <c r="J205" i="41"/>
  <c r="I205" i="41"/>
  <c r="H205" i="41"/>
  <c r="G205" i="41"/>
  <c r="J204" i="41"/>
  <c r="I204" i="41"/>
  <c r="H204" i="41"/>
  <c r="G204" i="41"/>
  <c r="J203" i="41"/>
  <c r="I203" i="41"/>
  <c r="H203" i="41"/>
  <c r="G203" i="41"/>
  <c r="J202" i="41"/>
  <c r="I202" i="41"/>
  <c r="H202" i="41"/>
  <c r="G202" i="41"/>
  <c r="J201" i="41"/>
  <c r="I201" i="41"/>
  <c r="H201" i="41"/>
  <c r="G201" i="41"/>
  <c r="J200" i="41"/>
  <c r="I200" i="41"/>
  <c r="H200" i="41"/>
  <c r="G200" i="41"/>
  <c r="J199" i="41"/>
  <c r="I199" i="41"/>
  <c r="H199" i="41"/>
  <c r="G199" i="41"/>
  <c r="J198" i="41"/>
  <c r="I198" i="41"/>
  <c r="H198" i="41"/>
  <c r="G198" i="41"/>
  <c r="J197" i="41"/>
  <c r="I197" i="41"/>
  <c r="H197" i="41"/>
  <c r="G197" i="41"/>
  <c r="J196" i="41"/>
  <c r="I196" i="41"/>
  <c r="H196" i="41"/>
  <c r="G196" i="41"/>
  <c r="J195" i="41"/>
  <c r="I195" i="41"/>
  <c r="H195" i="41"/>
  <c r="G195" i="41"/>
  <c r="J194" i="41"/>
  <c r="I194" i="41"/>
  <c r="H194" i="41"/>
  <c r="G194" i="41"/>
  <c r="J193" i="41"/>
  <c r="I193" i="41"/>
  <c r="H193" i="41"/>
  <c r="G193" i="41"/>
  <c r="J192" i="41"/>
  <c r="I192" i="41"/>
  <c r="H192" i="41"/>
  <c r="G192" i="41"/>
  <c r="J191" i="41"/>
  <c r="I191" i="41"/>
  <c r="H191" i="41"/>
  <c r="G191" i="41"/>
  <c r="J190" i="41"/>
  <c r="I190" i="41"/>
  <c r="H190" i="41"/>
  <c r="G190" i="41"/>
  <c r="J186" i="41"/>
  <c r="I186" i="41"/>
  <c r="H186" i="41"/>
  <c r="G186" i="41"/>
  <c r="J185" i="41"/>
  <c r="I185" i="41"/>
  <c r="H185" i="41"/>
  <c r="J184" i="41"/>
  <c r="I184" i="41"/>
  <c r="H184" i="41"/>
  <c r="G184" i="41"/>
  <c r="J183" i="41"/>
  <c r="I183" i="41"/>
  <c r="H183" i="41"/>
  <c r="G183" i="41"/>
  <c r="J179" i="41"/>
  <c r="I179" i="41"/>
  <c r="H179" i="41"/>
  <c r="G179" i="41"/>
  <c r="J178" i="41"/>
  <c r="I178" i="41"/>
  <c r="H178" i="41"/>
  <c r="G178" i="41"/>
  <c r="J177" i="41"/>
  <c r="I177" i="41"/>
  <c r="H177" i="41"/>
  <c r="G177" i="41"/>
  <c r="J176" i="41"/>
  <c r="I176" i="41"/>
  <c r="H176" i="41"/>
  <c r="G176" i="41"/>
  <c r="J175" i="41"/>
  <c r="I175" i="41"/>
  <c r="H175" i="41"/>
  <c r="G175" i="41"/>
  <c r="J174" i="41"/>
  <c r="I174" i="41"/>
  <c r="H174" i="41"/>
  <c r="G174" i="41"/>
  <c r="J173" i="41"/>
  <c r="I173" i="41"/>
  <c r="H173" i="41"/>
  <c r="G173" i="41"/>
  <c r="J172" i="41"/>
  <c r="I172" i="41"/>
  <c r="H172" i="41"/>
  <c r="G172" i="41"/>
  <c r="J171" i="41"/>
  <c r="I171" i="41"/>
  <c r="H171" i="41"/>
  <c r="G171" i="41"/>
  <c r="J170" i="41"/>
  <c r="I170" i="41"/>
  <c r="H170" i="41"/>
  <c r="G170" i="41"/>
  <c r="J169" i="41"/>
  <c r="I169" i="41"/>
  <c r="H169" i="41"/>
  <c r="G169" i="41"/>
  <c r="J168" i="41"/>
  <c r="I168" i="41"/>
  <c r="H168" i="41"/>
  <c r="G168" i="41"/>
  <c r="J167" i="41"/>
  <c r="I167" i="41"/>
  <c r="H167" i="41"/>
  <c r="G167" i="41"/>
  <c r="J166" i="41"/>
  <c r="I166" i="41"/>
  <c r="H166" i="41"/>
  <c r="G166" i="41"/>
  <c r="J162" i="41"/>
  <c r="I162" i="41"/>
  <c r="H162" i="41"/>
  <c r="G162" i="41"/>
  <c r="J161" i="41"/>
  <c r="I161" i="41"/>
  <c r="H161" i="41"/>
  <c r="G161" i="41"/>
  <c r="J160" i="41"/>
  <c r="I160" i="41"/>
  <c r="H160" i="41"/>
  <c r="G160" i="41"/>
  <c r="J159" i="41"/>
  <c r="I159" i="41"/>
  <c r="H159" i="41"/>
  <c r="G159" i="41"/>
  <c r="J158" i="41"/>
  <c r="I158" i="41"/>
  <c r="H158" i="41"/>
  <c r="G158" i="41"/>
  <c r="J157" i="41"/>
  <c r="I157" i="41"/>
  <c r="H157" i="41"/>
  <c r="G157" i="41"/>
  <c r="J156" i="41"/>
  <c r="I156" i="41"/>
  <c r="H156" i="41"/>
  <c r="G156" i="41"/>
  <c r="J155" i="41"/>
  <c r="I155" i="41"/>
  <c r="H155" i="41"/>
  <c r="G155" i="41"/>
  <c r="J154" i="41"/>
  <c r="I154" i="41"/>
  <c r="H154" i="41"/>
  <c r="G154" i="41"/>
  <c r="J153" i="41"/>
  <c r="I153" i="41"/>
  <c r="H153" i="41"/>
  <c r="G153" i="41"/>
  <c r="J152" i="41"/>
  <c r="I152" i="41"/>
  <c r="H152" i="41"/>
  <c r="G152" i="41"/>
  <c r="J139" i="41"/>
  <c r="J140" i="41"/>
  <c r="J141" i="41"/>
  <c r="J142" i="41"/>
  <c r="J143" i="41"/>
  <c r="J144" i="41"/>
  <c r="J145" i="41"/>
  <c r="J146" i="41"/>
  <c r="J147" i="41"/>
  <c r="J148" i="41"/>
  <c r="J138" i="41"/>
  <c r="H139" i="41"/>
  <c r="H140" i="41"/>
  <c r="H141" i="41"/>
  <c r="H142" i="41"/>
  <c r="H143" i="41"/>
  <c r="H144" i="41"/>
  <c r="H145" i="41"/>
  <c r="H146" i="41"/>
  <c r="H147" i="41"/>
  <c r="H148" i="41"/>
  <c r="H138" i="41"/>
  <c r="G139" i="41"/>
  <c r="G140" i="41"/>
  <c r="G141" i="41"/>
  <c r="G142" i="41"/>
  <c r="G143" i="41"/>
  <c r="G144" i="41"/>
  <c r="G145" i="41"/>
  <c r="G146" i="41"/>
  <c r="G147" i="41"/>
  <c r="G148" i="41"/>
  <c r="G138" i="41"/>
  <c r="I139" i="41"/>
  <c r="I140" i="41"/>
  <c r="I141" i="41"/>
  <c r="I142" i="41"/>
  <c r="I143" i="41"/>
  <c r="I144" i="41"/>
  <c r="I145" i="41"/>
  <c r="I146" i="41"/>
  <c r="I147" i="41"/>
  <c r="I148" i="41"/>
  <c r="I138" i="41"/>
  <c r="S107" i="41"/>
  <c r="G98" i="41"/>
  <c r="G99" i="41"/>
  <c r="G100" i="41"/>
  <c r="G101" i="41"/>
  <c r="G102" i="41"/>
  <c r="G103" i="41"/>
  <c r="G104" i="41"/>
  <c r="G105" i="41"/>
  <c r="G106" i="41"/>
  <c r="G107" i="41"/>
  <c r="Y64" i="31"/>
  <c r="X64" i="31"/>
  <c r="W64" i="31"/>
  <c r="V64" i="31"/>
  <c r="U64" i="31"/>
  <c r="Y63" i="31"/>
  <c r="X63" i="31"/>
  <c r="W63" i="31"/>
  <c r="V63" i="31"/>
  <c r="U63" i="31"/>
  <c r="Y62" i="31"/>
  <c r="X62" i="31"/>
  <c r="W62" i="31"/>
  <c r="V62" i="31"/>
  <c r="U62" i="31"/>
  <c r="Y61" i="31"/>
  <c r="X61" i="31"/>
  <c r="W61" i="31"/>
  <c r="V61" i="31"/>
  <c r="U61" i="31"/>
  <c r="Y60" i="31"/>
  <c r="X60" i="31"/>
  <c r="W60" i="31"/>
  <c r="V60" i="31"/>
  <c r="U60" i="31"/>
  <c r="Y59" i="31"/>
  <c r="X59" i="31"/>
  <c r="W59" i="31"/>
  <c r="V59" i="31"/>
  <c r="U59" i="31"/>
  <c r="Y58" i="31"/>
  <c r="X58" i="31"/>
  <c r="W58" i="31"/>
  <c r="V58" i="31"/>
  <c r="U58" i="31"/>
  <c r="Y57" i="31"/>
  <c r="X57" i="31"/>
  <c r="W57" i="31"/>
  <c r="V57" i="31"/>
  <c r="U57" i="31"/>
  <c r="Y56" i="31"/>
  <c r="X56" i="31"/>
  <c r="W56" i="31"/>
  <c r="V56" i="31"/>
  <c r="U56" i="31"/>
  <c r="Y55" i="31"/>
  <c r="X55" i="31"/>
  <c r="W55" i="31"/>
  <c r="V55" i="31"/>
  <c r="U55" i="31"/>
  <c r="Y54" i="31"/>
  <c r="X54" i="31"/>
  <c r="W54" i="31"/>
  <c r="V54" i="31"/>
  <c r="U54" i="31"/>
  <c r="Y53" i="31"/>
  <c r="X53" i="31"/>
  <c r="W53" i="31"/>
  <c r="V53" i="31"/>
  <c r="U53" i="31"/>
  <c r="Y52" i="31"/>
  <c r="X52" i="31"/>
  <c r="W52" i="31"/>
  <c r="V52" i="31"/>
  <c r="U52" i="31"/>
  <c r="Y51" i="31"/>
  <c r="X51" i="31"/>
  <c r="W51" i="31"/>
  <c r="V51" i="31"/>
  <c r="U51" i="31"/>
  <c r="Y50" i="31"/>
  <c r="X50" i="31"/>
  <c r="U50" i="31"/>
  <c r="Y49" i="31"/>
  <c r="X49" i="31"/>
  <c r="W49" i="31"/>
  <c r="U49" i="31"/>
  <c r="Y48" i="31"/>
  <c r="X48" i="31"/>
  <c r="W48" i="31"/>
  <c r="V48" i="31"/>
  <c r="U48" i="31"/>
  <c r="Y47" i="31"/>
  <c r="X47" i="31"/>
  <c r="W47" i="31"/>
  <c r="V47" i="31"/>
  <c r="U47" i="31"/>
  <c r="Y46" i="31"/>
  <c r="X46" i="31"/>
  <c r="W46" i="31"/>
  <c r="V46" i="31"/>
  <c r="U46" i="31"/>
  <c r="Y42" i="31"/>
  <c r="X42" i="31"/>
  <c r="W42" i="31"/>
  <c r="V42" i="31"/>
  <c r="U42" i="31"/>
  <c r="Y41" i="31"/>
  <c r="X41" i="31"/>
  <c r="W41" i="31"/>
  <c r="V41" i="31"/>
  <c r="U41" i="31"/>
  <c r="Y40" i="31"/>
  <c r="X40" i="31"/>
  <c r="W40" i="31"/>
  <c r="V40" i="31"/>
  <c r="U40" i="31"/>
  <c r="Y39" i="31"/>
  <c r="X39" i="31"/>
  <c r="W39" i="31"/>
  <c r="V39" i="31"/>
  <c r="U39" i="31"/>
  <c r="Y38" i="31"/>
  <c r="X38" i="31"/>
  <c r="W38" i="31"/>
  <c r="V38" i="31"/>
  <c r="U38" i="31"/>
  <c r="Y37" i="31"/>
  <c r="X37" i="31"/>
  <c r="W37" i="31"/>
  <c r="V37" i="31"/>
  <c r="U37" i="31"/>
  <c r="Y36" i="31"/>
  <c r="X36" i="31"/>
  <c r="W36" i="31"/>
  <c r="V36" i="31"/>
  <c r="U36" i="31"/>
  <c r="Y35" i="31"/>
  <c r="X35" i="31"/>
  <c r="W35" i="31"/>
  <c r="V35" i="31"/>
  <c r="U35" i="31"/>
  <c r="Y34" i="31"/>
  <c r="X34" i="31"/>
  <c r="W34" i="31"/>
  <c r="V34" i="31"/>
  <c r="U34" i="31"/>
  <c r="Y33" i="31"/>
  <c r="X33" i="31"/>
  <c r="W33" i="31"/>
  <c r="V33" i="31"/>
  <c r="U33" i="31"/>
  <c r="Y29" i="31"/>
  <c r="X29" i="31"/>
  <c r="W29" i="31"/>
  <c r="V29" i="31"/>
  <c r="U29" i="31"/>
  <c r="Y28" i="31"/>
  <c r="X28" i="31"/>
  <c r="W28" i="31"/>
  <c r="V28" i="31"/>
  <c r="U28" i="31"/>
  <c r="Y27" i="31"/>
  <c r="X27" i="31"/>
  <c r="W27" i="31"/>
  <c r="V27" i="31"/>
  <c r="U27" i="31"/>
  <c r="Y26" i="31"/>
  <c r="X26" i="31"/>
  <c r="W26" i="31"/>
  <c r="V26" i="31"/>
  <c r="U26" i="31"/>
  <c r="Y20" i="31"/>
  <c r="X20" i="31"/>
  <c r="W20" i="31"/>
  <c r="V20" i="31"/>
  <c r="U20" i="31"/>
  <c r="Y19" i="31"/>
  <c r="X19" i="31"/>
  <c r="W19" i="31"/>
  <c r="V19" i="31"/>
  <c r="U19" i="31"/>
  <c r="Y18" i="31"/>
  <c r="X18" i="31"/>
  <c r="W18" i="31"/>
  <c r="V18" i="31"/>
  <c r="U18" i="31"/>
  <c r="Y17" i="31"/>
  <c r="X17" i="31"/>
  <c r="W17" i="31"/>
  <c r="V17" i="31"/>
  <c r="U17" i="31"/>
  <c r="Y16" i="31"/>
  <c r="X16" i="31"/>
  <c r="W16" i="31"/>
  <c r="V16" i="31"/>
  <c r="U16" i="31"/>
  <c r="Y15" i="31"/>
  <c r="X15" i="31"/>
  <c r="W15" i="31"/>
  <c r="V15" i="31"/>
  <c r="U15" i="31"/>
  <c r="Y14" i="31"/>
  <c r="X14" i="31"/>
  <c r="W14" i="31"/>
  <c r="V14" i="31"/>
  <c r="U14" i="31"/>
  <c r="Y13" i="31"/>
  <c r="X13" i="31"/>
  <c r="W13" i="31"/>
  <c r="V13" i="31"/>
  <c r="U13" i="31"/>
  <c r="X7" i="31"/>
  <c r="X8" i="31"/>
  <c r="X9" i="31"/>
  <c r="X6" i="31"/>
  <c r="Y9" i="31"/>
  <c r="W9" i="31"/>
  <c r="V9" i="31"/>
  <c r="U9" i="31"/>
  <c r="Y8" i="31"/>
  <c r="W8" i="31"/>
  <c r="V8" i="31"/>
  <c r="U8" i="31"/>
  <c r="Y7" i="31"/>
  <c r="W7" i="31"/>
  <c r="V7" i="31"/>
  <c r="U7" i="31"/>
  <c r="Y6" i="31"/>
  <c r="W6" i="31"/>
  <c r="V6" i="31"/>
  <c r="U6" i="31"/>
  <c r="Y80" i="28"/>
  <c r="X80" i="28"/>
  <c r="W80" i="28"/>
  <c r="V80" i="28"/>
  <c r="U80" i="28"/>
  <c r="Y79" i="28"/>
  <c r="X79" i="28"/>
  <c r="W79" i="28"/>
  <c r="V79" i="28"/>
  <c r="U79" i="28"/>
  <c r="Y78" i="28"/>
  <c r="X78" i="28"/>
  <c r="W78" i="28"/>
  <c r="V78" i="28"/>
  <c r="U78" i="28"/>
  <c r="Y77" i="28"/>
  <c r="X77" i="28"/>
  <c r="W77" i="28"/>
  <c r="V77" i="28"/>
  <c r="U77" i="28"/>
  <c r="Y76" i="28"/>
  <c r="X76" i="28"/>
  <c r="W76" i="28"/>
  <c r="V76" i="28"/>
  <c r="U76" i="28"/>
  <c r="Y75" i="28"/>
  <c r="X75" i="28"/>
  <c r="W75" i="28"/>
  <c r="V75" i="28"/>
  <c r="U75" i="28"/>
  <c r="Y74" i="28"/>
  <c r="X74" i="28"/>
  <c r="W74" i="28"/>
  <c r="V74" i="28"/>
  <c r="U74" i="28"/>
  <c r="Y73" i="28"/>
  <c r="X73" i="28"/>
  <c r="W73" i="28"/>
  <c r="V73" i="28"/>
  <c r="U73" i="28"/>
  <c r="Y72" i="28"/>
  <c r="X72" i="28"/>
  <c r="W72" i="28"/>
  <c r="V72" i="28"/>
  <c r="U72" i="28"/>
  <c r="Y71" i="28"/>
  <c r="X71" i="28"/>
  <c r="W71" i="28"/>
  <c r="V71" i="28"/>
  <c r="U71" i="28"/>
  <c r="Y70" i="28"/>
  <c r="X70" i="28"/>
  <c r="W70" i="28"/>
  <c r="V70" i="28"/>
  <c r="U70" i="28"/>
  <c r="Y69" i="28"/>
  <c r="X69" i="28"/>
  <c r="W69" i="28"/>
  <c r="V69" i="28"/>
  <c r="U69" i="28"/>
  <c r="Y68" i="28"/>
  <c r="X68" i="28"/>
  <c r="W68" i="28"/>
  <c r="V68" i="28"/>
  <c r="U68" i="28"/>
  <c r="Y48" i="28"/>
  <c r="X48" i="28"/>
  <c r="W48" i="28"/>
  <c r="V48" i="28"/>
  <c r="U48" i="28"/>
  <c r="Y47" i="28"/>
  <c r="X47" i="28"/>
  <c r="W47" i="28"/>
  <c r="V47" i="28"/>
  <c r="Y46" i="28"/>
  <c r="X46" i="28"/>
  <c r="W46" i="28"/>
  <c r="V46" i="28"/>
  <c r="Y45" i="28"/>
  <c r="X45" i="28"/>
  <c r="W45" i="28"/>
  <c r="V45" i="28"/>
  <c r="Y44" i="28"/>
  <c r="X44" i="28"/>
  <c r="W44" i="28"/>
  <c r="V44" i="28"/>
  <c r="U44" i="28"/>
  <c r="Y43" i="28"/>
  <c r="X43" i="28"/>
  <c r="W43" i="28"/>
  <c r="V43" i="28"/>
  <c r="U43" i="28"/>
  <c r="Y42" i="28"/>
  <c r="X42" i="28"/>
  <c r="W42" i="28"/>
  <c r="V42" i="28"/>
  <c r="U42" i="28"/>
  <c r="Y41" i="28"/>
  <c r="X41" i="28"/>
  <c r="W41" i="28"/>
  <c r="V41" i="28"/>
  <c r="U41" i="28"/>
  <c r="Y40" i="28"/>
  <c r="X40" i="28"/>
  <c r="W40" i="28"/>
  <c r="V40" i="28"/>
  <c r="U40" i="28"/>
  <c r="Y39" i="28"/>
  <c r="X39" i="28"/>
  <c r="W39" i="28"/>
  <c r="V39" i="28"/>
  <c r="U39" i="28"/>
  <c r="Y38" i="28"/>
  <c r="X38" i="28"/>
  <c r="W38" i="28"/>
  <c r="V38" i="28"/>
  <c r="U38" i="28"/>
  <c r="Y37" i="28"/>
  <c r="X37" i="28"/>
  <c r="W37" i="28"/>
  <c r="V37" i="28"/>
  <c r="U37" i="28"/>
  <c r="Y36" i="28"/>
  <c r="X36" i="28"/>
  <c r="W36" i="28"/>
  <c r="V36" i="28"/>
  <c r="U36" i="28"/>
  <c r="Y26" i="28"/>
  <c r="X26" i="28"/>
  <c r="W26" i="28"/>
  <c r="V26" i="28"/>
  <c r="U26" i="28"/>
  <c r="Y25" i="28"/>
  <c r="X25" i="28"/>
  <c r="W25" i="28"/>
  <c r="V25" i="28"/>
  <c r="U25" i="28"/>
  <c r="Y24" i="28"/>
  <c r="X24" i="28"/>
  <c r="W24" i="28"/>
  <c r="V24" i="28"/>
  <c r="U24" i="28"/>
  <c r="Y96" i="28"/>
  <c r="X96" i="28"/>
  <c r="W96" i="28"/>
  <c r="V96" i="28"/>
  <c r="U96" i="28"/>
  <c r="Y95" i="28"/>
  <c r="X95" i="28"/>
  <c r="W95" i="28"/>
  <c r="V95" i="28"/>
  <c r="U95" i="28"/>
  <c r="Y94" i="28"/>
  <c r="X94" i="28"/>
  <c r="W94" i="28"/>
  <c r="V94" i="28"/>
  <c r="U94" i="28"/>
  <c r="Y93" i="28"/>
  <c r="X93" i="28"/>
  <c r="W93" i="28"/>
  <c r="V93" i="28"/>
  <c r="U93" i="28"/>
  <c r="Y92" i="28"/>
  <c r="X92" i="28"/>
  <c r="W92" i="28"/>
  <c r="V92" i="28"/>
  <c r="U92" i="28"/>
  <c r="Y91" i="28"/>
  <c r="X91" i="28"/>
  <c r="W91" i="28"/>
  <c r="V91" i="28"/>
  <c r="U91" i="28"/>
  <c r="Y90" i="28"/>
  <c r="X90" i="28"/>
  <c r="W90" i="28"/>
  <c r="V90" i="28"/>
  <c r="U90" i="28"/>
  <c r="Y89" i="28"/>
  <c r="X89" i="28"/>
  <c r="W89" i="28"/>
  <c r="V89" i="28"/>
  <c r="U89" i="28"/>
  <c r="Y88" i="28"/>
  <c r="X88" i="28"/>
  <c r="Y87" i="28"/>
  <c r="X87" i="28"/>
  <c r="W87" i="28"/>
  <c r="V87" i="28"/>
  <c r="U87" i="28"/>
  <c r="Y86" i="28"/>
  <c r="X86" i="28"/>
  <c r="W86" i="28"/>
  <c r="V86" i="28"/>
  <c r="U86" i="28"/>
  <c r="Y85" i="28"/>
  <c r="X85" i="28"/>
  <c r="W85" i="28"/>
  <c r="V85" i="28"/>
  <c r="U85" i="28"/>
  <c r="Y84" i="28"/>
  <c r="X84" i="28"/>
  <c r="W84" i="28"/>
  <c r="V84" i="28"/>
  <c r="U84" i="28"/>
  <c r="Y63" i="28"/>
  <c r="X63" i="28"/>
  <c r="W63" i="28"/>
  <c r="V63" i="28"/>
  <c r="U63" i="28"/>
  <c r="Y62" i="28"/>
  <c r="X62" i="28"/>
  <c r="W62" i="28"/>
  <c r="V62" i="28"/>
  <c r="U62" i="28"/>
  <c r="Y61" i="28"/>
  <c r="X61" i="28"/>
  <c r="W61" i="28"/>
  <c r="V61" i="28"/>
  <c r="U61" i="28"/>
  <c r="Y60" i="28"/>
  <c r="X60" i="28"/>
  <c r="W60" i="28"/>
  <c r="V60" i="28"/>
  <c r="U60" i="28"/>
  <c r="Y59" i="28"/>
  <c r="X59" i="28"/>
  <c r="W59" i="28"/>
  <c r="V59" i="28"/>
  <c r="U59" i="28"/>
  <c r="Y58" i="28"/>
  <c r="X58" i="28"/>
  <c r="W58" i="28"/>
  <c r="V58" i="28"/>
  <c r="U58" i="28"/>
  <c r="Y57" i="28"/>
  <c r="X57" i="28"/>
  <c r="W57" i="28"/>
  <c r="V57" i="28"/>
  <c r="U57" i="28"/>
  <c r="Y56" i="28"/>
  <c r="X56" i="28"/>
  <c r="W56" i="28"/>
  <c r="V56" i="28"/>
  <c r="U56" i="28"/>
  <c r="Y55" i="28"/>
  <c r="X55" i="28"/>
  <c r="W55" i="28"/>
  <c r="V55" i="28"/>
  <c r="U55" i="28"/>
  <c r="Y54" i="28"/>
  <c r="X54" i="28"/>
  <c r="W54" i="28"/>
  <c r="V54" i="28"/>
  <c r="U54" i="28"/>
  <c r="Y32" i="28"/>
  <c r="X32" i="28"/>
  <c r="W32" i="28"/>
  <c r="V32" i="28"/>
  <c r="U32" i="28"/>
  <c r="Y31" i="28"/>
  <c r="X31" i="28"/>
  <c r="W31" i="28"/>
  <c r="V31" i="28"/>
  <c r="U31" i="28"/>
  <c r="Y30" i="28"/>
  <c r="X30" i="28"/>
  <c r="W30" i="28"/>
  <c r="V30" i="28"/>
  <c r="U30" i="28"/>
  <c r="X17" i="28"/>
  <c r="X18" i="28"/>
  <c r="X19" i="28"/>
  <c r="X16" i="28"/>
  <c r="Y19" i="28"/>
  <c r="W19" i="28"/>
  <c r="V19" i="28"/>
  <c r="U19" i="28"/>
  <c r="Y18" i="28"/>
  <c r="W18" i="28"/>
  <c r="V18" i="28"/>
  <c r="U18" i="28"/>
  <c r="Y17" i="28"/>
  <c r="W17" i="28"/>
  <c r="V17" i="28"/>
  <c r="U17" i="28"/>
  <c r="Y16" i="28"/>
  <c r="W16" i="28"/>
  <c r="V16" i="28"/>
  <c r="U16" i="28"/>
  <c r="X7" i="28"/>
  <c r="X8" i="28"/>
  <c r="X9" i="28"/>
  <c r="X10" i="28"/>
  <c r="X6" i="28"/>
  <c r="W6" i="28"/>
  <c r="V6" i="28"/>
  <c r="U6" i="28"/>
  <c r="Y10" i="28"/>
  <c r="W10" i="28"/>
  <c r="V10" i="28"/>
  <c r="U10" i="28"/>
  <c r="Y9" i="28"/>
  <c r="W9" i="28"/>
  <c r="V9" i="28"/>
  <c r="Y8" i="28"/>
  <c r="W8" i="28"/>
  <c r="V8" i="28"/>
  <c r="U8" i="28"/>
  <c r="Y7" i="28"/>
  <c r="W7" i="28"/>
  <c r="V7" i="28"/>
  <c r="U7" i="28"/>
  <c r="Y6" i="28"/>
  <c r="X118" i="25"/>
  <c r="X119" i="25"/>
  <c r="X120" i="25"/>
  <c r="X121" i="25"/>
  <c r="X122" i="25"/>
  <c r="X123" i="25"/>
  <c r="X124" i="25"/>
  <c r="X125" i="25"/>
  <c r="X126" i="25"/>
  <c r="X127" i="25"/>
  <c r="X128" i="25"/>
  <c r="X129" i="25"/>
  <c r="X130" i="25"/>
  <c r="X131" i="25"/>
  <c r="X132" i="25"/>
  <c r="X133" i="25"/>
  <c r="X117" i="25"/>
  <c r="Y113" i="25"/>
  <c r="X113" i="25"/>
  <c r="W113" i="25"/>
  <c r="V113" i="25"/>
  <c r="U113" i="25"/>
  <c r="Y112" i="25"/>
  <c r="X112" i="25"/>
  <c r="W112" i="25"/>
  <c r="V112" i="25"/>
  <c r="U112" i="25"/>
  <c r="Y111" i="25"/>
  <c r="X111" i="25"/>
  <c r="W111" i="25"/>
  <c r="V111" i="25"/>
  <c r="U111" i="25"/>
  <c r="Y110" i="25"/>
  <c r="X110" i="25"/>
  <c r="W110" i="25"/>
  <c r="V110" i="25"/>
  <c r="U110" i="25"/>
  <c r="Y109" i="25"/>
  <c r="X109" i="25"/>
  <c r="W109" i="25"/>
  <c r="V109" i="25"/>
  <c r="U109" i="25"/>
  <c r="Y108" i="25"/>
  <c r="X108" i="25"/>
  <c r="W108" i="25"/>
  <c r="V108" i="25"/>
  <c r="U108" i="25"/>
  <c r="Y107" i="25"/>
  <c r="X107" i="25"/>
  <c r="W107" i="25"/>
  <c r="V107" i="25"/>
  <c r="U107" i="25"/>
  <c r="Y106" i="25"/>
  <c r="X106" i="25"/>
  <c r="W106" i="25"/>
  <c r="V106" i="25"/>
  <c r="U106" i="25"/>
  <c r="Y105" i="25"/>
  <c r="X105" i="25"/>
  <c r="W105" i="25"/>
  <c r="V105" i="25"/>
  <c r="U105" i="25"/>
  <c r="Y104" i="25"/>
  <c r="X104" i="25"/>
  <c r="W104" i="25"/>
  <c r="V104" i="25"/>
  <c r="U104" i="25"/>
  <c r="Y103" i="25"/>
  <c r="X103" i="25"/>
  <c r="W103" i="25"/>
  <c r="V103" i="25"/>
  <c r="U103" i="25"/>
  <c r="Y102" i="25"/>
  <c r="X102" i="25"/>
  <c r="W102" i="25"/>
  <c r="V102" i="25"/>
  <c r="U102" i="25"/>
  <c r="Y101" i="25"/>
  <c r="X101" i="25"/>
  <c r="W101" i="25"/>
  <c r="V101" i="25"/>
  <c r="U101" i="25"/>
  <c r="Y100" i="25"/>
  <c r="X100" i="25"/>
  <c r="W100" i="25"/>
  <c r="V100" i="25"/>
  <c r="U100" i="25"/>
  <c r="Y99" i="25"/>
  <c r="X99" i="25"/>
  <c r="W99" i="25"/>
  <c r="V99" i="25"/>
  <c r="U99" i="25"/>
  <c r="Y98" i="25"/>
  <c r="X98" i="25"/>
  <c r="W98" i="25"/>
  <c r="V98" i="25"/>
  <c r="U98" i="25"/>
  <c r="Y97" i="25"/>
  <c r="X97" i="25"/>
  <c r="W97" i="25"/>
  <c r="V97" i="25"/>
  <c r="U97" i="25"/>
  <c r="Y92" i="25"/>
  <c r="X92" i="25"/>
  <c r="W92" i="25"/>
  <c r="V92" i="25"/>
  <c r="U92" i="25"/>
  <c r="Y91" i="25"/>
  <c r="X91" i="25"/>
  <c r="W91" i="25"/>
  <c r="V91" i="25"/>
  <c r="U91" i="25"/>
  <c r="Y90" i="25"/>
  <c r="X90" i="25"/>
  <c r="W90" i="25"/>
  <c r="V90" i="25"/>
  <c r="U90" i="25"/>
  <c r="Y89" i="25"/>
  <c r="X89" i="25"/>
  <c r="W89" i="25"/>
  <c r="V89" i="25"/>
  <c r="U89" i="25"/>
  <c r="Y88" i="25"/>
  <c r="X88" i="25"/>
  <c r="W88" i="25"/>
  <c r="V88" i="25"/>
  <c r="U88" i="25"/>
  <c r="Y87" i="25"/>
  <c r="X87" i="25"/>
  <c r="W87" i="25"/>
  <c r="V87" i="25"/>
  <c r="U87" i="25"/>
  <c r="Y86" i="25"/>
  <c r="X86" i="25"/>
  <c r="W86" i="25"/>
  <c r="V86" i="25"/>
  <c r="U86" i="25"/>
  <c r="Y85" i="25"/>
  <c r="X85" i="25"/>
  <c r="W85" i="25"/>
  <c r="V85" i="25"/>
  <c r="U85" i="25"/>
  <c r="Y81" i="25"/>
  <c r="X81" i="25"/>
  <c r="W81" i="25"/>
  <c r="V81" i="25"/>
  <c r="U81" i="25"/>
  <c r="Y80" i="25"/>
  <c r="X80" i="25"/>
  <c r="W80" i="25"/>
  <c r="Y79" i="25"/>
  <c r="X79" i="25"/>
  <c r="W79" i="25"/>
  <c r="V79" i="25"/>
  <c r="U79" i="25"/>
  <c r="Y78" i="25"/>
  <c r="X78" i="25"/>
  <c r="W78" i="25"/>
  <c r="V78" i="25"/>
  <c r="U78" i="25"/>
  <c r="Y72" i="25"/>
  <c r="X72" i="25"/>
  <c r="W72" i="25"/>
  <c r="V72" i="25"/>
  <c r="U72" i="25"/>
  <c r="Y71" i="25"/>
  <c r="X71" i="25"/>
  <c r="Y70" i="25"/>
  <c r="X70" i="25"/>
  <c r="W70" i="25"/>
  <c r="V70" i="25"/>
  <c r="Y69" i="25"/>
  <c r="X69" i="25"/>
  <c r="W69" i="25"/>
  <c r="V69" i="25"/>
  <c r="Y68" i="25"/>
  <c r="X68" i="25"/>
  <c r="W68" i="25"/>
  <c r="V68" i="25"/>
  <c r="Y67" i="25"/>
  <c r="X67" i="25"/>
  <c r="W67" i="25"/>
  <c r="V67" i="25"/>
  <c r="U67" i="25"/>
  <c r="Y66" i="25"/>
  <c r="X66" i="25"/>
  <c r="W66" i="25"/>
  <c r="V66" i="25"/>
  <c r="U66" i="25"/>
  <c r="Y65" i="25"/>
  <c r="X65" i="25"/>
  <c r="W65" i="25"/>
  <c r="V65" i="25"/>
  <c r="U65" i="25"/>
  <c r="Y64" i="25"/>
  <c r="X64" i="25"/>
  <c r="W64" i="25"/>
  <c r="V64" i="25"/>
  <c r="U64" i="25"/>
  <c r="Y63" i="25"/>
  <c r="X63" i="25"/>
  <c r="W63" i="25"/>
  <c r="V63" i="25"/>
  <c r="U63" i="25"/>
  <c r="Y62" i="25"/>
  <c r="X62" i="25"/>
  <c r="W62" i="25"/>
  <c r="V62" i="25"/>
  <c r="U62" i="25"/>
  <c r="Y61" i="25"/>
  <c r="X61" i="25"/>
  <c r="W61" i="25"/>
  <c r="V61" i="25"/>
  <c r="U61" i="25"/>
  <c r="Y60" i="25"/>
  <c r="X60" i="25"/>
  <c r="W60" i="25"/>
  <c r="V60" i="25"/>
  <c r="U60" i="25"/>
  <c r="Y59" i="25"/>
  <c r="X59" i="25"/>
  <c r="W59" i="25"/>
  <c r="V59" i="25"/>
  <c r="U59" i="25"/>
  <c r="Y58" i="25"/>
  <c r="X58" i="25"/>
  <c r="W58" i="25"/>
  <c r="V58" i="25"/>
  <c r="U58" i="25"/>
  <c r="Y57" i="25"/>
  <c r="X57" i="25"/>
  <c r="W57" i="25"/>
  <c r="V57" i="25"/>
  <c r="U57" i="25"/>
  <c r="Y56" i="25"/>
  <c r="X56" i="25"/>
  <c r="W56" i="25"/>
  <c r="V56" i="25"/>
  <c r="U56" i="25"/>
  <c r="Y55" i="25"/>
  <c r="X55" i="25"/>
  <c r="W55" i="25"/>
  <c r="V55" i="25"/>
  <c r="U55" i="25"/>
  <c r="Y54" i="25"/>
  <c r="X54" i="25"/>
  <c r="W54" i="25"/>
  <c r="V54" i="25"/>
  <c r="U54" i="25"/>
  <c r="Y53" i="25"/>
  <c r="X53" i="25"/>
  <c r="W53" i="25"/>
  <c r="V53" i="25"/>
  <c r="U53" i="25"/>
  <c r="Y52" i="25"/>
  <c r="X52" i="25"/>
  <c r="Y51" i="25"/>
  <c r="X51" i="25"/>
  <c r="W51" i="25"/>
  <c r="V51" i="25"/>
  <c r="Y50" i="25"/>
  <c r="X50" i="25"/>
  <c r="W50" i="25"/>
  <c r="V50" i="25"/>
  <c r="Y49" i="25"/>
  <c r="X49" i="25"/>
  <c r="W49" i="25"/>
  <c r="V49" i="25"/>
  <c r="U49" i="25"/>
  <c r="Y48" i="25"/>
  <c r="X48" i="25"/>
  <c r="W48" i="25"/>
  <c r="V48" i="25"/>
  <c r="U48" i="25"/>
  <c r="Y47" i="25"/>
  <c r="X47" i="25"/>
  <c r="W47" i="25"/>
  <c r="V47" i="25"/>
  <c r="U47" i="25"/>
  <c r="Y41" i="25"/>
  <c r="X41" i="25"/>
  <c r="W41" i="25"/>
  <c r="V41" i="25"/>
  <c r="U41" i="25"/>
  <c r="Y40" i="25"/>
  <c r="X40" i="25"/>
  <c r="W40" i="25"/>
  <c r="V40" i="25"/>
  <c r="Y39" i="25"/>
  <c r="X39" i="25"/>
  <c r="W39" i="25"/>
  <c r="V39" i="25"/>
  <c r="U39" i="25"/>
  <c r="Y38" i="25"/>
  <c r="X38" i="25"/>
  <c r="W38" i="25"/>
  <c r="V38" i="25"/>
  <c r="U38" i="25"/>
  <c r="Y37" i="25"/>
  <c r="X37" i="25"/>
  <c r="W37" i="25"/>
  <c r="V37" i="25"/>
  <c r="U37" i="25"/>
  <c r="Y36" i="25"/>
  <c r="X36" i="25"/>
  <c r="W36" i="25"/>
  <c r="V36" i="25"/>
  <c r="U36" i="25"/>
  <c r="Y35" i="25"/>
  <c r="X35" i="25"/>
  <c r="W35" i="25"/>
  <c r="V35" i="25"/>
  <c r="Y34" i="25"/>
  <c r="X34" i="25"/>
  <c r="W34" i="25"/>
  <c r="V34" i="25"/>
  <c r="U34" i="25"/>
  <c r="Y30" i="25"/>
  <c r="X30" i="25"/>
  <c r="W30" i="25"/>
  <c r="V30" i="25"/>
  <c r="U30" i="25"/>
  <c r="Y29" i="25"/>
  <c r="X29" i="25"/>
  <c r="W29" i="25"/>
  <c r="V29" i="25"/>
  <c r="U29" i="25"/>
  <c r="Y28" i="25"/>
  <c r="X28" i="25"/>
  <c r="W28" i="25"/>
  <c r="V28" i="25"/>
  <c r="U28" i="25"/>
  <c r="Y27" i="25"/>
  <c r="X27" i="25"/>
  <c r="W27" i="25"/>
  <c r="V27" i="25"/>
  <c r="U27" i="25"/>
  <c r="Y26" i="25"/>
  <c r="X26" i="25"/>
  <c r="W26" i="25"/>
  <c r="V26" i="25"/>
  <c r="U26" i="25"/>
  <c r="Y25" i="25"/>
  <c r="X25" i="25"/>
  <c r="W25" i="25"/>
  <c r="V25" i="25"/>
  <c r="U25" i="25"/>
  <c r="Y24" i="25"/>
  <c r="X24" i="25"/>
  <c r="W24" i="25"/>
  <c r="V24" i="25"/>
  <c r="U24" i="25"/>
  <c r="Y23" i="25"/>
  <c r="X23" i="25"/>
  <c r="W23" i="25"/>
  <c r="V23" i="25"/>
  <c r="U23" i="25"/>
  <c r="Y22" i="25"/>
  <c r="X22" i="25"/>
  <c r="W22" i="25"/>
  <c r="V22" i="25"/>
  <c r="U22" i="25"/>
  <c r="Y21" i="25"/>
  <c r="X21" i="25"/>
  <c r="W21" i="25"/>
  <c r="V21" i="25"/>
  <c r="U21" i="25"/>
  <c r="Y20" i="25"/>
  <c r="X20" i="25"/>
  <c r="W20" i="25"/>
  <c r="V20" i="25"/>
  <c r="U20" i="25"/>
  <c r="Y16" i="25"/>
  <c r="X16" i="25"/>
  <c r="W16" i="25"/>
  <c r="V16" i="25"/>
  <c r="U16" i="25"/>
  <c r="Y15" i="25"/>
  <c r="X15" i="25"/>
  <c r="W15" i="25"/>
  <c r="V15" i="25"/>
  <c r="U15" i="25"/>
  <c r="Y14" i="25"/>
  <c r="X14" i="25"/>
  <c r="W14" i="25"/>
  <c r="V14" i="25"/>
  <c r="U14" i="25"/>
  <c r="Y13" i="25"/>
  <c r="X13" i="25"/>
  <c r="W13" i="25"/>
  <c r="V13" i="25"/>
  <c r="U13" i="25"/>
  <c r="Y9" i="25"/>
  <c r="X9" i="25"/>
  <c r="W9" i="25"/>
  <c r="V9" i="25"/>
  <c r="U9" i="25"/>
  <c r="Y8" i="25"/>
  <c r="X8" i="25"/>
  <c r="W8" i="25"/>
  <c r="V8" i="25"/>
  <c r="U8" i="25"/>
  <c r="Y7" i="25"/>
  <c r="X7" i="25"/>
  <c r="W7" i="25"/>
  <c r="V7" i="25"/>
  <c r="U7" i="25"/>
  <c r="Y6" i="25"/>
  <c r="X6" i="25"/>
  <c r="W6" i="25"/>
  <c r="V6" i="25"/>
  <c r="U6" i="25"/>
  <c r="X723" i="36" l="1"/>
  <c r="X724" i="36"/>
  <c r="X725" i="36"/>
  <c r="X726" i="36"/>
  <c r="X727" i="36"/>
  <c r="X728" i="36"/>
  <c r="X729" i="36"/>
  <c r="X730" i="36"/>
  <c r="X731" i="36"/>
  <c r="X732" i="36"/>
  <c r="X733" i="36"/>
  <c r="X722" i="36"/>
  <c r="Y733" i="36"/>
  <c r="W733" i="36"/>
  <c r="V733" i="36"/>
  <c r="U733" i="36"/>
  <c r="Y732" i="36"/>
  <c r="W732" i="36"/>
  <c r="V732" i="36"/>
  <c r="U732" i="36"/>
  <c r="Y731" i="36"/>
  <c r="W731" i="36"/>
  <c r="V731" i="36"/>
  <c r="U731" i="36"/>
  <c r="Y730" i="36"/>
  <c r="W730" i="36"/>
  <c r="V730" i="36"/>
  <c r="U730" i="36"/>
  <c r="Y729" i="36"/>
  <c r="W729" i="36"/>
  <c r="V729" i="36"/>
  <c r="U729" i="36"/>
  <c r="Y728" i="36"/>
  <c r="V728" i="36"/>
  <c r="Y727" i="36"/>
  <c r="W727" i="36"/>
  <c r="V727" i="36"/>
  <c r="Y726" i="36"/>
  <c r="W726" i="36"/>
  <c r="V726" i="36"/>
  <c r="Y725" i="36"/>
  <c r="W725" i="36"/>
  <c r="V725" i="36"/>
  <c r="U725" i="36"/>
  <c r="Y724" i="36"/>
  <c r="W724" i="36"/>
  <c r="V724" i="36"/>
  <c r="U724" i="36"/>
  <c r="Y723" i="36"/>
  <c r="W723" i="36"/>
  <c r="V723" i="36"/>
  <c r="U723" i="36"/>
  <c r="Y722" i="36"/>
  <c r="W722" i="36"/>
  <c r="V722" i="36"/>
  <c r="U722" i="36"/>
  <c r="X706" i="36"/>
  <c r="X707" i="36"/>
  <c r="X708" i="36"/>
  <c r="X709" i="36"/>
  <c r="X710" i="36"/>
  <c r="X711" i="36"/>
  <c r="X712" i="36"/>
  <c r="X713" i="36"/>
  <c r="X714" i="36"/>
  <c r="X715" i="36"/>
  <c r="X716" i="36"/>
  <c r="X705" i="36"/>
  <c r="Y716" i="36"/>
  <c r="W716" i="36"/>
  <c r="V716" i="36"/>
  <c r="U716" i="36"/>
  <c r="Y715" i="36"/>
  <c r="W715" i="36"/>
  <c r="V715" i="36"/>
  <c r="U715" i="36"/>
  <c r="Y714" i="36"/>
  <c r="W714" i="36"/>
  <c r="V714" i="36"/>
  <c r="U714" i="36"/>
  <c r="Y713" i="36"/>
  <c r="W713" i="36"/>
  <c r="V713" i="36"/>
  <c r="U713" i="36"/>
  <c r="Y712" i="36"/>
  <c r="W712" i="36"/>
  <c r="V712" i="36"/>
  <c r="U712" i="36"/>
  <c r="Y711" i="36"/>
  <c r="V711" i="36"/>
  <c r="Y710" i="36"/>
  <c r="W710" i="36"/>
  <c r="V710" i="36"/>
  <c r="Y709" i="36"/>
  <c r="W709" i="36"/>
  <c r="V709" i="36"/>
  <c r="Y708" i="36"/>
  <c r="W708" i="36"/>
  <c r="V708" i="36"/>
  <c r="U708" i="36"/>
  <c r="Y707" i="36"/>
  <c r="W707" i="36"/>
  <c r="V707" i="36"/>
  <c r="U707" i="36"/>
  <c r="Y706" i="36"/>
  <c r="W706" i="36"/>
  <c r="V706" i="36"/>
  <c r="U706" i="36"/>
  <c r="Y705" i="36"/>
  <c r="W705" i="36"/>
  <c r="V705" i="36"/>
  <c r="U705" i="36"/>
  <c r="C734" i="36"/>
  <c r="D734" i="36"/>
  <c r="E734" i="36"/>
  <c r="F734" i="36"/>
  <c r="G734" i="36"/>
  <c r="H734" i="36"/>
  <c r="I734" i="36"/>
  <c r="J734" i="36"/>
  <c r="K734" i="36"/>
  <c r="L734" i="36"/>
  <c r="M734" i="36"/>
  <c r="N734" i="36"/>
  <c r="O734" i="36"/>
  <c r="P734" i="36"/>
  <c r="Q734" i="36"/>
  <c r="R734" i="36"/>
  <c r="S734" i="36"/>
  <c r="T734" i="36"/>
  <c r="B717" i="36"/>
  <c r="C717" i="36"/>
  <c r="D717" i="36"/>
  <c r="E717" i="36"/>
  <c r="F717" i="36"/>
  <c r="G717" i="36"/>
  <c r="H717" i="36"/>
  <c r="I717" i="36"/>
  <c r="J717" i="36"/>
  <c r="K717" i="36"/>
  <c r="L717" i="36"/>
  <c r="M717" i="36"/>
  <c r="N717" i="36"/>
  <c r="O717" i="36"/>
  <c r="P717" i="36"/>
  <c r="Q717" i="36"/>
  <c r="R717" i="36"/>
  <c r="S717" i="36"/>
  <c r="T717" i="36"/>
  <c r="W701" i="36"/>
  <c r="V701" i="36"/>
  <c r="U701" i="36"/>
  <c r="W700" i="36"/>
  <c r="V700" i="36"/>
  <c r="U700" i="36"/>
  <c r="W699" i="36"/>
  <c r="V699" i="36"/>
  <c r="U699" i="36"/>
  <c r="W698" i="36"/>
  <c r="V698" i="36"/>
  <c r="U698" i="36"/>
  <c r="W697" i="36"/>
  <c r="V697" i="36"/>
  <c r="U697" i="36"/>
  <c r="W696" i="36"/>
  <c r="V696" i="36"/>
  <c r="W695" i="36"/>
  <c r="V695" i="36"/>
  <c r="U695" i="36"/>
  <c r="W691" i="36"/>
  <c r="V691" i="36"/>
  <c r="U691" i="36"/>
  <c r="W690" i="36"/>
  <c r="V690" i="36"/>
  <c r="U690" i="36"/>
  <c r="W689" i="36"/>
  <c r="V689" i="36"/>
  <c r="U689" i="36"/>
  <c r="W688" i="36"/>
  <c r="V688" i="36"/>
  <c r="U688" i="36"/>
  <c r="W687" i="36"/>
  <c r="V687" i="36"/>
  <c r="U687" i="36"/>
  <c r="W686" i="36"/>
  <c r="V686" i="36"/>
  <c r="W685" i="36"/>
  <c r="V685" i="36"/>
  <c r="U685" i="36"/>
  <c r="W681" i="36"/>
  <c r="V681" i="36"/>
  <c r="U681" i="36"/>
  <c r="W680" i="36"/>
  <c r="V680" i="36"/>
  <c r="U680" i="36"/>
  <c r="W679" i="36"/>
  <c r="V679" i="36"/>
  <c r="U679" i="36"/>
  <c r="W678" i="36"/>
  <c r="V678" i="36"/>
  <c r="U678" i="36"/>
  <c r="W677" i="36"/>
  <c r="V677" i="36"/>
  <c r="U677" i="36"/>
  <c r="W676" i="36"/>
  <c r="V676" i="36"/>
  <c r="W675" i="36"/>
  <c r="V675" i="36"/>
  <c r="U675" i="36"/>
  <c r="W671" i="36"/>
  <c r="V671" i="36"/>
  <c r="U671" i="36"/>
  <c r="W670" i="36"/>
  <c r="V670" i="36"/>
  <c r="U670" i="36"/>
  <c r="W669" i="36"/>
  <c r="V669" i="36"/>
  <c r="U669" i="36"/>
  <c r="W668" i="36"/>
  <c r="V668" i="36"/>
  <c r="U668" i="36"/>
  <c r="W667" i="36"/>
  <c r="V667" i="36"/>
  <c r="U667" i="36"/>
  <c r="W666" i="36"/>
  <c r="V666" i="36"/>
  <c r="W665" i="36"/>
  <c r="V665" i="36"/>
  <c r="U665" i="36"/>
  <c r="X701" i="36"/>
  <c r="X700" i="36"/>
  <c r="X699" i="36"/>
  <c r="X698" i="36"/>
  <c r="X697" i="36"/>
  <c r="X696" i="36"/>
  <c r="X695" i="36"/>
  <c r="X691" i="36"/>
  <c r="X690" i="36"/>
  <c r="X689" i="36"/>
  <c r="X688" i="36"/>
  <c r="X687" i="36"/>
  <c r="X686" i="36"/>
  <c r="X685" i="36"/>
  <c r="X681" i="36"/>
  <c r="X680" i="36"/>
  <c r="X679" i="36"/>
  <c r="X678" i="36"/>
  <c r="X677" i="36"/>
  <c r="X676" i="36"/>
  <c r="X675" i="36"/>
  <c r="X671" i="36"/>
  <c r="X670" i="36"/>
  <c r="X669" i="36"/>
  <c r="X668" i="36"/>
  <c r="X667" i="36"/>
  <c r="X666" i="36"/>
  <c r="X665" i="36"/>
  <c r="X659" i="36"/>
  <c r="X660" i="36"/>
  <c r="X661" i="36"/>
  <c r="X658" i="36"/>
  <c r="X652" i="36"/>
  <c r="X653" i="36"/>
  <c r="X654" i="36"/>
  <c r="X651" i="36"/>
  <c r="X645" i="36"/>
  <c r="X646" i="36"/>
  <c r="X647" i="36"/>
  <c r="X644" i="36"/>
  <c r="Y661" i="36"/>
  <c r="W661" i="36"/>
  <c r="V661" i="36"/>
  <c r="U661" i="36"/>
  <c r="Y660" i="36"/>
  <c r="W660" i="36"/>
  <c r="V660" i="36"/>
  <c r="U660" i="36"/>
  <c r="Y659" i="36"/>
  <c r="W659" i="36"/>
  <c r="V659" i="36"/>
  <c r="U659" i="36"/>
  <c r="Y658" i="36"/>
  <c r="W658" i="36"/>
  <c r="V658" i="36"/>
  <c r="U658" i="36"/>
  <c r="Y654" i="36"/>
  <c r="W654" i="36"/>
  <c r="V654" i="36"/>
  <c r="U654" i="36"/>
  <c r="Y653" i="36"/>
  <c r="W653" i="36"/>
  <c r="V653" i="36"/>
  <c r="U653" i="36"/>
  <c r="Y652" i="36"/>
  <c r="W652" i="36"/>
  <c r="V652" i="36"/>
  <c r="U652" i="36"/>
  <c r="Y651" i="36"/>
  <c r="W651" i="36"/>
  <c r="V651" i="36"/>
  <c r="U651" i="36"/>
  <c r="Y647" i="36"/>
  <c r="W647" i="36"/>
  <c r="V647" i="36"/>
  <c r="U647" i="36"/>
  <c r="Y646" i="36"/>
  <c r="W646" i="36"/>
  <c r="V646" i="36"/>
  <c r="U646" i="36"/>
  <c r="Y645" i="36"/>
  <c r="W645" i="36"/>
  <c r="V645" i="36"/>
  <c r="U645" i="36"/>
  <c r="Y644" i="36"/>
  <c r="W644" i="36"/>
  <c r="V644" i="36"/>
  <c r="U644" i="36"/>
  <c r="X637" i="36"/>
  <c r="X638" i="36"/>
  <c r="X639" i="36"/>
  <c r="X640" i="36"/>
  <c r="U638" i="36"/>
  <c r="V638" i="36"/>
  <c r="W638" i="36"/>
  <c r="Y638" i="36"/>
  <c r="U639" i="36"/>
  <c r="V639" i="36"/>
  <c r="W639" i="36"/>
  <c r="Y639" i="36"/>
  <c r="U640" i="36"/>
  <c r="V640" i="36"/>
  <c r="W640" i="36"/>
  <c r="Y640" i="36"/>
  <c r="Y637" i="36"/>
  <c r="W637" i="36"/>
  <c r="V637" i="36"/>
  <c r="U637" i="36"/>
  <c r="Y288" i="36"/>
  <c r="X288" i="36"/>
  <c r="W288" i="36"/>
  <c r="V288" i="36"/>
  <c r="U288" i="36"/>
  <c r="Y287" i="36"/>
  <c r="X287" i="36"/>
  <c r="W287" i="36"/>
  <c r="V287" i="36"/>
  <c r="U287" i="36"/>
  <c r="Y286" i="36"/>
  <c r="X286" i="36"/>
  <c r="W286" i="36"/>
  <c r="V286" i="36"/>
  <c r="U286" i="36"/>
  <c r="Y285" i="36"/>
  <c r="X285" i="36"/>
  <c r="W285" i="36"/>
  <c r="V285" i="36"/>
  <c r="U285" i="36"/>
  <c r="Y284" i="36"/>
  <c r="X284" i="36"/>
  <c r="W284" i="36"/>
  <c r="V284" i="36"/>
  <c r="U284" i="36"/>
  <c r="Y283" i="36"/>
  <c r="X283" i="36"/>
  <c r="W283" i="36"/>
  <c r="V283" i="36"/>
  <c r="U283" i="36"/>
  <c r="Y282" i="36"/>
  <c r="X282" i="36"/>
  <c r="W282" i="36"/>
  <c r="V282" i="36"/>
  <c r="U282" i="36"/>
  <c r="Y281" i="36"/>
  <c r="X281" i="36"/>
  <c r="W281" i="36"/>
  <c r="V281" i="36"/>
  <c r="U281" i="36"/>
  <c r="Y280" i="36"/>
  <c r="X280" i="36"/>
  <c r="W280" i="36"/>
  <c r="V280" i="36"/>
  <c r="U280" i="36"/>
  <c r="Y279" i="36"/>
  <c r="X279" i="36"/>
  <c r="W279" i="36"/>
  <c r="V279" i="36"/>
  <c r="U279" i="36"/>
  <c r="Y278" i="36"/>
  <c r="X278" i="36"/>
  <c r="W278" i="36"/>
  <c r="V278" i="36"/>
  <c r="U278" i="36"/>
  <c r="X625" i="36"/>
  <c r="X626" i="36"/>
  <c r="X627" i="36"/>
  <c r="X628" i="36"/>
  <c r="X629" i="36"/>
  <c r="X630" i="36"/>
  <c r="X631" i="36"/>
  <c r="X624" i="36"/>
  <c r="X613" i="36"/>
  <c r="X614" i="36"/>
  <c r="X615" i="36"/>
  <c r="X616" i="36"/>
  <c r="X617" i="36"/>
  <c r="X618" i="36"/>
  <c r="X619" i="36"/>
  <c r="X612" i="36"/>
  <c r="X601" i="36"/>
  <c r="X602" i="36"/>
  <c r="X603" i="36"/>
  <c r="X604" i="36"/>
  <c r="X605" i="36"/>
  <c r="X606" i="36"/>
  <c r="X607" i="36"/>
  <c r="X600" i="36"/>
  <c r="X589" i="36"/>
  <c r="X590" i="36"/>
  <c r="X591" i="36"/>
  <c r="X592" i="36"/>
  <c r="X593" i="36"/>
  <c r="X594" i="36"/>
  <c r="X595" i="36"/>
  <c r="X588" i="36"/>
  <c r="X576" i="36"/>
  <c r="X577" i="36"/>
  <c r="X578" i="36"/>
  <c r="X579" i="36"/>
  <c r="X580" i="36"/>
  <c r="X581" i="36"/>
  <c r="X582" i="36"/>
  <c r="X575" i="36"/>
  <c r="X564" i="36"/>
  <c r="X565" i="36"/>
  <c r="X566" i="36"/>
  <c r="X567" i="36"/>
  <c r="X568" i="36"/>
  <c r="X569" i="36"/>
  <c r="X570" i="36"/>
  <c r="X563" i="36"/>
  <c r="Y631" i="36"/>
  <c r="W631" i="36"/>
  <c r="V631" i="36"/>
  <c r="U631" i="36"/>
  <c r="Y630" i="36"/>
  <c r="W630" i="36"/>
  <c r="U630" i="36"/>
  <c r="Y629" i="36"/>
  <c r="W629" i="36"/>
  <c r="V629" i="36"/>
  <c r="U629" i="36"/>
  <c r="Y628" i="36"/>
  <c r="W628" i="36"/>
  <c r="V628" i="36"/>
  <c r="U628" i="36"/>
  <c r="Y627" i="36"/>
  <c r="W627" i="36"/>
  <c r="V627" i="36"/>
  <c r="U627" i="36"/>
  <c r="Y626" i="36"/>
  <c r="W626" i="36"/>
  <c r="V626" i="36"/>
  <c r="U626" i="36"/>
  <c r="Y625" i="36"/>
  <c r="W625" i="36"/>
  <c r="V625" i="36"/>
  <c r="U625" i="36"/>
  <c r="Y624" i="36"/>
  <c r="W624" i="36"/>
  <c r="V624" i="36"/>
  <c r="U624" i="36"/>
  <c r="Y619" i="36"/>
  <c r="W619" i="36"/>
  <c r="V619" i="36"/>
  <c r="U619" i="36"/>
  <c r="Y618" i="36"/>
  <c r="W618" i="36"/>
  <c r="V618" i="36"/>
  <c r="U618" i="36"/>
  <c r="Y617" i="36"/>
  <c r="W617" i="36"/>
  <c r="V617" i="36"/>
  <c r="U617" i="36"/>
  <c r="Y616" i="36"/>
  <c r="W616" i="36"/>
  <c r="V616" i="36"/>
  <c r="U616" i="36"/>
  <c r="Y615" i="36"/>
  <c r="W615" i="36"/>
  <c r="V615" i="36"/>
  <c r="U615" i="36"/>
  <c r="Y614" i="36"/>
  <c r="W614" i="36"/>
  <c r="V614" i="36"/>
  <c r="U614" i="36"/>
  <c r="Y613" i="36"/>
  <c r="W613" i="36"/>
  <c r="V613" i="36"/>
  <c r="U613" i="36"/>
  <c r="Y612" i="36"/>
  <c r="W612" i="36"/>
  <c r="V612" i="36"/>
  <c r="U612" i="36"/>
  <c r="Y607" i="36"/>
  <c r="W607" i="36"/>
  <c r="V607" i="36"/>
  <c r="U607" i="36"/>
  <c r="Y606" i="36"/>
  <c r="W606" i="36"/>
  <c r="U606" i="36"/>
  <c r="Y605" i="36"/>
  <c r="W605" i="36"/>
  <c r="V605" i="36"/>
  <c r="U605" i="36"/>
  <c r="Y604" i="36"/>
  <c r="W604" i="36"/>
  <c r="V604" i="36"/>
  <c r="U604" i="36"/>
  <c r="Y603" i="36"/>
  <c r="W603" i="36"/>
  <c r="V603" i="36"/>
  <c r="U603" i="36"/>
  <c r="Y602" i="36"/>
  <c r="W602" i="36"/>
  <c r="V602" i="36"/>
  <c r="U602" i="36"/>
  <c r="Y601" i="36"/>
  <c r="W601" i="36"/>
  <c r="V601" i="36"/>
  <c r="U601" i="36"/>
  <c r="Y600" i="36"/>
  <c r="W600" i="36"/>
  <c r="V600" i="36"/>
  <c r="U600" i="36"/>
  <c r="Y595" i="36"/>
  <c r="W595" i="36"/>
  <c r="V595" i="36"/>
  <c r="U595" i="36"/>
  <c r="Y594" i="36"/>
  <c r="W594" i="36"/>
  <c r="U594" i="36"/>
  <c r="Y593" i="36"/>
  <c r="W593" i="36"/>
  <c r="V593" i="36"/>
  <c r="U593" i="36"/>
  <c r="Y592" i="36"/>
  <c r="W592" i="36"/>
  <c r="V592" i="36"/>
  <c r="U592" i="36"/>
  <c r="Y591" i="36"/>
  <c r="W591" i="36"/>
  <c r="V591" i="36"/>
  <c r="U591" i="36"/>
  <c r="Y590" i="36"/>
  <c r="W590" i="36"/>
  <c r="V590" i="36"/>
  <c r="U590" i="36"/>
  <c r="Y589" i="36"/>
  <c r="W589" i="36"/>
  <c r="V589" i="36"/>
  <c r="U589" i="36"/>
  <c r="Y588" i="36"/>
  <c r="W588" i="36"/>
  <c r="V588" i="36"/>
  <c r="U588" i="36"/>
  <c r="Y582" i="36"/>
  <c r="W582" i="36"/>
  <c r="V582" i="36"/>
  <c r="U582" i="36"/>
  <c r="Y581" i="36"/>
  <c r="U581" i="36"/>
  <c r="Y580" i="36"/>
  <c r="W580" i="36"/>
  <c r="V580" i="36"/>
  <c r="U580" i="36"/>
  <c r="Y579" i="36"/>
  <c r="W579" i="36"/>
  <c r="V579" i="36"/>
  <c r="U579" i="36"/>
  <c r="Y578" i="36"/>
  <c r="W578" i="36"/>
  <c r="V578" i="36"/>
  <c r="U578" i="36"/>
  <c r="Y577" i="36"/>
  <c r="W577" i="36"/>
  <c r="V577" i="36"/>
  <c r="U577" i="36"/>
  <c r="Y576" i="36"/>
  <c r="W576" i="36"/>
  <c r="V576" i="36"/>
  <c r="U576" i="36"/>
  <c r="Y575" i="36"/>
  <c r="W575" i="36"/>
  <c r="V575" i="36"/>
  <c r="U575" i="36"/>
  <c r="Y570" i="36"/>
  <c r="W570" i="36"/>
  <c r="V570" i="36"/>
  <c r="U570" i="36"/>
  <c r="Y569" i="36"/>
  <c r="W569" i="36"/>
  <c r="U569" i="36"/>
  <c r="Y568" i="36"/>
  <c r="W568" i="36"/>
  <c r="V568" i="36"/>
  <c r="U568" i="36"/>
  <c r="Y567" i="36"/>
  <c r="W567" i="36"/>
  <c r="V567" i="36"/>
  <c r="U567" i="36"/>
  <c r="Y566" i="36"/>
  <c r="W566" i="36"/>
  <c r="V566" i="36"/>
  <c r="U566" i="36"/>
  <c r="Y565" i="36"/>
  <c r="W565" i="36"/>
  <c r="V565" i="36"/>
  <c r="U565" i="36"/>
  <c r="Y564" i="36"/>
  <c r="W564" i="36"/>
  <c r="V564" i="36"/>
  <c r="U564" i="36"/>
  <c r="Y563" i="36"/>
  <c r="W563" i="36"/>
  <c r="V563" i="36"/>
  <c r="U563" i="36"/>
  <c r="X551" i="36"/>
  <c r="X552" i="36"/>
  <c r="X553" i="36"/>
  <c r="X554" i="36"/>
  <c r="X555" i="36"/>
  <c r="X556" i="36"/>
  <c r="X557" i="36"/>
  <c r="X550" i="36"/>
  <c r="Y557" i="36"/>
  <c r="W557" i="36"/>
  <c r="V557" i="36"/>
  <c r="U557" i="36"/>
  <c r="Y556" i="36"/>
  <c r="W556" i="36"/>
  <c r="U556" i="36"/>
  <c r="Y555" i="36"/>
  <c r="W555" i="36"/>
  <c r="V555" i="36"/>
  <c r="U555" i="36"/>
  <c r="Y554" i="36"/>
  <c r="W554" i="36"/>
  <c r="V554" i="36"/>
  <c r="U554" i="36"/>
  <c r="Y553" i="36"/>
  <c r="W553" i="36"/>
  <c r="V553" i="36"/>
  <c r="U553" i="36"/>
  <c r="Y552" i="36"/>
  <c r="W552" i="36"/>
  <c r="V552" i="36"/>
  <c r="U552" i="36"/>
  <c r="Y551" i="36"/>
  <c r="W551" i="36"/>
  <c r="V551" i="36"/>
  <c r="U551" i="36"/>
  <c r="Y550" i="36"/>
  <c r="W550" i="36"/>
  <c r="V550" i="36"/>
  <c r="U550" i="36"/>
  <c r="X539" i="36"/>
  <c r="X540" i="36"/>
  <c r="X541" i="36"/>
  <c r="X542" i="36"/>
  <c r="X543" i="36"/>
  <c r="X544" i="36"/>
  <c r="X545" i="36"/>
  <c r="X538" i="36"/>
  <c r="Y545" i="36"/>
  <c r="W545" i="36"/>
  <c r="V545" i="36"/>
  <c r="U545" i="36"/>
  <c r="Y544" i="36"/>
  <c r="W544" i="36"/>
  <c r="V544" i="36"/>
  <c r="U544" i="36"/>
  <c r="Y543" i="36"/>
  <c r="W543" i="36"/>
  <c r="V543" i="36"/>
  <c r="U543" i="36"/>
  <c r="Y542" i="36"/>
  <c r="W542" i="36"/>
  <c r="V542" i="36"/>
  <c r="U542" i="36"/>
  <c r="Y541" i="36"/>
  <c r="W541" i="36"/>
  <c r="V541" i="36"/>
  <c r="U541" i="36"/>
  <c r="Y540" i="36"/>
  <c r="W540" i="36"/>
  <c r="V540" i="36"/>
  <c r="U540" i="36"/>
  <c r="Y539" i="36"/>
  <c r="W539" i="36"/>
  <c r="V539" i="36"/>
  <c r="U539" i="36"/>
  <c r="Y538" i="36"/>
  <c r="W538" i="36"/>
  <c r="V538" i="36"/>
  <c r="U538" i="36"/>
  <c r="X513" i="36"/>
  <c r="X532" i="36"/>
  <c r="X533" i="36"/>
  <c r="X534" i="36"/>
  <c r="X531" i="36"/>
  <c r="X525" i="36"/>
  <c r="X526" i="36"/>
  <c r="X527" i="36"/>
  <c r="X524" i="36"/>
  <c r="X518" i="36"/>
  <c r="X519" i="36"/>
  <c r="X520" i="36"/>
  <c r="X517" i="36"/>
  <c r="X511" i="36"/>
  <c r="X512" i="36"/>
  <c r="X510" i="36"/>
  <c r="X504" i="36"/>
  <c r="X505" i="36"/>
  <c r="X506" i="36"/>
  <c r="X503" i="36"/>
  <c r="X497" i="36"/>
  <c r="X498" i="36"/>
  <c r="X499" i="36"/>
  <c r="X496" i="36"/>
  <c r="X490" i="36"/>
  <c r="X491" i="36"/>
  <c r="X492" i="36"/>
  <c r="X489" i="36"/>
  <c r="X483" i="36"/>
  <c r="X484" i="36"/>
  <c r="X485" i="36"/>
  <c r="X482" i="36"/>
  <c r="Y534" i="36"/>
  <c r="W534" i="36"/>
  <c r="V534" i="36"/>
  <c r="U534" i="36"/>
  <c r="Y533" i="36"/>
  <c r="W533" i="36"/>
  <c r="Y532" i="36"/>
  <c r="W532" i="36"/>
  <c r="V532" i="36"/>
  <c r="U532" i="36"/>
  <c r="Y531" i="36"/>
  <c r="W531" i="36"/>
  <c r="V531" i="36"/>
  <c r="U531" i="36"/>
  <c r="Y527" i="36"/>
  <c r="W527" i="36"/>
  <c r="V527" i="36"/>
  <c r="U527" i="36"/>
  <c r="Y526" i="36"/>
  <c r="W526" i="36"/>
  <c r="Y525" i="36"/>
  <c r="W525" i="36"/>
  <c r="V525" i="36"/>
  <c r="U525" i="36"/>
  <c r="Y524" i="36"/>
  <c r="W524" i="36"/>
  <c r="V524" i="36"/>
  <c r="U524" i="36"/>
  <c r="Y520" i="36"/>
  <c r="W520" i="36"/>
  <c r="V520" i="36"/>
  <c r="U520" i="36"/>
  <c r="Y519" i="36"/>
  <c r="W519" i="36"/>
  <c r="Y518" i="36"/>
  <c r="W518" i="36"/>
  <c r="V518" i="36"/>
  <c r="U518" i="36"/>
  <c r="Y517" i="36"/>
  <c r="W517" i="36"/>
  <c r="V517" i="36"/>
  <c r="U517" i="36"/>
  <c r="Y513" i="36"/>
  <c r="W513" i="36"/>
  <c r="V513" i="36"/>
  <c r="U513" i="36"/>
  <c r="Y512" i="36"/>
  <c r="W512" i="36"/>
  <c r="Y511" i="36"/>
  <c r="W511" i="36"/>
  <c r="V511" i="36"/>
  <c r="U511" i="36"/>
  <c r="Y510" i="36"/>
  <c r="W510" i="36"/>
  <c r="V510" i="36"/>
  <c r="U510" i="36"/>
  <c r="Y506" i="36"/>
  <c r="W506" i="36"/>
  <c r="V506" i="36"/>
  <c r="U506" i="36"/>
  <c r="Y505" i="36"/>
  <c r="Y504" i="36"/>
  <c r="W504" i="36"/>
  <c r="V504" i="36"/>
  <c r="U504" i="36"/>
  <c r="Y503" i="36"/>
  <c r="W503" i="36"/>
  <c r="V503" i="36"/>
  <c r="U503" i="36"/>
  <c r="Y499" i="36"/>
  <c r="W499" i="36"/>
  <c r="V499" i="36"/>
  <c r="U499" i="36"/>
  <c r="Y498" i="36"/>
  <c r="Y497" i="36"/>
  <c r="W497" i="36"/>
  <c r="V497" i="36"/>
  <c r="U497" i="36"/>
  <c r="Y496" i="36"/>
  <c r="W496" i="36"/>
  <c r="V496" i="36"/>
  <c r="U496" i="36"/>
  <c r="Y492" i="36"/>
  <c r="W492" i="36"/>
  <c r="V492" i="36"/>
  <c r="U492" i="36"/>
  <c r="Y491" i="36"/>
  <c r="W491" i="36"/>
  <c r="Y490" i="36"/>
  <c r="W490" i="36"/>
  <c r="V490" i="36"/>
  <c r="U490" i="36"/>
  <c r="Y489" i="36"/>
  <c r="W489" i="36"/>
  <c r="V489" i="36"/>
  <c r="U489" i="36"/>
  <c r="Y485" i="36"/>
  <c r="W485" i="36"/>
  <c r="V485" i="36"/>
  <c r="U485" i="36"/>
  <c r="Y484" i="36"/>
  <c r="W484" i="36"/>
  <c r="Y483" i="36"/>
  <c r="W483" i="36"/>
  <c r="V483" i="36"/>
  <c r="U483" i="36"/>
  <c r="Y482" i="36"/>
  <c r="W482" i="36"/>
  <c r="V482" i="36"/>
  <c r="U482" i="36"/>
  <c r="X464" i="36"/>
  <c r="X465" i="36"/>
  <c r="X466" i="36"/>
  <c r="X467" i="36"/>
  <c r="X468" i="36"/>
  <c r="X469" i="36"/>
  <c r="X470" i="36"/>
  <c r="X471" i="36"/>
  <c r="X472" i="36"/>
  <c r="X473" i="36"/>
  <c r="X474" i="36"/>
  <c r="X475" i="36"/>
  <c r="X476" i="36"/>
  <c r="X477" i="36"/>
  <c r="X478" i="36"/>
  <c r="X463" i="36"/>
  <c r="X445" i="36"/>
  <c r="X446" i="36"/>
  <c r="X447" i="36"/>
  <c r="X448" i="36"/>
  <c r="X449" i="36"/>
  <c r="X450" i="36"/>
  <c r="X451" i="36"/>
  <c r="X452" i="36"/>
  <c r="X453" i="36"/>
  <c r="X454" i="36"/>
  <c r="X455" i="36"/>
  <c r="X456" i="36"/>
  <c r="X457" i="36"/>
  <c r="X458" i="36"/>
  <c r="X459" i="36"/>
  <c r="X444" i="36"/>
  <c r="Y478" i="36"/>
  <c r="W478" i="36"/>
  <c r="V478" i="36"/>
  <c r="U478" i="36"/>
  <c r="Y477" i="36"/>
  <c r="Y476" i="36"/>
  <c r="Y475" i="36"/>
  <c r="W475" i="36"/>
  <c r="V475" i="36"/>
  <c r="U475" i="36"/>
  <c r="Y474" i="36"/>
  <c r="W474" i="36"/>
  <c r="V474" i="36"/>
  <c r="U474" i="36"/>
  <c r="Y473" i="36"/>
  <c r="W473" i="36"/>
  <c r="V473" i="36"/>
  <c r="U473" i="36"/>
  <c r="Y472" i="36"/>
  <c r="W472" i="36"/>
  <c r="V472" i="36"/>
  <c r="U472" i="36"/>
  <c r="Y471" i="36"/>
  <c r="W471" i="36"/>
  <c r="V471" i="36"/>
  <c r="U471" i="36"/>
  <c r="Y470" i="36"/>
  <c r="W470" i="36"/>
  <c r="V470" i="36"/>
  <c r="U470" i="36"/>
  <c r="Y469" i="36"/>
  <c r="W469" i="36"/>
  <c r="V469" i="36"/>
  <c r="U469" i="36"/>
  <c r="Y468" i="36"/>
  <c r="W468" i="36"/>
  <c r="V468" i="36"/>
  <c r="U468" i="36"/>
  <c r="Y467" i="36"/>
  <c r="W467" i="36"/>
  <c r="V467" i="36"/>
  <c r="U467" i="36"/>
  <c r="Y466" i="36"/>
  <c r="W466" i="36"/>
  <c r="V466" i="36"/>
  <c r="U466" i="36"/>
  <c r="Y465" i="36"/>
  <c r="W465" i="36"/>
  <c r="V465" i="36"/>
  <c r="U465" i="36"/>
  <c r="Y464" i="36"/>
  <c r="W464" i="36"/>
  <c r="V464" i="36"/>
  <c r="U464" i="36"/>
  <c r="Y463" i="36"/>
  <c r="W463" i="36"/>
  <c r="V463" i="36"/>
  <c r="U463" i="36"/>
  <c r="Y459" i="36"/>
  <c r="W459" i="36"/>
  <c r="V459" i="36"/>
  <c r="U459" i="36"/>
  <c r="Y458" i="36"/>
  <c r="U458" i="36"/>
  <c r="Y457" i="36"/>
  <c r="W457" i="36"/>
  <c r="V457" i="36"/>
  <c r="U457" i="36"/>
  <c r="Y456" i="36"/>
  <c r="W456" i="36"/>
  <c r="V456" i="36"/>
  <c r="U456" i="36"/>
  <c r="Y455" i="36"/>
  <c r="W455" i="36"/>
  <c r="V455" i="36"/>
  <c r="U455" i="36"/>
  <c r="Y454" i="36"/>
  <c r="W454" i="36"/>
  <c r="V454" i="36"/>
  <c r="U454" i="36"/>
  <c r="Y453" i="36"/>
  <c r="W453" i="36"/>
  <c r="V453" i="36"/>
  <c r="U453" i="36"/>
  <c r="Y452" i="36"/>
  <c r="W452" i="36"/>
  <c r="V452" i="36"/>
  <c r="U452" i="36"/>
  <c r="Y451" i="36"/>
  <c r="W451" i="36"/>
  <c r="V451" i="36"/>
  <c r="U451" i="36"/>
  <c r="Y450" i="36"/>
  <c r="W450" i="36"/>
  <c r="V450" i="36"/>
  <c r="U450" i="36"/>
  <c r="Y449" i="36"/>
  <c r="W449" i="36"/>
  <c r="V449" i="36"/>
  <c r="U449" i="36"/>
  <c r="Y448" i="36"/>
  <c r="W448" i="36"/>
  <c r="V448" i="36"/>
  <c r="U448" i="36"/>
  <c r="Y447" i="36"/>
  <c r="W447" i="36"/>
  <c r="V447" i="36"/>
  <c r="U447" i="36"/>
  <c r="Y446" i="36"/>
  <c r="W446" i="36"/>
  <c r="V446" i="36"/>
  <c r="U446" i="36"/>
  <c r="Y445" i="36"/>
  <c r="W445" i="36"/>
  <c r="V445" i="36"/>
  <c r="U445" i="36"/>
  <c r="Y444" i="36"/>
  <c r="W444" i="36"/>
  <c r="V444" i="36"/>
  <c r="U444" i="36"/>
  <c r="X422" i="36"/>
  <c r="X423" i="36"/>
  <c r="X424" i="36"/>
  <c r="X425" i="36"/>
  <c r="X426" i="36"/>
  <c r="X427" i="36"/>
  <c r="X428" i="36"/>
  <c r="X429" i="36"/>
  <c r="X430" i="36"/>
  <c r="X431" i="36"/>
  <c r="X432" i="36"/>
  <c r="X433" i="36"/>
  <c r="X434" i="36"/>
  <c r="X435" i="36"/>
  <c r="X436" i="36"/>
  <c r="X437" i="36"/>
  <c r="X438" i="36"/>
  <c r="X439" i="36"/>
  <c r="X440" i="36"/>
  <c r="X421" i="36"/>
  <c r="Y440" i="36"/>
  <c r="W440" i="36"/>
  <c r="V440" i="36"/>
  <c r="U440" i="36"/>
  <c r="Y439" i="36"/>
  <c r="W439" i="36"/>
  <c r="V439" i="36"/>
  <c r="U439" i="36"/>
  <c r="Y438" i="36"/>
  <c r="W438" i="36"/>
  <c r="V438" i="36"/>
  <c r="U438" i="36"/>
  <c r="Y437" i="36"/>
  <c r="W437" i="36"/>
  <c r="V437" i="36"/>
  <c r="U437" i="36"/>
  <c r="Y436" i="36"/>
  <c r="W436" i="36"/>
  <c r="V436" i="36"/>
  <c r="U436" i="36"/>
  <c r="Y435" i="36"/>
  <c r="W435" i="36"/>
  <c r="V435" i="36"/>
  <c r="U435" i="36"/>
  <c r="Y434" i="36"/>
  <c r="W434" i="36"/>
  <c r="V434" i="36"/>
  <c r="U434" i="36"/>
  <c r="Y433" i="36"/>
  <c r="W433" i="36"/>
  <c r="V433" i="36"/>
  <c r="U433" i="36"/>
  <c r="Y432" i="36"/>
  <c r="W432" i="36"/>
  <c r="V432" i="36"/>
  <c r="U432" i="36"/>
  <c r="Y431" i="36"/>
  <c r="W431" i="36"/>
  <c r="V431" i="36"/>
  <c r="U431" i="36"/>
  <c r="Y430" i="36"/>
  <c r="W430" i="36"/>
  <c r="V430" i="36"/>
  <c r="U430" i="36"/>
  <c r="Y429" i="36"/>
  <c r="W429" i="36"/>
  <c r="V429" i="36"/>
  <c r="U429" i="36"/>
  <c r="Y428" i="36"/>
  <c r="W428" i="36"/>
  <c r="V428" i="36"/>
  <c r="U428" i="36"/>
  <c r="Y427" i="36"/>
  <c r="W427" i="36"/>
  <c r="V427" i="36"/>
  <c r="U427" i="36"/>
  <c r="Y426" i="36"/>
  <c r="W426" i="36"/>
  <c r="V426" i="36"/>
  <c r="U426" i="36"/>
  <c r="Y425" i="36"/>
  <c r="W425" i="36"/>
  <c r="V425" i="36"/>
  <c r="U425" i="36"/>
  <c r="Y424" i="36"/>
  <c r="W424" i="36"/>
  <c r="V424" i="36"/>
  <c r="U424" i="36"/>
  <c r="Y423" i="36"/>
  <c r="W423" i="36"/>
  <c r="V423" i="36"/>
  <c r="U423" i="36"/>
  <c r="Y422" i="36"/>
  <c r="W422" i="36"/>
  <c r="V422" i="36"/>
  <c r="U422" i="36"/>
  <c r="Y421" i="36"/>
  <c r="W421" i="36"/>
  <c r="V421" i="36"/>
  <c r="U421" i="36"/>
  <c r="X399" i="36"/>
  <c r="X400" i="36"/>
  <c r="X401" i="36"/>
  <c r="X402" i="36"/>
  <c r="X403" i="36"/>
  <c r="X404" i="36"/>
  <c r="X405" i="36"/>
  <c r="X406" i="36"/>
  <c r="X407" i="36"/>
  <c r="X408" i="36"/>
  <c r="X409" i="36"/>
  <c r="X410" i="36"/>
  <c r="X411" i="36"/>
  <c r="X412" i="36"/>
  <c r="X413" i="36"/>
  <c r="X414" i="36"/>
  <c r="X415" i="36"/>
  <c r="X416" i="36"/>
  <c r="X417" i="36"/>
  <c r="X398" i="36"/>
  <c r="Y417" i="36"/>
  <c r="W417" i="36"/>
  <c r="V417" i="36"/>
  <c r="U417" i="36"/>
  <c r="Y416" i="36"/>
  <c r="W416" i="36"/>
  <c r="V416" i="36"/>
  <c r="U416" i="36"/>
  <c r="Y415" i="36"/>
  <c r="W415" i="36"/>
  <c r="V415" i="36"/>
  <c r="U415" i="36"/>
  <c r="Y414" i="36"/>
  <c r="W414" i="36"/>
  <c r="V414" i="36"/>
  <c r="U414" i="36"/>
  <c r="Y413" i="36"/>
  <c r="W413" i="36"/>
  <c r="V413" i="36"/>
  <c r="U413" i="36"/>
  <c r="Y412" i="36"/>
  <c r="W412" i="36"/>
  <c r="V412" i="36"/>
  <c r="U412" i="36"/>
  <c r="Y411" i="36"/>
  <c r="W411" i="36"/>
  <c r="V411" i="36"/>
  <c r="U411" i="36"/>
  <c r="Y410" i="36"/>
  <c r="W410" i="36"/>
  <c r="V410" i="36"/>
  <c r="U410" i="36"/>
  <c r="Y409" i="36"/>
  <c r="W409" i="36"/>
  <c r="V409" i="36"/>
  <c r="U409" i="36"/>
  <c r="Y408" i="36"/>
  <c r="W408" i="36"/>
  <c r="V408" i="36"/>
  <c r="U408" i="36"/>
  <c r="Y407" i="36"/>
  <c r="W407" i="36"/>
  <c r="V407" i="36"/>
  <c r="U407" i="36"/>
  <c r="Y406" i="36"/>
  <c r="W406" i="36"/>
  <c r="V406" i="36"/>
  <c r="U406" i="36"/>
  <c r="Y405" i="36"/>
  <c r="W405" i="36"/>
  <c r="V405" i="36"/>
  <c r="U405" i="36"/>
  <c r="Y404" i="36"/>
  <c r="W404" i="36"/>
  <c r="V404" i="36"/>
  <c r="U404" i="36"/>
  <c r="Y403" i="36"/>
  <c r="W403" i="36"/>
  <c r="V403" i="36"/>
  <c r="U403" i="36"/>
  <c r="Y402" i="36"/>
  <c r="W402" i="36"/>
  <c r="V402" i="36"/>
  <c r="U402" i="36"/>
  <c r="Y401" i="36"/>
  <c r="W401" i="36"/>
  <c r="V401" i="36"/>
  <c r="U401" i="36"/>
  <c r="Y400" i="36"/>
  <c r="W400" i="36"/>
  <c r="V400" i="36"/>
  <c r="U400" i="36"/>
  <c r="Y399" i="36"/>
  <c r="W399" i="36"/>
  <c r="V399" i="36"/>
  <c r="U399" i="36"/>
  <c r="Y398" i="36"/>
  <c r="W398" i="36"/>
  <c r="V398" i="36"/>
  <c r="U398" i="36"/>
  <c r="X376" i="36"/>
  <c r="X377" i="36"/>
  <c r="X378" i="36"/>
  <c r="X379" i="36"/>
  <c r="X380" i="36"/>
  <c r="X381" i="36"/>
  <c r="X382" i="36"/>
  <c r="X383" i="36"/>
  <c r="X384" i="36"/>
  <c r="X385" i="36"/>
  <c r="X386" i="36"/>
  <c r="X387" i="36"/>
  <c r="X388" i="36"/>
  <c r="X389" i="36"/>
  <c r="X390" i="36"/>
  <c r="X391" i="36"/>
  <c r="X392" i="36"/>
  <c r="X393" i="36"/>
  <c r="X394" i="36"/>
  <c r="X375" i="36"/>
  <c r="Y394" i="36"/>
  <c r="W394" i="36"/>
  <c r="V394" i="36"/>
  <c r="U394" i="36"/>
  <c r="Y393" i="36"/>
  <c r="W393" i="36"/>
  <c r="V393" i="36"/>
  <c r="U393" i="36"/>
  <c r="Y392" i="36"/>
  <c r="W392" i="36"/>
  <c r="V392" i="36"/>
  <c r="U392" i="36"/>
  <c r="Y391" i="36"/>
  <c r="W391" i="36"/>
  <c r="V391" i="36"/>
  <c r="U391" i="36"/>
  <c r="Y390" i="36"/>
  <c r="W390" i="36"/>
  <c r="V390" i="36"/>
  <c r="U390" i="36"/>
  <c r="Y389" i="36"/>
  <c r="W389" i="36"/>
  <c r="V389" i="36"/>
  <c r="U389" i="36"/>
  <c r="Y388" i="36"/>
  <c r="W388" i="36"/>
  <c r="V388" i="36"/>
  <c r="U388" i="36"/>
  <c r="Y387" i="36"/>
  <c r="W387" i="36"/>
  <c r="V387" i="36"/>
  <c r="U387" i="36"/>
  <c r="Y386" i="36"/>
  <c r="W386" i="36"/>
  <c r="V386" i="36"/>
  <c r="U386" i="36"/>
  <c r="Y385" i="36"/>
  <c r="W385" i="36"/>
  <c r="V385" i="36"/>
  <c r="U385" i="36"/>
  <c r="Y384" i="36"/>
  <c r="W384" i="36"/>
  <c r="V384" i="36"/>
  <c r="U384" i="36"/>
  <c r="Y383" i="36"/>
  <c r="W383" i="36"/>
  <c r="V383" i="36"/>
  <c r="U383" i="36"/>
  <c r="Y382" i="36"/>
  <c r="W382" i="36"/>
  <c r="V382" i="36"/>
  <c r="U382" i="36"/>
  <c r="Y381" i="36"/>
  <c r="W381" i="36"/>
  <c r="V381" i="36"/>
  <c r="U381" i="36"/>
  <c r="Y380" i="36"/>
  <c r="W380" i="36"/>
  <c r="V380" i="36"/>
  <c r="U380" i="36"/>
  <c r="Y379" i="36"/>
  <c r="W379" i="36"/>
  <c r="V379" i="36"/>
  <c r="U379" i="36"/>
  <c r="Y378" i="36"/>
  <c r="W378" i="36"/>
  <c r="V378" i="36"/>
  <c r="U378" i="36"/>
  <c r="Y377" i="36"/>
  <c r="W377" i="36"/>
  <c r="V377" i="36"/>
  <c r="U377" i="36"/>
  <c r="Y376" i="36"/>
  <c r="W376" i="36"/>
  <c r="V376" i="36"/>
  <c r="U376" i="36"/>
  <c r="Y375" i="36"/>
  <c r="W375" i="36"/>
  <c r="V375" i="36"/>
  <c r="U375" i="36"/>
  <c r="X353" i="36"/>
  <c r="X354" i="36"/>
  <c r="X355" i="36"/>
  <c r="X356" i="36"/>
  <c r="X357" i="36"/>
  <c r="X358" i="36"/>
  <c r="X359" i="36"/>
  <c r="X360" i="36"/>
  <c r="X361" i="36"/>
  <c r="X362" i="36"/>
  <c r="X363" i="36"/>
  <c r="X364" i="36"/>
  <c r="X365" i="36"/>
  <c r="X366" i="36"/>
  <c r="X367" i="36"/>
  <c r="X368" i="36"/>
  <c r="X369" i="36"/>
  <c r="X370" i="36"/>
  <c r="X371" i="36"/>
  <c r="X352" i="36"/>
  <c r="W371" i="36"/>
  <c r="V371" i="36"/>
  <c r="U371" i="36"/>
  <c r="W370" i="36"/>
  <c r="V370" i="36"/>
  <c r="U370" i="36"/>
  <c r="W369" i="36"/>
  <c r="V369" i="36"/>
  <c r="U369" i="36"/>
  <c r="W368" i="36"/>
  <c r="V368" i="36"/>
  <c r="U368" i="36"/>
  <c r="W367" i="36"/>
  <c r="V367" i="36"/>
  <c r="U367" i="36"/>
  <c r="W366" i="36"/>
  <c r="V366" i="36"/>
  <c r="U366" i="36"/>
  <c r="W365" i="36"/>
  <c r="V365" i="36"/>
  <c r="U365" i="36"/>
  <c r="W364" i="36"/>
  <c r="V364" i="36"/>
  <c r="U364" i="36"/>
  <c r="W363" i="36"/>
  <c r="V363" i="36"/>
  <c r="U363" i="36"/>
  <c r="W362" i="36"/>
  <c r="V362" i="36"/>
  <c r="U362" i="36"/>
  <c r="W361" i="36"/>
  <c r="V361" i="36"/>
  <c r="U361" i="36"/>
  <c r="W360" i="36"/>
  <c r="V360" i="36"/>
  <c r="U360" i="36"/>
  <c r="W359" i="36"/>
  <c r="V359" i="36"/>
  <c r="U359" i="36"/>
  <c r="W358" i="36"/>
  <c r="V358" i="36"/>
  <c r="U358" i="36"/>
  <c r="W357" i="36"/>
  <c r="V357" i="36"/>
  <c r="U357" i="36"/>
  <c r="W356" i="36"/>
  <c r="V356" i="36"/>
  <c r="U356" i="36"/>
  <c r="W355" i="36"/>
  <c r="V355" i="36"/>
  <c r="U355" i="36"/>
  <c r="W354" i="36"/>
  <c r="V354" i="36"/>
  <c r="U354" i="36"/>
  <c r="W353" i="36"/>
  <c r="V353" i="36"/>
  <c r="U353" i="36"/>
  <c r="Y352" i="36"/>
  <c r="W352" i="36"/>
  <c r="V352" i="36"/>
  <c r="U352" i="36"/>
  <c r="X330" i="36"/>
  <c r="X331" i="36"/>
  <c r="X332" i="36"/>
  <c r="X333" i="36"/>
  <c r="X334" i="36"/>
  <c r="X335" i="36"/>
  <c r="X336" i="36"/>
  <c r="X337" i="36"/>
  <c r="X338" i="36"/>
  <c r="X339" i="36"/>
  <c r="X340" i="36"/>
  <c r="X341" i="36"/>
  <c r="X342" i="36"/>
  <c r="X343" i="36"/>
  <c r="X344" i="36"/>
  <c r="X345" i="36"/>
  <c r="X346" i="36"/>
  <c r="X347" i="36"/>
  <c r="X348" i="36"/>
  <c r="X329" i="36"/>
  <c r="Y348" i="36"/>
  <c r="W348" i="36"/>
  <c r="V348" i="36"/>
  <c r="U348" i="36"/>
  <c r="Y347" i="36"/>
  <c r="W347" i="36"/>
  <c r="V347" i="36"/>
  <c r="U347" i="36"/>
  <c r="Y346" i="36"/>
  <c r="W346" i="36"/>
  <c r="V346" i="36"/>
  <c r="U346" i="36"/>
  <c r="Y345" i="36"/>
  <c r="W345" i="36"/>
  <c r="V345" i="36"/>
  <c r="U345" i="36"/>
  <c r="Y344" i="36"/>
  <c r="W344" i="36"/>
  <c r="V344" i="36"/>
  <c r="U344" i="36"/>
  <c r="Y343" i="36"/>
  <c r="W343" i="36"/>
  <c r="V343" i="36"/>
  <c r="U343" i="36"/>
  <c r="Y342" i="36"/>
  <c r="W342" i="36"/>
  <c r="V342" i="36"/>
  <c r="U342" i="36"/>
  <c r="Y341" i="36"/>
  <c r="W341" i="36"/>
  <c r="V341" i="36"/>
  <c r="U341" i="36"/>
  <c r="Y340" i="36"/>
  <c r="W340" i="36"/>
  <c r="V340" i="36"/>
  <c r="U340" i="36"/>
  <c r="Y339" i="36"/>
  <c r="W339" i="36"/>
  <c r="V339" i="36"/>
  <c r="U339" i="36"/>
  <c r="Y338" i="36"/>
  <c r="W338" i="36"/>
  <c r="V338" i="36"/>
  <c r="U338" i="36"/>
  <c r="Y337" i="36"/>
  <c r="W337" i="36"/>
  <c r="V337" i="36"/>
  <c r="U337" i="36"/>
  <c r="Y336" i="36"/>
  <c r="W336" i="36"/>
  <c r="V336" i="36"/>
  <c r="U336" i="36"/>
  <c r="Y335" i="36"/>
  <c r="W335" i="36"/>
  <c r="V335" i="36"/>
  <c r="U335" i="36"/>
  <c r="Y334" i="36"/>
  <c r="W334" i="36"/>
  <c r="V334" i="36"/>
  <c r="U334" i="36"/>
  <c r="Y333" i="36"/>
  <c r="W333" i="36"/>
  <c r="V333" i="36"/>
  <c r="U333" i="36"/>
  <c r="Y332" i="36"/>
  <c r="W332" i="36"/>
  <c r="V332" i="36"/>
  <c r="U332" i="36"/>
  <c r="Y331" i="36"/>
  <c r="W331" i="36"/>
  <c r="V331" i="36"/>
  <c r="U331" i="36"/>
  <c r="Y330" i="36"/>
  <c r="W330" i="36"/>
  <c r="V330" i="36"/>
  <c r="U330" i="36"/>
  <c r="Y329" i="36"/>
  <c r="W329" i="36"/>
  <c r="V329" i="36"/>
  <c r="U329" i="36"/>
  <c r="X307" i="36"/>
  <c r="X308" i="36"/>
  <c r="X309" i="36"/>
  <c r="X310" i="36"/>
  <c r="X311" i="36"/>
  <c r="X312" i="36"/>
  <c r="X313" i="36"/>
  <c r="X314" i="36"/>
  <c r="X315" i="36"/>
  <c r="X316" i="36"/>
  <c r="X317" i="36"/>
  <c r="X318" i="36"/>
  <c r="X319" i="36"/>
  <c r="X320" i="36"/>
  <c r="X321" i="36"/>
  <c r="X322" i="36"/>
  <c r="X323" i="36"/>
  <c r="X324" i="36"/>
  <c r="X325" i="36"/>
  <c r="X306" i="36"/>
  <c r="Y325" i="36"/>
  <c r="W325" i="36"/>
  <c r="V325" i="36"/>
  <c r="U325" i="36"/>
  <c r="Y324" i="36"/>
  <c r="W324" i="36"/>
  <c r="V324" i="36"/>
  <c r="U324" i="36"/>
  <c r="Y323" i="36"/>
  <c r="W323" i="36"/>
  <c r="V323" i="36"/>
  <c r="U323" i="36"/>
  <c r="Y322" i="36"/>
  <c r="W322" i="36"/>
  <c r="V322" i="36"/>
  <c r="U322" i="36"/>
  <c r="Y321" i="36"/>
  <c r="W321" i="36"/>
  <c r="V321" i="36"/>
  <c r="U321" i="36"/>
  <c r="Y320" i="36"/>
  <c r="W320" i="36"/>
  <c r="V320" i="36"/>
  <c r="U320" i="36"/>
  <c r="Y319" i="36"/>
  <c r="W319" i="36"/>
  <c r="V319" i="36"/>
  <c r="U319" i="36"/>
  <c r="Y318" i="36"/>
  <c r="W318" i="36"/>
  <c r="V318" i="36"/>
  <c r="U318" i="36"/>
  <c r="Y317" i="36"/>
  <c r="W317" i="36"/>
  <c r="V317" i="36"/>
  <c r="U317" i="36"/>
  <c r="Y316" i="36"/>
  <c r="W316" i="36"/>
  <c r="V316" i="36"/>
  <c r="U316" i="36"/>
  <c r="Y315" i="36"/>
  <c r="W315" i="36"/>
  <c r="V315" i="36"/>
  <c r="U315" i="36"/>
  <c r="Y314" i="36"/>
  <c r="W314" i="36"/>
  <c r="V314" i="36"/>
  <c r="U314" i="36"/>
  <c r="Y313" i="36"/>
  <c r="W313" i="36"/>
  <c r="V313" i="36"/>
  <c r="U313" i="36"/>
  <c r="Y312" i="36"/>
  <c r="W312" i="36"/>
  <c r="V312" i="36"/>
  <c r="U312" i="36"/>
  <c r="Y311" i="36"/>
  <c r="W311" i="36"/>
  <c r="V311" i="36"/>
  <c r="U311" i="36"/>
  <c r="Y310" i="36"/>
  <c r="W310" i="36"/>
  <c r="V310" i="36"/>
  <c r="U310" i="36"/>
  <c r="Y309" i="36"/>
  <c r="W309" i="36"/>
  <c r="V309" i="36"/>
  <c r="U309" i="36"/>
  <c r="Y308" i="36"/>
  <c r="W308" i="36"/>
  <c r="V308" i="36"/>
  <c r="U308" i="36"/>
  <c r="Y307" i="36"/>
  <c r="W307" i="36"/>
  <c r="V307" i="36"/>
  <c r="U307" i="36"/>
  <c r="Y306" i="36"/>
  <c r="W306" i="36"/>
  <c r="V306" i="36"/>
  <c r="U306" i="36"/>
  <c r="X265" i="36"/>
  <c r="X266" i="36"/>
  <c r="X267" i="36"/>
  <c r="X268" i="36"/>
  <c r="X269" i="36"/>
  <c r="X270" i="36"/>
  <c r="X271" i="36"/>
  <c r="X272" i="36"/>
  <c r="X273" i="36"/>
  <c r="X274" i="36"/>
  <c r="X264" i="36"/>
  <c r="X251" i="36"/>
  <c r="X252" i="36"/>
  <c r="X253" i="36"/>
  <c r="X254" i="36"/>
  <c r="X255" i="36"/>
  <c r="X256" i="36"/>
  <c r="X257" i="36"/>
  <c r="X258" i="36"/>
  <c r="X259" i="36"/>
  <c r="X260" i="36"/>
  <c r="X250" i="36"/>
  <c r="Y274" i="36"/>
  <c r="W274" i="36"/>
  <c r="V274" i="36"/>
  <c r="U274" i="36"/>
  <c r="Y273" i="36"/>
  <c r="W273" i="36"/>
  <c r="V273" i="36"/>
  <c r="U273" i="36"/>
  <c r="Y272" i="36"/>
  <c r="W272" i="36"/>
  <c r="V272" i="36"/>
  <c r="U272" i="36"/>
  <c r="Y271" i="36"/>
  <c r="W271" i="36"/>
  <c r="V271" i="36"/>
  <c r="U271" i="36"/>
  <c r="Y270" i="36"/>
  <c r="W270" i="36"/>
  <c r="V270" i="36"/>
  <c r="U270" i="36"/>
  <c r="Y269" i="36"/>
  <c r="W269" i="36"/>
  <c r="V269" i="36"/>
  <c r="U269" i="36"/>
  <c r="Y268" i="36"/>
  <c r="W268" i="36"/>
  <c r="V268" i="36"/>
  <c r="U268" i="36"/>
  <c r="Y267" i="36"/>
  <c r="W267" i="36"/>
  <c r="V267" i="36"/>
  <c r="U267" i="36"/>
  <c r="Y266" i="36"/>
  <c r="W266" i="36"/>
  <c r="V266" i="36"/>
  <c r="U266" i="36"/>
  <c r="Y265" i="36"/>
  <c r="W265" i="36"/>
  <c r="V265" i="36"/>
  <c r="U265" i="36"/>
  <c r="Y264" i="36"/>
  <c r="W264" i="36"/>
  <c r="V264" i="36"/>
  <c r="U264" i="36"/>
  <c r="Y260" i="36"/>
  <c r="W260" i="36"/>
  <c r="V260" i="36"/>
  <c r="U260" i="36"/>
  <c r="Y259" i="36"/>
  <c r="W259" i="36"/>
  <c r="V259" i="36"/>
  <c r="U259" i="36"/>
  <c r="Y258" i="36"/>
  <c r="W258" i="36"/>
  <c r="V258" i="36"/>
  <c r="U258" i="36"/>
  <c r="Y257" i="36"/>
  <c r="W257" i="36"/>
  <c r="V257" i="36"/>
  <c r="U257" i="36"/>
  <c r="Y256" i="36"/>
  <c r="W256" i="36"/>
  <c r="V256" i="36"/>
  <c r="U256" i="36"/>
  <c r="Y255" i="36"/>
  <c r="W255" i="36"/>
  <c r="V255" i="36"/>
  <c r="U255" i="36"/>
  <c r="Y254" i="36"/>
  <c r="W254" i="36"/>
  <c r="V254" i="36"/>
  <c r="U254" i="36"/>
  <c r="Y253" i="36"/>
  <c r="W253" i="36"/>
  <c r="V253" i="36"/>
  <c r="U253" i="36"/>
  <c r="Y252" i="36"/>
  <c r="W252" i="36"/>
  <c r="V252" i="36"/>
  <c r="U252" i="36"/>
  <c r="Y251" i="36"/>
  <c r="W251" i="36"/>
  <c r="V251" i="36"/>
  <c r="U251" i="36"/>
  <c r="Y250" i="36"/>
  <c r="W250" i="36"/>
  <c r="V250" i="36"/>
  <c r="U250" i="36"/>
  <c r="X231" i="36"/>
  <c r="X232" i="36"/>
  <c r="X233" i="36"/>
  <c r="X234" i="36"/>
  <c r="X235" i="36"/>
  <c r="X236" i="36"/>
  <c r="X237" i="36"/>
  <c r="X238" i="36"/>
  <c r="X239" i="36"/>
  <c r="X240" i="36"/>
  <c r="X241" i="36"/>
  <c r="X242" i="36"/>
  <c r="X243" i="36"/>
  <c r="X244" i="36"/>
  <c r="X245" i="36"/>
  <c r="X246" i="36"/>
  <c r="X230" i="36"/>
  <c r="Y246" i="36"/>
  <c r="W246" i="36"/>
  <c r="V246" i="36"/>
  <c r="U246" i="36"/>
  <c r="Y245" i="36"/>
  <c r="W245" i="36"/>
  <c r="V245" i="36"/>
  <c r="U245" i="36"/>
  <c r="Y244" i="36"/>
  <c r="W244" i="36"/>
  <c r="V244" i="36"/>
  <c r="U244" i="36"/>
  <c r="Y243" i="36"/>
  <c r="W243" i="36"/>
  <c r="V243" i="36"/>
  <c r="U243" i="36"/>
  <c r="Y242" i="36"/>
  <c r="W242" i="36"/>
  <c r="V242" i="36"/>
  <c r="U242" i="36"/>
  <c r="Y241" i="36"/>
  <c r="W241" i="36"/>
  <c r="V241" i="36"/>
  <c r="U241" i="36"/>
  <c r="Y240" i="36"/>
  <c r="W240" i="36"/>
  <c r="V240" i="36"/>
  <c r="U240" i="36"/>
  <c r="Y239" i="36"/>
  <c r="W239" i="36"/>
  <c r="V239" i="36"/>
  <c r="U239" i="36"/>
  <c r="Y238" i="36"/>
  <c r="W238" i="36"/>
  <c r="V238" i="36"/>
  <c r="U238" i="36"/>
  <c r="Y237" i="36"/>
  <c r="W237" i="36"/>
  <c r="V237" i="36"/>
  <c r="U237" i="36"/>
  <c r="Y236" i="36"/>
  <c r="W236" i="36"/>
  <c r="V236" i="36"/>
  <c r="U236" i="36"/>
  <c r="Y235" i="36"/>
  <c r="W235" i="36"/>
  <c r="V235" i="36"/>
  <c r="U235" i="36"/>
  <c r="Y234" i="36"/>
  <c r="W234" i="36"/>
  <c r="V234" i="36"/>
  <c r="U234" i="36"/>
  <c r="Y233" i="36"/>
  <c r="W233" i="36"/>
  <c r="V233" i="36"/>
  <c r="U233" i="36"/>
  <c r="Y232" i="36"/>
  <c r="W232" i="36"/>
  <c r="V232" i="36"/>
  <c r="U232" i="36"/>
  <c r="Y231" i="36"/>
  <c r="W231" i="36"/>
  <c r="V231" i="36"/>
  <c r="U231" i="36"/>
  <c r="Y230" i="36"/>
  <c r="W230" i="36"/>
  <c r="V230" i="36"/>
  <c r="U230" i="36"/>
  <c r="X211" i="36"/>
  <c r="X212" i="36"/>
  <c r="X213" i="36"/>
  <c r="X214" i="36"/>
  <c r="X215" i="36"/>
  <c r="X216" i="36"/>
  <c r="X217" i="36"/>
  <c r="X218" i="36"/>
  <c r="X219" i="36"/>
  <c r="X220" i="36"/>
  <c r="X221" i="36"/>
  <c r="X222" i="36"/>
  <c r="X223" i="36"/>
  <c r="X224" i="36"/>
  <c r="X225" i="36"/>
  <c r="X226" i="36"/>
  <c r="X210" i="36"/>
  <c r="Y226" i="36"/>
  <c r="W226" i="36"/>
  <c r="V226" i="36"/>
  <c r="U226" i="36"/>
  <c r="Y225" i="36"/>
  <c r="W225" i="36"/>
  <c r="V225" i="36"/>
  <c r="U225" i="36"/>
  <c r="Y224" i="36"/>
  <c r="W224" i="36"/>
  <c r="V224" i="36"/>
  <c r="U224" i="36"/>
  <c r="Y223" i="36"/>
  <c r="W223" i="36"/>
  <c r="V223" i="36"/>
  <c r="U223" i="36"/>
  <c r="Y222" i="36"/>
  <c r="W222" i="36"/>
  <c r="V222" i="36"/>
  <c r="U222" i="36"/>
  <c r="Y221" i="36"/>
  <c r="W221" i="36"/>
  <c r="V221" i="36"/>
  <c r="U221" i="36"/>
  <c r="Y220" i="36"/>
  <c r="W220" i="36"/>
  <c r="V220" i="36"/>
  <c r="U220" i="36"/>
  <c r="Y219" i="36"/>
  <c r="W219" i="36"/>
  <c r="V219" i="36"/>
  <c r="U219" i="36"/>
  <c r="Y218" i="36"/>
  <c r="W218" i="36"/>
  <c r="V218" i="36"/>
  <c r="U218" i="36"/>
  <c r="Y217" i="36"/>
  <c r="W217" i="36"/>
  <c r="V217" i="36"/>
  <c r="U217" i="36"/>
  <c r="Y216" i="36"/>
  <c r="W216" i="36"/>
  <c r="V216" i="36"/>
  <c r="U216" i="36"/>
  <c r="Y215" i="36"/>
  <c r="W215" i="36"/>
  <c r="V215" i="36"/>
  <c r="U215" i="36"/>
  <c r="Y214" i="36"/>
  <c r="W214" i="36"/>
  <c r="V214" i="36"/>
  <c r="U214" i="36"/>
  <c r="Y213" i="36"/>
  <c r="W213" i="36"/>
  <c r="V213" i="36"/>
  <c r="U213" i="36"/>
  <c r="Y212" i="36"/>
  <c r="W212" i="36"/>
  <c r="V212" i="36"/>
  <c r="U212" i="36"/>
  <c r="Y211" i="36"/>
  <c r="W211" i="36"/>
  <c r="V211" i="36"/>
  <c r="U211" i="36"/>
  <c r="Y210" i="36"/>
  <c r="W210" i="36"/>
  <c r="V210" i="36"/>
  <c r="U210" i="36"/>
  <c r="X191" i="36"/>
  <c r="X192" i="36"/>
  <c r="X193" i="36"/>
  <c r="X194" i="36"/>
  <c r="X195" i="36"/>
  <c r="X196" i="36"/>
  <c r="X197" i="36"/>
  <c r="X198" i="36"/>
  <c r="X199" i="36"/>
  <c r="X200" i="36"/>
  <c r="X201" i="36"/>
  <c r="X202" i="36"/>
  <c r="X203" i="36"/>
  <c r="X204" i="36"/>
  <c r="X205" i="36"/>
  <c r="X206" i="36"/>
  <c r="X190" i="36"/>
  <c r="Y206" i="36"/>
  <c r="W206" i="36"/>
  <c r="V206" i="36"/>
  <c r="U206" i="36"/>
  <c r="Y205" i="36"/>
  <c r="W205" i="36"/>
  <c r="V205" i="36"/>
  <c r="U205" i="36"/>
  <c r="Y204" i="36"/>
  <c r="W204" i="36"/>
  <c r="V204" i="36"/>
  <c r="U204" i="36"/>
  <c r="Y203" i="36"/>
  <c r="W203" i="36"/>
  <c r="V203" i="36"/>
  <c r="U203" i="36"/>
  <c r="Y202" i="36"/>
  <c r="W202" i="36"/>
  <c r="V202" i="36"/>
  <c r="U202" i="36"/>
  <c r="Y201" i="36"/>
  <c r="W201" i="36"/>
  <c r="V201" i="36"/>
  <c r="U201" i="36"/>
  <c r="Y200" i="36"/>
  <c r="W200" i="36"/>
  <c r="V200" i="36"/>
  <c r="U200" i="36"/>
  <c r="Y199" i="36"/>
  <c r="W199" i="36"/>
  <c r="V199" i="36"/>
  <c r="U199" i="36"/>
  <c r="Y198" i="36"/>
  <c r="W198" i="36"/>
  <c r="V198" i="36"/>
  <c r="U198" i="36"/>
  <c r="Y197" i="36"/>
  <c r="W197" i="36"/>
  <c r="V197" i="36"/>
  <c r="U197" i="36"/>
  <c r="Y196" i="36"/>
  <c r="W196" i="36"/>
  <c r="V196" i="36"/>
  <c r="U196" i="36"/>
  <c r="Y195" i="36"/>
  <c r="W195" i="36"/>
  <c r="V195" i="36"/>
  <c r="U195" i="36"/>
  <c r="Y194" i="36"/>
  <c r="W194" i="36"/>
  <c r="V194" i="36"/>
  <c r="U194" i="36"/>
  <c r="Y193" i="36"/>
  <c r="W193" i="36"/>
  <c r="V193" i="36"/>
  <c r="U193" i="36"/>
  <c r="Y192" i="36"/>
  <c r="W192" i="36"/>
  <c r="V192" i="36"/>
  <c r="U192" i="36"/>
  <c r="Y191" i="36"/>
  <c r="W191" i="36"/>
  <c r="V191" i="36"/>
  <c r="U191" i="36"/>
  <c r="Y190" i="36"/>
  <c r="W190" i="36"/>
  <c r="V190" i="36"/>
  <c r="U190" i="36"/>
  <c r="X171" i="36"/>
  <c r="X172" i="36"/>
  <c r="X173" i="36"/>
  <c r="X174" i="36"/>
  <c r="X175" i="36"/>
  <c r="X176" i="36"/>
  <c r="X177" i="36"/>
  <c r="X178" i="36"/>
  <c r="X179" i="36"/>
  <c r="X180" i="36"/>
  <c r="X181" i="36"/>
  <c r="X182" i="36"/>
  <c r="X183" i="36"/>
  <c r="X184" i="36"/>
  <c r="X185" i="36"/>
  <c r="X186" i="36"/>
  <c r="X170" i="36"/>
  <c r="Y186" i="36"/>
  <c r="W186" i="36"/>
  <c r="V186" i="36"/>
  <c r="U186" i="36"/>
  <c r="Y185" i="36"/>
  <c r="W185" i="36"/>
  <c r="V185" i="36"/>
  <c r="U185" i="36"/>
  <c r="Y184" i="36"/>
  <c r="W184" i="36"/>
  <c r="V184" i="36"/>
  <c r="U184" i="36"/>
  <c r="Y183" i="36"/>
  <c r="W183" i="36"/>
  <c r="V183" i="36"/>
  <c r="U183" i="36"/>
  <c r="Y182" i="36"/>
  <c r="W182" i="36"/>
  <c r="V182" i="36"/>
  <c r="U182" i="36"/>
  <c r="Y181" i="36"/>
  <c r="W181" i="36"/>
  <c r="V181" i="36"/>
  <c r="U181" i="36"/>
  <c r="Y180" i="36"/>
  <c r="W180" i="36"/>
  <c r="V180" i="36"/>
  <c r="U180" i="36"/>
  <c r="Y179" i="36"/>
  <c r="W179" i="36"/>
  <c r="V179" i="36"/>
  <c r="U179" i="36"/>
  <c r="Y178" i="36"/>
  <c r="W178" i="36"/>
  <c r="V178" i="36"/>
  <c r="U178" i="36"/>
  <c r="Y177" i="36"/>
  <c r="W177" i="36"/>
  <c r="V177" i="36"/>
  <c r="U177" i="36"/>
  <c r="Y176" i="36"/>
  <c r="W176" i="36"/>
  <c r="V176" i="36"/>
  <c r="U176" i="36"/>
  <c r="Y175" i="36"/>
  <c r="W175" i="36"/>
  <c r="V175" i="36"/>
  <c r="U175" i="36"/>
  <c r="Y174" i="36"/>
  <c r="W174" i="36"/>
  <c r="V174" i="36"/>
  <c r="U174" i="36"/>
  <c r="Y173" i="36"/>
  <c r="W173" i="36"/>
  <c r="V173" i="36"/>
  <c r="U173" i="36"/>
  <c r="Y172" i="36"/>
  <c r="W172" i="36"/>
  <c r="V172" i="36"/>
  <c r="U172" i="36"/>
  <c r="Y171" i="36"/>
  <c r="W171" i="36"/>
  <c r="V171" i="36"/>
  <c r="U171" i="36"/>
  <c r="Y170" i="36"/>
  <c r="W170" i="36"/>
  <c r="V170" i="36"/>
  <c r="U170" i="36"/>
  <c r="X149" i="36"/>
  <c r="X150" i="36"/>
  <c r="X151" i="36"/>
  <c r="X152" i="36"/>
  <c r="X153" i="36"/>
  <c r="X154" i="36"/>
  <c r="X155" i="36"/>
  <c r="X156" i="36"/>
  <c r="X157" i="36"/>
  <c r="X158" i="36"/>
  <c r="X159" i="36"/>
  <c r="X160" i="36"/>
  <c r="X161" i="36"/>
  <c r="X162" i="36"/>
  <c r="X163" i="36"/>
  <c r="X164" i="36"/>
  <c r="X165" i="36"/>
  <c r="X166" i="36"/>
  <c r="X148" i="36"/>
  <c r="Y166" i="36"/>
  <c r="W166" i="36"/>
  <c r="V166" i="36"/>
  <c r="U166" i="36"/>
  <c r="Y165" i="36"/>
  <c r="V165" i="36"/>
  <c r="U165" i="36"/>
  <c r="Y164" i="36"/>
  <c r="W164" i="36"/>
  <c r="V164" i="36"/>
  <c r="U164" i="36"/>
  <c r="Y163" i="36"/>
  <c r="W163" i="36"/>
  <c r="V163" i="36"/>
  <c r="U163" i="36"/>
  <c r="Y162" i="36"/>
  <c r="W162" i="36"/>
  <c r="V162" i="36"/>
  <c r="U162" i="36"/>
  <c r="Y161" i="36"/>
  <c r="W161" i="36"/>
  <c r="V161" i="36"/>
  <c r="U161" i="36"/>
  <c r="Y160" i="36"/>
  <c r="W160" i="36"/>
  <c r="V160" i="36"/>
  <c r="U160" i="36"/>
  <c r="Y159" i="36"/>
  <c r="W159" i="36"/>
  <c r="V159" i="36"/>
  <c r="U159" i="36"/>
  <c r="Y158" i="36"/>
  <c r="W158" i="36"/>
  <c r="V158" i="36"/>
  <c r="U158" i="36"/>
  <c r="Y157" i="36"/>
  <c r="W157" i="36"/>
  <c r="V157" i="36"/>
  <c r="U157" i="36"/>
  <c r="Y156" i="36"/>
  <c r="W156" i="36"/>
  <c r="V156" i="36"/>
  <c r="U156" i="36"/>
  <c r="Y155" i="36"/>
  <c r="W155" i="36"/>
  <c r="V155" i="36"/>
  <c r="U155" i="36"/>
  <c r="Y154" i="36"/>
  <c r="W154" i="36"/>
  <c r="V154" i="36"/>
  <c r="U154" i="36"/>
  <c r="Y153" i="36"/>
  <c r="U153" i="36"/>
  <c r="Y152" i="36"/>
  <c r="W152" i="36"/>
  <c r="V152" i="36"/>
  <c r="U152" i="36"/>
  <c r="Y151" i="36"/>
  <c r="W151" i="36"/>
  <c r="V151" i="36"/>
  <c r="U151" i="36"/>
  <c r="Y150" i="36"/>
  <c r="W150" i="36"/>
  <c r="V150" i="36"/>
  <c r="U150" i="36"/>
  <c r="Y149" i="36"/>
  <c r="W149" i="36"/>
  <c r="V149" i="36"/>
  <c r="U149" i="36"/>
  <c r="Y148" i="36"/>
  <c r="W148" i="36"/>
  <c r="V148" i="36"/>
  <c r="U148" i="36"/>
  <c r="X140" i="36"/>
  <c r="X141" i="36"/>
  <c r="X142" i="36"/>
  <c r="X143" i="36"/>
  <c r="X144" i="36"/>
  <c r="X139" i="36"/>
  <c r="Y144" i="36"/>
  <c r="W144" i="36"/>
  <c r="V144" i="36"/>
  <c r="U144" i="36"/>
  <c r="Y143" i="36"/>
  <c r="W143" i="36"/>
  <c r="V143" i="36"/>
  <c r="U143" i="36"/>
  <c r="Y142" i="36"/>
  <c r="W142" i="36"/>
  <c r="V142" i="36"/>
  <c r="U142" i="36"/>
  <c r="Y141" i="36"/>
  <c r="W141" i="36"/>
  <c r="V141" i="36"/>
  <c r="U141" i="36"/>
  <c r="Y140" i="36"/>
  <c r="W140" i="36"/>
  <c r="V140" i="36"/>
  <c r="U140" i="36"/>
  <c r="Y139" i="36"/>
  <c r="W139" i="36"/>
  <c r="V139" i="36"/>
  <c r="U139" i="36"/>
  <c r="X118" i="36"/>
  <c r="X119" i="36"/>
  <c r="X120" i="36"/>
  <c r="X121" i="36"/>
  <c r="X122" i="36"/>
  <c r="X123" i="36"/>
  <c r="X124" i="36"/>
  <c r="X125" i="36"/>
  <c r="X126" i="36"/>
  <c r="X127" i="36"/>
  <c r="X128" i="36"/>
  <c r="X129" i="36"/>
  <c r="X130" i="36"/>
  <c r="X131" i="36"/>
  <c r="X132" i="36"/>
  <c r="X133" i="36"/>
  <c r="X134" i="36"/>
  <c r="X135" i="36"/>
  <c r="X117" i="36"/>
  <c r="Y135" i="36"/>
  <c r="W135" i="36"/>
  <c r="V135" i="36"/>
  <c r="U135" i="36"/>
  <c r="Y134" i="36"/>
  <c r="W134" i="36"/>
  <c r="V134" i="36"/>
  <c r="U134" i="36"/>
  <c r="Y133" i="36"/>
  <c r="W133" i="36"/>
  <c r="V133" i="36"/>
  <c r="U133" i="36"/>
  <c r="Y132" i="36"/>
  <c r="W132" i="36"/>
  <c r="V132" i="36"/>
  <c r="U132" i="36"/>
  <c r="Y131" i="36"/>
  <c r="W131" i="36"/>
  <c r="V131" i="36"/>
  <c r="U131" i="36"/>
  <c r="Y130" i="36"/>
  <c r="W130" i="36"/>
  <c r="V130" i="36"/>
  <c r="U130" i="36"/>
  <c r="Y129" i="36"/>
  <c r="W129" i="36"/>
  <c r="V129" i="36"/>
  <c r="U129" i="36"/>
  <c r="Y128" i="36"/>
  <c r="W128" i="36"/>
  <c r="V128" i="36"/>
  <c r="U128" i="36"/>
  <c r="Y127" i="36"/>
  <c r="W127" i="36"/>
  <c r="V127" i="36"/>
  <c r="U127" i="36"/>
  <c r="Y126" i="36"/>
  <c r="W126" i="36"/>
  <c r="V126" i="36"/>
  <c r="U126" i="36"/>
  <c r="Y125" i="36"/>
  <c r="W125" i="36"/>
  <c r="V125" i="36"/>
  <c r="U125" i="36"/>
  <c r="Y124" i="36"/>
  <c r="W124" i="36"/>
  <c r="V124" i="36"/>
  <c r="U124" i="36"/>
  <c r="Y123" i="36"/>
  <c r="W123" i="36"/>
  <c r="V123" i="36"/>
  <c r="U123" i="36"/>
  <c r="Y122" i="36"/>
  <c r="U122" i="36"/>
  <c r="Y121" i="36"/>
  <c r="W121" i="36"/>
  <c r="V121" i="36"/>
  <c r="U121" i="36"/>
  <c r="Y120" i="36"/>
  <c r="W120" i="36"/>
  <c r="V120" i="36"/>
  <c r="U120" i="36"/>
  <c r="Y119" i="36"/>
  <c r="W119" i="36"/>
  <c r="V119" i="36"/>
  <c r="U119" i="36"/>
  <c r="Y118" i="36"/>
  <c r="W118" i="36"/>
  <c r="V118" i="36"/>
  <c r="U118" i="36"/>
  <c r="Y117" i="36"/>
  <c r="W117" i="36"/>
  <c r="V117" i="36"/>
  <c r="U117" i="36"/>
  <c r="X109" i="36"/>
  <c r="X110" i="36"/>
  <c r="X111" i="36"/>
  <c r="X112" i="36"/>
  <c r="X113" i="36"/>
  <c r="X108" i="36"/>
  <c r="Y113" i="36"/>
  <c r="W113" i="36"/>
  <c r="V113" i="36"/>
  <c r="U113" i="36"/>
  <c r="Y112" i="36"/>
  <c r="W112" i="36"/>
  <c r="V112" i="36"/>
  <c r="U112" i="36"/>
  <c r="Y111" i="36"/>
  <c r="W111" i="36"/>
  <c r="V111" i="36"/>
  <c r="U111" i="36"/>
  <c r="Y110" i="36"/>
  <c r="W110" i="36"/>
  <c r="V110" i="36"/>
  <c r="U110" i="36"/>
  <c r="Y109" i="36"/>
  <c r="W109" i="36"/>
  <c r="V109" i="36"/>
  <c r="U109" i="36"/>
  <c r="Y108" i="36"/>
  <c r="W108" i="36"/>
  <c r="V108" i="36"/>
  <c r="U108" i="36"/>
  <c r="X104" i="36"/>
  <c r="X94" i="36"/>
  <c r="X95" i="36"/>
  <c r="X96" i="36"/>
  <c r="X97" i="36"/>
  <c r="X98" i="36"/>
  <c r="X99" i="36"/>
  <c r="X100" i="36"/>
  <c r="X101" i="36"/>
  <c r="X102" i="36"/>
  <c r="X103" i="36"/>
  <c r="X93" i="36"/>
  <c r="Y104" i="36"/>
  <c r="W104" i="36"/>
  <c r="V104" i="36"/>
  <c r="U104" i="36"/>
  <c r="Y103" i="36"/>
  <c r="W103" i="36"/>
  <c r="V103" i="36"/>
  <c r="U103" i="36"/>
  <c r="Y102" i="36"/>
  <c r="W102" i="36"/>
  <c r="V102" i="36"/>
  <c r="U102" i="36"/>
  <c r="Y101" i="36"/>
  <c r="W101" i="36"/>
  <c r="V101" i="36"/>
  <c r="U101" i="36"/>
  <c r="Y100" i="36"/>
  <c r="W100" i="36"/>
  <c r="V100" i="36"/>
  <c r="U100" i="36"/>
  <c r="Y99" i="36"/>
  <c r="W99" i="36"/>
  <c r="V99" i="36"/>
  <c r="U99" i="36"/>
  <c r="Y98" i="36"/>
  <c r="W98" i="36"/>
  <c r="V98" i="36"/>
  <c r="U98" i="36"/>
  <c r="Y97" i="36"/>
  <c r="W97" i="36"/>
  <c r="V97" i="36"/>
  <c r="U97" i="36"/>
  <c r="Y96" i="36"/>
  <c r="W96" i="36"/>
  <c r="V96" i="36"/>
  <c r="U96" i="36"/>
  <c r="Y95" i="36"/>
  <c r="W95" i="36"/>
  <c r="V95" i="36"/>
  <c r="U95" i="36"/>
  <c r="Y94" i="36"/>
  <c r="W94" i="36"/>
  <c r="V94" i="36"/>
  <c r="U94" i="36"/>
  <c r="Y93" i="36"/>
  <c r="W93" i="36"/>
  <c r="V93" i="36"/>
  <c r="U93" i="36"/>
  <c r="X79" i="36"/>
  <c r="X80" i="36"/>
  <c r="X81" i="36"/>
  <c r="X82" i="36"/>
  <c r="X83" i="36"/>
  <c r="X84" i="36"/>
  <c r="X85" i="36"/>
  <c r="X86" i="36"/>
  <c r="X87" i="36"/>
  <c r="X88" i="36"/>
  <c r="X89" i="36"/>
  <c r="X78" i="36"/>
  <c r="Y89" i="36"/>
  <c r="W89" i="36"/>
  <c r="V89" i="36"/>
  <c r="U89" i="36"/>
  <c r="Y88" i="36"/>
  <c r="W88" i="36"/>
  <c r="V88" i="36"/>
  <c r="U88" i="36"/>
  <c r="Y87" i="36"/>
  <c r="W87" i="36"/>
  <c r="V87" i="36"/>
  <c r="U87" i="36"/>
  <c r="Y86" i="36"/>
  <c r="W86" i="36"/>
  <c r="V86" i="36"/>
  <c r="U86" i="36"/>
  <c r="Y85" i="36"/>
  <c r="W85" i="36"/>
  <c r="V85" i="36"/>
  <c r="U85" i="36"/>
  <c r="Y84" i="36"/>
  <c r="W84" i="36"/>
  <c r="V84" i="36"/>
  <c r="U84" i="36"/>
  <c r="Y83" i="36"/>
  <c r="W83" i="36"/>
  <c r="V83" i="36"/>
  <c r="U83" i="36"/>
  <c r="Y82" i="36"/>
  <c r="W82" i="36"/>
  <c r="V82" i="36"/>
  <c r="U82" i="36"/>
  <c r="Y81" i="36"/>
  <c r="W81" i="36"/>
  <c r="V81" i="36"/>
  <c r="U81" i="36"/>
  <c r="Y80" i="36"/>
  <c r="W80" i="36"/>
  <c r="V80" i="36"/>
  <c r="U80" i="36"/>
  <c r="Y79" i="36"/>
  <c r="W79" i="36"/>
  <c r="V79" i="36"/>
  <c r="U79" i="36"/>
  <c r="Y78" i="36"/>
  <c r="W78" i="36"/>
  <c r="V78" i="36"/>
  <c r="U78" i="36"/>
  <c r="C70" i="36"/>
  <c r="D70" i="36"/>
  <c r="E70" i="36"/>
  <c r="F70" i="36"/>
  <c r="G70" i="36"/>
  <c r="H70" i="36"/>
  <c r="I70" i="36"/>
  <c r="J70" i="36"/>
  <c r="J72" i="36" s="1"/>
  <c r="K70" i="36"/>
  <c r="L70" i="36"/>
  <c r="M70" i="36"/>
  <c r="N70" i="36"/>
  <c r="O70" i="36"/>
  <c r="P70" i="36"/>
  <c r="P72" i="36" s="1"/>
  <c r="Q70" i="36"/>
  <c r="R70" i="36"/>
  <c r="S70" i="36"/>
  <c r="Y70" i="36" s="1"/>
  <c r="T70" i="36"/>
  <c r="X70" i="36" s="1"/>
  <c r="C71" i="36"/>
  <c r="D71" i="36"/>
  <c r="E71" i="36"/>
  <c r="F71" i="36"/>
  <c r="G71" i="36"/>
  <c r="H71" i="36"/>
  <c r="I71" i="36"/>
  <c r="J71" i="36"/>
  <c r="K71" i="36"/>
  <c r="L71" i="36"/>
  <c r="M71" i="36"/>
  <c r="M72" i="36" s="1"/>
  <c r="N71" i="36"/>
  <c r="O71" i="36"/>
  <c r="P71" i="36"/>
  <c r="V71" i="36" s="1"/>
  <c r="Q71" i="36"/>
  <c r="R71" i="36"/>
  <c r="S71" i="36"/>
  <c r="Y71" i="36" s="1"/>
  <c r="T71" i="36"/>
  <c r="C72" i="36"/>
  <c r="D72" i="36"/>
  <c r="E72" i="36"/>
  <c r="F72" i="36"/>
  <c r="G72" i="36"/>
  <c r="K72" i="36"/>
  <c r="Q72" i="36"/>
  <c r="B71" i="36"/>
  <c r="B70" i="36"/>
  <c r="B72" i="36" s="1"/>
  <c r="V64" i="36"/>
  <c r="V63" i="36"/>
  <c r="C62" i="36"/>
  <c r="D62" i="36"/>
  <c r="E62" i="36"/>
  <c r="F62" i="36"/>
  <c r="G62" i="36"/>
  <c r="H62" i="36"/>
  <c r="I62" i="36"/>
  <c r="J62" i="36"/>
  <c r="K62" i="36"/>
  <c r="L62" i="36"/>
  <c r="M62" i="36"/>
  <c r="N62" i="36"/>
  <c r="O62" i="36"/>
  <c r="P62" i="36"/>
  <c r="Q62" i="36"/>
  <c r="R62" i="36"/>
  <c r="S62" i="36"/>
  <c r="T62" i="36"/>
  <c r="C63" i="36"/>
  <c r="D63" i="36"/>
  <c r="E63" i="36"/>
  <c r="F63" i="36"/>
  <c r="G63" i="36"/>
  <c r="H63" i="36"/>
  <c r="I63" i="36"/>
  <c r="J63" i="36"/>
  <c r="K63" i="36"/>
  <c r="L63" i="36"/>
  <c r="M63" i="36"/>
  <c r="N63" i="36"/>
  <c r="O63" i="36"/>
  <c r="P63" i="36"/>
  <c r="Q63" i="36"/>
  <c r="R63" i="36"/>
  <c r="S63" i="36"/>
  <c r="T63" i="36"/>
  <c r="C64" i="36"/>
  <c r="D64" i="36"/>
  <c r="E64" i="36"/>
  <c r="F64" i="36"/>
  <c r="G64" i="36"/>
  <c r="H64" i="36"/>
  <c r="I64" i="36"/>
  <c r="J64" i="36"/>
  <c r="K64" i="36"/>
  <c r="L64" i="36"/>
  <c r="M64" i="36"/>
  <c r="N64" i="36"/>
  <c r="O64" i="36"/>
  <c r="P64" i="36"/>
  <c r="Q64" i="36"/>
  <c r="R64" i="36"/>
  <c r="S64" i="36"/>
  <c r="Y64" i="36" s="1"/>
  <c r="T64" i="36"/>
  <c r="X58" i="36"/>
  <c r="X54" i="36"/>
  <c r="X55" i="36"/>
  <c r="X56" i="36"/>
  <c r="X57" i="36"/>
  <c r="X53" i="36"/>
  <c r="Y58" i="36"/>
  <c r="W58" i="36"/>
  <c r="V58" i="36"/>
  <c r="U58" i="36"/>
  <c r="Y57" i="36"/>
  <c r="W57" i="36"/>
  <c r="V57" i="36"/>
  <c r="U57" i="36"/>
  <c r="Y56" i="36"/>
  <c r="W56" i="36"/>
  <c r="V56" i="36"/>
  <c r="U56" i="36"/>
  <c r="Y55" i="36"/>
  <c r="W55" i="36"/>
  <c r="V55" i="36"/>
  <c r="U55" i="36"/>
  <c r="Y54" i="36"/>
  <c r="W54" i="36"/>
  <c r="V54" i="36"/>
  <c r="U54" i="36"/>
  <c r="Y53" i="36"/>
  <c r="W53" i="36"/>
  <c r="V53" i="36"/>
  <c r="U53" i="36"/>
  <c r="X45" i="36"/>
  <c r="X46" i="36"/>
  <c r="X47" i="36"/>
  <c r="X48" i="36"/>
  <c r="X49" i="36"/>
  <c r="X44" i="36"/>
  <c r="Y49" i="36"/>
  <c r="W49" i="36"/>
  <c r="V49" i="36"/>
  <c r="U49" i="36"/>
  <c r="Y48" i="36"/>
  <c r="W48" i="36"/>
  <c r="V48" i="36"/>
  <c r="U48" i="36"/>
  <c r="Y47" i="36"/>
  <c r="W47" i="36"/>
  <c r="V47" i="36"/>
  <c r="U47" i="36"/>
  <c r="Y46" i="36"/>
  <c r="W46" i="36"/>
  <c r="V46" i="36"/>
  <c r="U46" i="36"/>
  <c r="Y45" i="36"/>
  <c r="W45" i="36"/>
  <c r="V45" i="36"/>
  <c r="U45" i="36"/>
  <c r="Y44" i="36"/>
  <c r="W44" i="36"/>
  <c r="V44" i="36"/>
  <c r="U44" i="36"/>
  <c r="X34" i="36"/>
  <c r="X35" i="36"/>
  <c r="X36" i="36"/>
  <c r="X37" i="36"/>
  <c r="X38" i="36"/>
  <c r="X39" i="36"/>
  <c r="X33" i="36"/>
  <c r="Y39" i="36"/>
  <c r="W39" i="36"/>
  <c r="V39" i="36"/>
  <c r="U39" i="36"/>
  <c r="Y38" i="36"/>
  <c r="W38" i="36"/>
  <c r="V38" i="36"/>
  <c r="U38" i="36"/>
  <c r="Y37" i="36"/>
  <c r="W37" i="36"/>
  <c r="V37" i="36"/>
  <c r="U37" i="36"/>
  <c r="Y36" i="36"/>
  <c r="W36" i="36"/>
  <c r="V36" i="36"/>
  <c r="U36" i="36"/>
  <c r="Y35" i="36"/>
  <c r="W35" i="36"/>
  <c r="V35" i="36"/>
  <c r="U35" i="36"/>
  <c r="Y34" i="36"/>
  <c r="W34" i="36"/>
  <c r="V34" i="36"/>
  <c r="Y33" i="36"/>
  <c r="W33" i="36"/>
  <c r="V33" i="36"/>
  <c r="U33" i="36"/>
  <c r="U20" i="36"/>
  <c r="X27" i="36"/>
  <c r="X26" i="36"/>
  <c r="X25" i="36"/>
  <c r="X24" i="36"/>
  <c r="X23" i="36"/>
  <c r="X22" i="36"/>
  <c r="X21" i="36"/>
  <c r="X20" i="36"/>
  <c r="X16" i="36"/>
  <c r="X14" i="36"/>
  <c r="X15" i="36"/>
  <c r="X13" i="36"/>
  <c r="X7" i="36"/>
  <c r="X8" i="36"/>
  <c r="X6" i="36"/>
  <c r="X9" i="36"/>
  <c r="Y27" i="36"/>
  <c r="W27" i="36"/>
  <c r="V27" i="36"/>
  <c r="U27" i="36"/>
  <c r="Y26" i="36"/>
  <c r="W26" i="36"/>
  <c r="V26" i="36"/>
  <c r="Y25" i="36"/>
  <c r="W25" i="36"/>
  <c r="V25" i="36"/>
  <c r="U25" i="36"/>
  <c r="Y24" i="36"/>
  <c r="W24" i="36"/>
  <c r="V24" i="36"/>
  <c r="U24" i="36"/>
  <c r="Y23" i="36"/>
  <c r="W23" i="36"/>
  <c r="V23" i="36"/>
  <c r="U23" i="36"/>
  <c r="Y22" i="36"/>
  <c r="W22" i="36"/>
  <c r="V22" i="36"/>
  <c r="U22" i="36"/>
  <c r="Y21" i="36"/>
  <c r="W21" i="36"/>
  <c r="V21" i="36"/>
  <c r="Y20" i="36"/>
  <c r="W20" i="36"/>
  <c r="V20" i="36"/>
  <c r="Y16" i="36"/>
  <c r="W16" i="36"/>
  <c r="V16" i="36"/>
  <c r="U16" i="36"/>
  <c r="Y15" i="36"/>
  <c r="W15" i="36"/>
  <c r="V15" i="36"/>
  <c r="U15" i="36"/>
  <c r="Y14" i="36"/>
  <c r="W14" i="36"/>
  <c r="V14" i="36"/>
  <c r="U14" i="36"/>
  <c r="Y13" i="36"/>
  <c r="W13" i="36"/>
  <c r="V13" i="36"/>
  <c r="U13" i="36"/>
  <c r="Y9" i="36"/>
  <c r="W9" i="36"/>
  <c r="V9" i="36"/>
  <c r="U9" i="36"/>
  <c r="Y8" i="36"/>
  <c r="W8" i="36"/>
  <c r="V8" i="36"/>
  <c r="U8" i="36"/>
  <c r="Y7" i="36"/>
  <c r="W7" i="36"/>
  <c r="V7" i="36"/>
  <c r="U7" i="36"/>
  <c r="Y6" i="36"/>
  <c r="W6" i="36"/>
  <c r="V6" i="36"/>
  <c r="U6" i="36"/>
  <c r="Y681" i="36"/>
  <c r="Y679" i="36"/>
  <c r="Y678" i="36"/>
  <c r="Y677" i="36"/>
  <c r="Y676" i="36"/>
  <c r="Y675" i="36"/>
  <c r="Y691" i="36"/>
  <c r="Y689" i="36"/>
  <c r="Y688" i="36"/>
  <c r="Y687" i="36"/>
  <c r="Y686" i="36"/>
  <c r="Y685" i="36"/>
  <c r="Y701" i="36"/>
  <c r="Y699" i="36"/>
  <c r="Y698" i="36"/>
  <c r="Y697" i="36"/>
  <c r="Y696" i="36"/>
  <c r="Y695" i="36"/>
  <c r="Y302" i="36"/>
  <c r="X302" i="36"/>
  <c r="W302" i="36"/>
  <c r="V302" i="36"/>
  <c r="U302" i="36"/>
  <c r="Y301" i="36"/>
  <c r="X301" i="36"/>
  <c r="W301" i="36"/>
  <c r="V301" i="36"/>
  <c r="U301" i="36"/>
  <c r="Y300" i="36"/>
  <c r="X300" i="36"/>
  <c r="W300" i="36"/>
  <c r="V300" i="36"/>
  <c r="U300" i="36"/>
  <c r="Y299" i="36"/>
  <c r="X299" i="36"/>
  <c r="W299" i="36"/>
  <c r="V299" i="36"/>
  <c r="U299" i="36"/>
  <c r="Y298" i="36"/>
  <c r="X298" i="36"/>
  <c r="W298" i="36"/>
  <c r="V298" i="36"/>
  <c r="U298" i="36"/>
  <c r="Y297" i="36"/>
  <c r="X297" i="36"/>
  <c r="W297" i="36"/>
  <c r="V297" i="36"/>
  <c r="U297" i="36"/>
  <c r="Y296" i="36"/>
  <c r="X296" i="36"/>
  <c r="W296" i="36"/>
  <c r="V296" i="36"/>
  <c r="U296" i="36"/>
  <c r="Y295" i="36"/>
  <c r="X295" i="36"/>
  <c r="W295" i="36"/>
  <c r="V295" i="36"/>
  <c r="U295" i="36"/>
  <c r="Y294" i="36"/>
  <c r="X294" i="36"/>
  <c r="W294" i="36"/>
  <c r="V294" i="36"/>
  <c r="U294" i="36"/>
  <c r="Y293" i="36"/>
  <c r="X293" i="36"/>
  <c r="W293" i="36"/>
  <c r="V293" i="36"/>
  <c r="U293" i="36"/>
  <c r="Y292" i="36"/>
  <c r="X292" i="36"/>
  <c r="W292" i="36"/>
  <c r="V292" i="36"/>
  <c r="U292" i="36"/>
  <c r="Y671" i="36"/>
  <c r="Y669" i="36"/>
  <c r="Y668" i="36"/>
  <c r="Y667" i="36"/>
  <c r="Y666" i="36"/>
  <c r="Y665" i="36"/>
  <c r="Y133" i="25"/>
  <c r="W133" i="25"/>
  <c r="V133" i="25"/>
  <c r="U133" i="25"/>
  <c r="Y132" i="25"/>
  <c r="W132" i="25"/>
  <c r="V132" i="25"/>
  <c r="U132" i="25"/>
  <c r="Y131" i="25"/>
  <c r="W131" i="25"/>
  <c r="V131" i="25"/>
  <c r="U131" i="25"/>
  <c r="Y130" i="25"/>
  <c r="W130" i="25"/>
  <c r="V130" i="25"/>
  <c r="U130" i="25"/>
  <c r="Y129" i="25"/>
  <c r="W129" i="25"/>
  <c r="V129" i="25"/>
  <c r="U129" i="25"/>
  <c r="Y128" i="25"/>
  <c r="W128" i="25"/>
  <c r="V128" i="25"/>
  <c r="U128" i="25"/>
  <c r="Y127" i="25"/>
  <c r="W127" i="25"/>
  <c r="V127" i="25"/>
  <c r="U127" i="25"/>
  <c r="Y126" i="25"/>
  <c r="W126" i="25"/>
  <c r="V126" i="25"/>
  <c r="U126" i="25"/>
  <c r="Y125" i="25"/>
  <c r="W125" i="25"/>
  <c r="V125" i="25"/>
  <c r="U125" i="25"/>
  <c r="Y124" i="25"/>
  <c r="W124" i="25"/>
  <c r="V124" i="25"/>
  <c r="U124" i="25"/>
  <c r="Y123" i="25"/>
  <c r="W123" i="25"/>
  <c r="V123" i="25"/>
  <c r="U123" i="25"/>
  <c r="Y122" i="25"/>
  <c r="W122" i="25"/>
  <c r="V122" i="25"/>
  <c r="U122" i="25"/>
  <c r="Y121" i="25"/>
  <c r="W121" i="25"/>
  <c r="V121" i="25"/>
  <c r="U121" i="25"/>
  <c r="Y120" i="25"/>
  <c r="W120" i="25"/>
  <c r="V120" i="25"/>
  <c r="U120" i="25"/>
  <c r="Y119" i="25"/>
  <c r="W119" i="25"/>
  <c r="V119" i="25"/>
  <c r="U119" i="25"/>
  <c r="Y118" i="25"/>
  <c r="W118" i="25"/>
  <c r="V118" i="25"/>
  <c r="U118" i="25"/>
  <c r="Y117" i="25"/>
  <c r="W117" i="25"/>
  <c r="V117" i="25"/>
  <c r="U117" i="25"/>
  <c r="W71" i="36" l="1"/>
  <c r="V70" i="36"/>
  <c r="I72" i="36"/>
  <c r="R72" i="36"/>
  <c r="L72" i="36"/>
  <c r="O72" i="36"/>
  <c r="W64" i="36"/>
  <c r="U63" i="36"/>
  <c r="W62" i="36"/>
  <c r="Y62" i="36"/>
  <c r="T72" i="36"/>
  <c r="U71" i="36"/>
  <c r="Y72" i="36"/>
  <c r="X71" i="36"/>
  <c r="U62" i="36"/>
  <c r="W63" i="36"/>
  <c r="X62" i="36"/>
  <c r="W70" i="36"/>
  <c r="U72" i="36"/>
  <c r="X72" i="36"/>
  <c r="V62" i="36"/>
  <c r="Y63" i="36"/>
  <c r="X64" i="36"/>
  <c r="S72" i="36"/>
  <c r="W72" i="36" s="1"/>
  <c r="V72" i="36"/>
  <c r="U64" i="36"/>
  <c r="X63" i="36"/>
  <c r="N72" i="36"/>
  <c r="H72" i="36"/>
  <c r="U70" i="36"/>
  <c r="Y670" i="36" l="1"/>
  <c r="O50" i="41"/>
  <c r="O51" i="41"/>
  <c r="O52" i="41"/>
  <c r="O53" i="41"/>
  <c r="O54" i="41"/>
  <c r="O55" i="41"/>
  <c r="O56" i="41"/>
  <c r="O57" i="41"/>
  <c r="O58" i="41"/>
  <c r="O59" i="41"/>
  <c r="O60" i="41"/>
  <c r="O61" i="41"/>
  <c r="O62" i="41"/>
  <c r="O63" i="41"/>
  <c r="O64" i="41"/>
  <c r="O65" i="41"/>
  <c r="O49" i="41"/>
  <c r="N49" i="41"/>
  <c r="D378" i="41" l="1"/>
  <c r="N50" i="41" l="1"/>
  <c r="N51" i="41"/>
  <c r="N52" i="41"/>
  <c r="N53" i="41"/>
  <c r="N54" i="41"/>
  <c r="N55" i="41"/>
  <c r="N56" i="41"/>
  <c r="N57" i="41"/>
  <c r="N58" i="41"/>
  <c r="N59" i="41"/>
  <c r="N60" i="41"/>
  <c r="N61" i="41"/>
  <c r="N62" i="41"/>
  <c r="N63" i="41"/>
  <c r="N64" i="41"/>
  <c r="N65" i="41"/>
  <c r="Y680" i="36" l="1"/>
  <c r="Y700" i="36"/>
  <c r="Y690" i="36"/>
  <c r="D379" i="41" l="1"/>
  <c r="D380" i="41"/>
  <c r="D381" i="41"/>
  <c r="D382" i="41"/>
  <c r="D383" i="41"/>
  <c r="D384" i="41"/>
  <c r="D385" i="41"/>
  <c r="D386" i="41"/>
  <c r="D387" i="41"/>
  <c r="D388" i="41"/>
  <c r="D389" i="41"/>
  <c r="D390" i="41"/>
  <c r="D391" i="41"/>
  <c r="D392" i="41"/>
  <c r="D393" i="41"/>
  <c r="D394" i="41"/>
  <c r="D395" i="41"/>
  <c r="D396" i="41"/>
  <c r="D397" i="41"/>
  <c r="D398" i="41"/>
  <c r="D399" i="41"/>
  <c r="D400" i="41"/>
  <c r="D401" i="41"/>
  <c r="D402" i="41"/>
  <c r="D403" i="41"/>
  <c r="D404" i="41"/>
  <c r="D405" i="41"/>
  <c r="D406" i="41"/>
  <c r="D407" i="41"/>
  <c r="D408" i="41"/>
  <c r="D409" i="41"/>
  <c r="D410" i="41"/>
  <c r="D411" i="41"/>
  <c r="D412" i="41"/>
  <c r="D413" i="41"/>
  <c r="D414" i="41"/>
  <c r="D415" i="41"/>
  <c r="D416" i="41"/>
  <c r="D417" i="41"/>
  <c r="D418" i="41"/>
  <c r="D419" i="41"/>
  <c r="D420" i="41"/>
  <c r="D421" i="41"/>
  <c r="D422" i="41"/>
  <c r="D423" i="41"/>
  <c r="D424" i="41"/>
  <c r="D425" i="41"/>
  <c r="D426" i="41"/>
  <c r="D427" i="41"/>
  <c r="D434" i="41"/>
  <c r="D435" i="41"/>
  <c r="D436" i="41"/>
  <c r="D437" i="41"/>
  <c r="D438" i="41"/>
  <c r="D439" i="41"/>
  <c r="D440" i="41"/>
  <c r="D441" i="41"/>
  <c r="D442" i="41"/>
  <c r="D443" i="41"/>
  <c r="D444" i="41"/>
  <c r="D445" i="41"/>
  <c r="D446" i="41"/>
  <c r="D447" i="41"/>
  <c r="D448" i="41"/>
  <c r="D449" i="41"/>
  <c r="D450" i="41"/>
  <c r="D451" i="41"/>
  <c r="D452" i="41"/>
  <c r="D453" i="41"/>
  <c r="D454" i="41"/>
  <c r="D455" i="41"/>
  <c r="D456" i="41"/>
  <c r="D457" i="41"/>
  <c r="D458" i="41"/>
  <c r="D459" i="41"/>
  <c r="D460" i="41"/>
  <c r="D461" i="41"/>
  <c r="D462" i="41"/>
  <c r="D463" i="41"/>
  <c r="D464" i="41"/>
  <c r="D465" i="41"/>
  <c r="D466" i="41"/>
  <c r="D467" i="41"/>
  <c r="D468" i="41"/>
  <c r="D469" i="41"/>
  <c r="D470" i="41"/>
  <c r="D471" i="41"/>
  <c r="D472" i="41"/>
  <c r="D473" i="41"/>
  <c r="D474" i="41"/>
  <c r="D475" i="41"/>
  <c r="D476" i="41"/>
  <c r="D477" i="41"/>
  <c r="D478" i="41"/>
  <c r="D479" i="41"/>
  <c r="D480" i="41"/>
  <c r="D481" i="41"/>
  <c r="D482" i="41"/>
  <c r="D483" i="41"/>
  <c r="D484" i="41"/>
  <c r="D485" i="41"/>
  <c r="D486" i="41"/>
  <c r="D487" i="41"/>
  <c r="D488" i="41"/>
  <c r="D489" i="41"/>
  <c r="D490" i="41"/>
  <c r="D491" i="41"/>
  <c r="D492" i="41"/>
  <c r="D493" i="41"/>
  <c r="D494" i="41"/>
  <c r="D495" i="41"/>
  <c r="D496" i="41"/>
  <c r="D497" i="41"/>
  <c r="D498" i="41"/>
  <c r="D499" i="41"/>
  <c r="D500" i="41"/>
  <c r="D501" i="41"/>
  <c r="D502" i="41"/>
  <c r="D503" i="41"/>
  <c r="B734" i="36" l="1"/>
  <c r="B63" i="36" l="1"/>
  <c r="B62" i="36"/>
  <c r="B64" i="36" l="1"/>
</calcChain>
</file>

<file path=xl/sharedStrings.xml><?xml version="1.0" encoding="utf-8"?>
<sst xmlns="http://schemas.openxmlformats.org/spreadsheetml/2006/main" count="3447" uniqueCount="691">
  <si>
    <t>Total general</t>
  </si>
  <si>
    <t>40 y más años</t>
  </si>
  <si>
    <t>Centros de Formación Técnica</t>
  </si>
  <si>
    <t>Institutos Profesionales</t>
  </si>
  <si>
    <t>Universidades</t>
  </si>
  <si>
    <t>Ingeniería Comercial</t>
  </si>
  <si>
    <t>Enfermería</t>
  </si>
  <si>
    <t>Derecho</t>
  </si>
  <si>
    <t>Psicología</t>
  </si>
  <si>
    <t>Kinesiología</t>
  </si>
  <si>
    <t>Contador Auditor</t>
  </si>
  <si>
    <t>Odontología</t>
  </si>
  <si>
    <t>Trabajo Social</t>
  </si>
  <si>
    <t>Medicina</t>
  </si>
  <si>
    <t>Nutrición y Dietética</t>
  </si>
  <si>
    <t>Arquitectura</t>
  </si>
  <si>
    <t>Ingeniería en Computación e Informática</t>
  </si>
  <si>
    <t>Técnico en Enfermería</t>
  </si>
  <si>
    <t>Psicopedagogía</t>
  </si>
  <si>
    <t>Ingeniería en Prevención de Riesgos</t>
  </si>
  <si>
    <t>Técnico en Administración de Empresas</t>
  </si>
  <si>
    <t>Construcción Civil</t>
  </si>
  <si>
    <t>Técnico en Construcción y Obras Civiles</t>
  </si>
  <si>
    <t>Técnico Asistente del Educador de Párvulos</t>
  </si>
  <si>
    <t>Técnico en Deporte, Recreación y Preparación Física</t>
  </si>
  <si>
    <t>Técnico en Electricidad y Electricidad Industrial</t>
  </si>
  <si>
    <t>Técnico en Contabilidad General</t>
  </si>
  <si>
    <t>Técnico en Mecánica Automotriz</t>
  </si>
  <si>
    <t>Técnico en Mantenimiento Industrial</t>
  </si>
  <si>
    <t>Ingeniería en Mecánica Automotriz</t>
  </si>
  <si>
    <t>Técnico en Gastronomía y Cocina</t>
  </si>
  <si>
    <t>Técnico Asistente del Educador Diferencial</t>
  </si>
  <si>
    <t>Técnico en Servicio Social</t>
  </si>
  <si>
    <t>Técnico Dental y Asistente de Odontología</t>
  </si>
  <si>
    <t>Postítulo</t>
  </si>
  <si>
    <t>Posgrado</t>
  </si>
  <si>
    <t>15 a 19 años</t>
  </si>
  <si>
    <t>20 a 24 años</t>
  </si>
  <si>
    <t>25 a 29 años</t>
  </si>
  <si>
    <t>30 a 34 años</t>
  </si>
  <si>
    <t>35 a 39 años</t>
  </si>
  <si>
    <t>Técnico Agropecuario</t>
  </si>
  <si>
    <t>Administración de Empresas e Ing. Asociadas</t>
  </si>
  <si>
    <t>Ingeniería Civil Industrial</t>
  </si>
  <si>
    <t>Región</t>
  </si>
  <si>
    <t>Administración y Comercio</t>
  </si>
  <si>
    <t>Agropecuaria</t>
  </si>
  <si>
    <t>Arte y Arquitectura</t>
  </si>
  <si>
    <t>Ciencias Básicas</t>
  </si>
  <si>
    <t>Ciencias Sociales</t>
  </si>
  <si>
    <t>Educación</t>
  </si>
  <si>
    <t>Humanidades</t>
  </si>
  <si>
    <t>Salud</t>
  </si>
  <si>
    <t>Tecnología</t>
  </si>
  <si>
    <t>Área</t>
  </si>
  <si>
    <t>Matrícula Total</t>
  </si>
  <si>
    <t>Jornada</t>
  </si>
  <si>
    <t>Tabla</t>
  </si>
  <si>
    <t>Matrícula Total de Postítulo</t>
  </si>
  <si>
    <t xml:space="preserve">Hoja </t>
  </si>
  <si>
    <t>Contenido</t>
  </si>
  <si>
    <t>CFT INACAP</t>
  </si>
  <si>
    <t>IP AIEP</t>
  </si>
  <si>
    <t>IP DUOC UC</t>
  </si>
  <si>
    <t>IP INACAP</t>
  </si>
  <si>
    <t xml:space="preserve">Matrícula Total </t>
  </si>
  <si>
    <t>Sin información</t>
  </si>
  <si>
    <t>Evolución de Matrícula Total por región</t>
  </si>
  <si>
    <t>Pregrado</t>
  </si>
  <si>
    <t>Evolución de Matrícula Total de Pregrado por tipo de institución</t>
  </si>
  <si>
    <t>Evolución de Matrícula Total de Pregrado por tipo de carrera</t>
  </si>
  <si>
    <t>Evolución de Matrícula Total de Pregrado por tipo de institución y carrera</t>
  </si>
  <si>
    <t>Evolución de Matrícula Total de Pregrado por jornada</t>
  </si>
  <si>
    <t>Evolución de Matrícula Total de Pregrado por área</t>
  </si>
  <si>
    <t>Evolución de Matrícula Total de Pregrado en carreras con mayor matrícula - CFT</t>
  </si>
  <si>
    <t>Evolución de Matrícula Total de Pregrado en carreras con mayor matrícula - IP</t>
  </si>
  <si>
    <t>Evolución de Matrícula Total de Pregrado en carreras con mayor matrícula - Universidades</t>
  </si>
  <si>
    <t>Evolución de Matrícula Total de Pregrado por rango de edad</t>
  </si>
  <si>
    <t>Evolución de Matrícula Total de Pregrado por tipo de establecimiento de origen</t>
  </si>
  <si>
    <t>Evolución de Matrícula Total de Pregrado por rango de edad - Universidades</t>
  </si>
  <si>
    <t>Evolución de Matrícula Total de Pregrado por tipo de establecimiento de origen - Universidades</t>
  </si>
  <si>
    <t>Tipo de institución</t>
  </si>
  <si>
    <t>Técnico de Nivel Superior</t>
  </si>
  <si>
    <t>Licenciatura no conducente a título</t>
  </si>
  <si>
    <t>Profesional con licenciatura previa</t>
  </si>
  <si>
    <t>Profesional sin licenciatura previa</t>
  </si>
  <si>
    <t>Tipo de carrera</t>
  </si>
  <si>
    <t>Carreras Profesionales Universitarias**</t>
  </si>
  <si>
    <t>Diurno</t>
  </si>
  <si>
    <t>Vespertino</t>
  </si>
  <si>
    <t>Semipresencial</t>
  </si>
  <si>
    <t>A Distancia</t>
  </si>
  <si>
    <t>Otro</t>
  </si>
  <si>
    <t>Rango de edad</t>
  </si>
  <si>
    <t xml:space="preserve">Tipo de establecimiento </t>
  </si>
  <si>
    <t>Tipo de programa</t>
  </si>
  <si>
    <t>Doctorado</t>
  </si>
  <si>
    <t>Magíster</t>
  </si>
  <si>
    <t xml:space="preserve">Tipo de universidad </t>
  </si>
  <si>
    <t>Tipo de universidad</t>
  </si>
  <si>
    <r>
      <t>Matrícula de 1</t>
    </r>
    <r>
      <rPr>
        <b/>
        <vertAlign val="superscript"/>
        <sz val="10"/>
        <color theme="1"/>
        <rFont val="Calibri"/>
        <family val="2"/>
        <scheme val="minor"/>
      </rPr>
      <t>er</t>
    </r>
    <r>
      <rPr>
        <b/>
        <sz val="10"/>
        <color theme="1"/>
        <rFont val="Calibri"/>
        <family val="2"/>
        <scheme val="minor"/>
      </rPr>
      <t xml:space="preserve"> año de Posgrado</t>
    </r>
  </si>
  <si>
    <t>Postitulo</t>
  </si>
  <si>
    <t>Especialidad médica u odontológica</t>
  </si>
  <si>
    <t xml:space="preserve">Evolución de Matrícula Total por tipo de institución </t>
  </si>
  <si>
    <t>Evolución de Matrícula Total de Pregrado por rango de edad - CFT</t>
  </si>
  <si>
    <t>Evolución de Matrícula Total de Pregrado por rango de edad - IP</t>
  </si>
  <si>
    <t>Evolución de Matrícula Total de Pregrado por tipo de establecimiento de origen - CFT</t>
  </si>
  <si>
    <t>Evolución de Matrícula Total de Pregrado por tipo de establecimiento de origen - IP</t>
  </si>
  <si>
    <t>Tipo de institución y programa</t>
  </si>
  <si>
    <t>Nombre de la institución</t>
  </si>
  <si>
    <t>Promedio de edad</t>
  </si>
  <si>
    <t xml:space="preserve">Universidades </t>
  </si>
  <si>
    <t>Índice de tablas</t>
  </si>
  <si>
    <t>Nivel de formación</t>
  </si>
  <si>
    <t>Evolución de Matrícula Total por rango de edad</t>
  </si>
  <si>
    <r>
      <t>Matrícula de 1</t>
    </r>
    <r>
      <rPr>
        <b/>
        <vertAlign val="superscript"/>
        <sz val="10"/>
        <rFont val="Calibri"/>
        <family val="2"/>
        <scheme val="minor"/>
      </rPr>
      <t>er</t>
    </r>
    <r>
      <rPr>
        <b/>
        <sz val="10"/>
        <rFont val="Calibri"/>
        <family val="2"/>
        <scheme val="minor"/>
      </rPr>
      <t xml:space="preserve"> año de Pregrado</t>
    </r>
  </si>
  <si>
    <r>
      <t>Evolución de Matrícula 1</t>
    </r>
    <r>
      <rPr>
        <b/>
        <vertAlign val="superscript"/>
        <sz val="12"/>
        <rFont val="Calibri"/>
        <family val="2"/>
        <scheme val="minor"/>
      </rPr>
      <t>er</t>
    </r>
    <r>
      <rPr>
        <b/>
        <sz val="12"/>
        <rFont val="Calibri"/>
        <family val="2"/>
        <scheme val="minor"/>
      </rPr>
      <t xml:space="preserve"> año de Pregrado por tipo de institución</t>
    </r>
  </si>
  <si>
    <r>
      <t>Evolución de Matrícula 1</t>
    </r>
    <r>
      <rPr>
        <b/>
        <vertAlign val="superscript"/>
        <sz val="12"/>
        <color theme="1"/>
        <rFont val="Calibri"/>
        <family val="2"/>
        <scheme val="minor"/>
      </rPr>
      <t xml:space="preserve">er </t>
    </r>
    <r>
      <rPr>
        <b/>
        <sz val="12"/>
        <color theme="1"/>
        <rFont val="Calibri"/>
        <family val="2"/>
        <scheme val="minor"/>
      </rPr>
      <t>año de Pregrado por jornada</t>
    </r>
  </si>
  <si>
    <r>
      <t>Evolución de Matrícula 1</t>
    </r>
    <r>
      <rPr>
        <b/>
        <vertAlign val="superscript"/>
        <sz val="12"/>
        <color theme="1"/>
        <rFont val="Calibri"/>
        <family val="2"/>
        <scheme val="minor"/>
      </rPr>
      <t>er</t>
    </r>
    <r>
      <rPr>
        <b/>
        <sz val="12"/>
        <color theme="1"/>
        <rFont val="Calibri"/>
        <family val="2"/>
        <scheme val="minor"/>
      </rPr>
      <t xml:space="preserve"> año de Pregrado por tipo de institución y jornada</t>
    </r>
  </si>
  <si>
    <r>
      <t>Evolución de Matrícula de 1</t>
    </r>
    <r>
      <rPr>
        <b/>
        <vertAlign val="superscript"/>
        <sz val="12"/>
        <color theme="1"/>
        <rFont val="Calibri"/>
        <family val="2"/>
        <scheme val="minor"/>
      </rPr>
      <t>er</t>
    </r>
    <r>
      <rPr>
        <b/>
        <sz val="12"/>
        <color theme="1"/>
        <rFont val="Calibri"/>
        <family val="2"/>
        <scheme val="minor"/>
      </rPr>
      <t xml:space="preserve"> año de Pregrado por área</t>
    </r>
  </si>
  <si>
    <t>Tecnología Médica</t>
  </si>
  <si>
    <t>INSTITUCIONES</t>
  </si>
  <si>
    <t>Evolución de Matrícula Total de Posgrado por tipo de programa</t>
  </si>
  <si>
    <r>
      <t>Evolución de Matrícula 1</t>
    </r>
    <r>
      <rPr>
        <b/>
        <vertAlign val="superscript"/>
        <sz val="12"/>
        <color theme="1"/>
        <rFont val="Calibri"/>
        <family val="2"/>
        <scheme val="minor"/>
      </rPr>
      <t>er</t>
    </r>
    <r>
      <rPr>
        <b/>
        <sz val="12"/>
        <color theme="1"/>
        <rFont val="Calibri"/>
        <family val="2"/>
        <scheme val="minor"/>
      </rPr>
      <t xml:space="preserve"> año de Posgrado por tipo de programa</t>
    </r>
  </si>
  <si>
    <t>Evolución de Matrícula Total de Postítulo por tipo de institución y programa</t>
  </si>
  <si>
    <t>Evolución de Matrícula Total de Postítulo por tipo de programa</t>
  </si>
  <si>
    <t>Evolución de Matrícula Total de Postítulo por tipo de institución</t>
  </si>
  <si>
    <t>Tipo de institución y jornada</t>
  </si>
  <si>
    <t>Evolución de Matrícula Total por nivel de formación</t>
  </si>
  <si>
    <t>Evolución de Matrícula Total por tipo de institución y nivel de formación</t>
  </si>
  <si>
    <t>n/a</t>
  </si>
  <si>
    <t>Técnico en Computación e Informática</t>
  </si>
  <si>
    <t>Técnico en Logística</t>
  </si>
  <si>
    <t>Matrícula Mujeres</t>
  </si>
  <si>
    <t>Matrícula Hombres</t>
  </si>
  <si>
    <t>Matrícula Total Mujeres</t>
  </si>
  <si>
    <t>Matrícula Total Hombres</t>
  </si>
  <si>
    <t>Ingeniería en Recursos Humanos</t>
  </si>
  <si>
    <t>Mujeres</t>
  </si>
  <si>
    <t>Hombres</t>
  </si>
  <si>
    <r>
      <t>Matrícula de 1</t>
    </r>
    <r>
      <rPr>
        <vertAlign val="superscript"/>
        <sz val="10"/>
        <color theme="1"/>
        <rFont val="Calibri"/>
        <family val="2"/>
        <scheme val="minor"/>
      </rPr>
      <t>er</t>
    </r>
    <r>
      <rPr>
        <sz val="10"/>
        <color theme="1"/>
        <rFont val="Calibri"/>
        <family val="2"/>
        <scheme val="minor"/>
      </rPr>
      <t xml:space="preserve"> año de Posgrado Mujer</t>
    </r>
  </si>
  <si>
    <t>CFT ALPES</t>
  </si>
  <si>
    <t>CFT CEDUC - UCN</t>
  </si>
  <si>
    <t>CFT CENCO</t>
  </si>
  <si>
    <t>CFT DE ENAC</t>
  </si>
  <si>
    <t>CFT DEL MEDIO AMBIENTE</t>
  </si>
  <si>
    <t>CFT INSTITUTO CENTRAL DE CAPACITACION EDUCACIONAL ICCE</t>
  </si>
  <si>
    <t>CFT INSTITUTO SUPERIOR ALEMAN DE COMERCIO INSALCO</t>
  </si>
  <si>
    <t>CFT INSTITUTO SUPERIOR DE ESTUDIOS JURIDICOS CANON</t>
  </si>
  <si>
    <t>CFT IPROSEC</t>
  </si>
  <si>
    <t>CFT JUAN BOHON</t>
  </si>
  <si>
    <t>CFT LAPLACE</t>
  </si>
  <si>
    <t>CFT LOTA-ARAUCO</t>
  </si>
  <si>
    <t>CFT MANPOWER</t>
  </si>
  <si>
    <t>CFT PRODATA</t>
  </si>
  <si>
    <t>CFT PROFASOC</t>
  </si>
  <si>
    <t>CFT SANTO TOMAS</t>
  </si>
  <si>
    <t>CFT TEODORO WICKEL KLUWEN</t>
  </si>
  <si>
    <t>IP AGRARIO ADOLFO MATTHEI</t>
  </si>
  <si>
    <t>IP DE CHILE</t>
  </si>
  <si>
    <t>IP DEL VALLE CENTRAL</t>
  </si>
  <si>
    <t>IP DIEGO PORTALES</t>
  </si>
  <si>
    <t>IP DR. VIRGINIO GOMEZ G.</t>
  </si>
  <si>
    <t>IP ESCUELA DE CONTADORES AUDITORES DE SANTIAGO</t>
  </si>
  <si>
    <t>IP ESCUELA MODERNA DE MUSICA</t>
  </si>
  <si>
    <t>IP INSTITUTO DE ESTUDIOS BANCARIOS GUILLERMO SUBERCASEAUX</t>
  </si>
  <si>
    <t>IP INSTITUTO INTERNACIONAL DE ARTES CULINARIAS Y SERVICIOS</t>
  </si>
  <si>
    <t>IP INSTITUTO NACIONAL DEL FUTBOL</t>
  </si>
  <si>
    <t>IP IPG</t>
  </si>
  <si>
    <t>IP LIBERTADOR DE LOS ANDES</t>
  </si>
  <si>
    <t>IP LOS LEONES</t>
  </si>
  <si>
    <t>IP PROJAZZ</t>
  </si>
  <si>
    <t>IP PROVIDENCIA</t>
  </si>
  <si>
    <t>IP SANTO TOMAS</t>
  </si>
  <si>
    <t>PONTIFICIA UNIVERSIDAD CATOLICA DE CHILE</t>
  </si>
  <si>
    <t>PONTIFICIA UNIVERSIDAD CATOLICA DE VALPARAISO</t>
  </si>
  <si>
    <t>UNIVERSIDAD ACADEMIA DE HUMANISMO CRISTIANO</t>
  </si>
  <si>
    <t>UNIVERSIDAD ADOLFO IBAÑEZ</t>
  </si>
  <si>
    <t>UNIVERSIDAD ADVENTISTA DE CHILE</t>
  </si>
  <si>
    <t>UNIVERSIDAD ALBERTO HURTADO</t>
  </si>
  <si>
    <t>UNIVERSIDAD ANDRES BELLO</t>
  </si>
  <si>
    <t>UNIVERSIDAD ARTURO PRAT</t>
  </si>
  <si>
    <t>UNIVERSIDAD AUSTRAL DE CHILE</t>
  </si>
  <si>
    <t>UNIVERSIDAD AUTONOMA DE CHILE</t>
  </si>
  <si>
    <t>UNIVERSIDAD BOLIVARIANA</t>
  </si>
  <si>
    <t>UNIVERSIDAD CATOLICA DE LA SANTISIMA CONCEPCION</t>
  </si>
  <si>
    <t>UNIVERSIDAD CATOLICA DE TEMUCO</t>
  </si>
  <si>
    <t>UNIVERSIDAD CATOLICA DEL MAULE</t>
  </si>
  <si>
    <t>UNIVERSIDAD CATOLICA DEL NORTE</t>
  </si>
  <si>
    <t>UNIVERSIDAD CENTRAL DE CHILE</t>
  </si>
  <si>
    <t>UNIVERSIDAD DE ACONCAGUA</t>
  </si>
  <si>
    <t>UNIVERSIDAD DE ANTOFAGASTA</t>
  </si>
  <si>
    <t>UNIVERSIDAD DE ARTES, CIENCIAS Y COMUNICACION - UNIACC</t>
  </si>
  <si>
    <t>UNIVERSIDAD DE ATACAMA</t>
  </si>
  <si>
    <t>UNIVERSIDAD DE CHILE</t>
  </si>
  <si>
    <t>UNIVERSIDAD DE CONCEPCION</t>
  </si>
  <si>
    <t>UNIVERSIDAD DE LA FRONTERA</t>
  </si>
  <si>
    <t>UNIVERSIDAD DE LA SERENA</t>
  </si>
  <si>
    <t>UNIVERSIDAD DE LAS AMERICAS</t>
  </si>
  <si>
    <t>UNIVERSIDAD DE LOS ANDES</t>
  </si>
  <si>
    <t>UNIVERSIDAD DE LOS LAGOS</t>
  </si>
  <si>
    <t>UNIVERSIDAD DE MAGALLANES</t>
  </si>
  <si>
    <t>UNIVERSIDAD DE PLAYA ANCHA DE CIENCIAS DE LA EDUCACION</t>
  </si>
  <si>
    <t>UNIVERSIDAD DE SANTIAGO DE CHILE</t>
  </si>
  <si>
    <t>UNIVERSIDAD DE TALCA</t>
  </si>
  <si>
    <t>UNIVERSIDAD DE TARAPACA</t>
  </si>
  <si>
    <t>UNIVERSIDAD DE VALPARAISO</t>
  </si>
  <si>
    <t>UNIVERSIDAD DE VIÑA DEL MAR</t>
  </si>
  <si>
    <t>UNIVERSIDAD DEL BIO-BIO</t>
  </si>
  <si>
    <t>UNIVERSIDAD DEL DESARROLLO</t>
  </si>
  <si>
    <t>UNIVERSIDAD DIEGO PORTALES</t>
  </si>
  <si>
    <t>UNIVERSIDAD FINIS TERRAE</t>
  </si>
  <si>
    <t>UNIVERSIDAD GABRIELA MISTRAL</t>
  </si>
  <si>
    <t>UNIVERSIDAD MAYOR</t>
  </si>
  <si>
    <t>UNIVERSIDAD METROPOLITANA DE CIENCIAS DE LA EDUCACION</t>
  </si>
  <si>
    <t>UNIVERSIDAD MIGUEL DE CERVANTES</t>
  </si>
  <si>
    <t>UNIVERSIDAD SAN SEBASTIAN</t>
  </si>
  <si>
    <t>UNIVERSIDAD SANTO TOMAS</t>
  </si>
  <si>
    <t>UNIVERSIDAD SEK</t>
  </si>
  <si>
    <t>UNIVERSIDAD TECNICA FEDERICO SANTA MARIA</t>
  </si>
  <si>
    <t>UNIVERSIDAD TECNOLOGICA DE CHILE INACAP</t>
  </si>
  <si>
    <t>UNIVERSIDAD TECNOLOGICA METROPOLITANA</t>
  </si>
  <si>
    <t>Evolución de Matrícula Total de Pregrado por tipo de carrera agrupada</t>
  </si>
  <si>
    <t>Evolución de Matrícula Total por tipo de institución</t>
  </si>
  <si>
    <t>Terapia Ocupacional</t>
  </si>
  <si>
    <r>
      <t>Matrícula 1</t>
    </r>
    <r>
      <rPr>
        <b/>
        <vertAlign val="superscript"/>
        <sz val="10"/>
        <color theme="1"/>
        <rFont val="Calibri"/>
        <family val="2"/>
        <scheme val="minor"/>
      </rPr>
      <t>er</t>
    </r>
    <r>
      <rPr>
        <b/>
        <sz val="10"/>
        <color theme="1"/>
        <rFont val="Calibri"/>
        <family val="2"/>
        <scheme val="minor"/>
      </rPr>
      <t xml:space="preserve"> año Hombres</t>
    </r>
  </si>
  <si>
    <t>UNIVERSIDAD DE AYSEN</t>
  </si>
  <si>
    <t>UNIVERSIDAD DE O'HIGGINS</t>
  </si>
  <si>
    <t>UNIVERSIDAD BERNARDO O'HIGGINS</t>
  </si>
  <si>
    <t>Arica y Parinacota</t>
  </si>
  <si>
    <t>Tarapacá</t>
  </si>
  <si>
    <t>Antofagasta</t>
  </si>
  <si>
    <t>Atacama</t>
  </si>
  <si>
    <t>Coquimbo</t>
  </si>
  <si>
    <t>Valparaíso</t>
  </si>
  <si>
    <t>Metropolitana</t>
  </si>
  <si>
    <t>Maule</t>
  </si>
  <si>
    <t>Araucanía</t>
  </si>
  <si>
    <t>Los Ríos</t>
  </si>
  <si>
    <t>Los Lagos</t>
  </si>
  <si>
    <t>Aysén</t>
  </si>
  <si>
    <t>Magallanes</t>
  </si>
  <si>
    <t>Biobío</t>
  </si>
  <si>
    <t>Volver al Índice</t>
  </si>
  <si>
    <t>La Araucanía</t>
  </si>
  <si>
    <t xml:space="preserve">Institutos Profesionales </t>
  </si>
  <si>
    <t>Carreras Técnico - Profesionales*</t>
  </si>
  <si>
    <t>U. Privadas</t>
  </si>
  <si>
    <t xml:space="preserve">Evolución de Matrícula Total de Posgrado por tipo de universidad </t>
  </si>
  <si>
    <r>
      <t>Evolución de Matrícula 1</t>
    </r>
    <r>
      <rPr>
        <b/>
        <vertAlign val="superscript"/>
        <sz val="12"/>
        <color theme="1"/>
        <rFont val="Calibri"/>
        <family val="2"/>
        <scheme val="minor"/>
      </rPr>
      <t>er</t>
    </r>
    <r>
      <rPr>
        <b/>
        <sz val="12"/>
        <color theme="1"/>
        <rFont val="Calibri"/>
        <family val="2"/>
        <scheme val="minor"/>
      </rPr>
      <t xml:space="preserve"> año de Posgrado por tipo de universidad </t>
    </r>
  </si>
  <si>
    <t xml:space="preserve">Evolución de Matrícula Total de Posgrado por tipo de universidad y programa </t>
  </si>
  <si>
    <r>
      <t>Evolución de Matrícula 1</t>
    </r>
    <r>
      <rPr>
        <b/>
        <vertAlign val="superscript"/>
        <sz val="12"/>
        <color theme="1"/>
        <rFont val="Calibri"/>
        <family val="2"/>
        <scheme val="minor"/>
      </rPr>
      <t>er</t>
    </r>
    <r>
      <rPr>
        <b/>
        <sz val="12"/>
        <color theme="1"/>
        <rFont val="Calibri"/>
        <family val="2"/>
        <scheme val="minor"/>
      </rPr>
      <t xml:space="preserve"> año de Posgrado por tipo de universidad y programa </t>
    </r>
  </si>
  <si>
    <t xml:space="preserve">Tipo de institución </t>
  </si>
  <si>
    <t>Evolución de Matrícula Total de Posgrado por tipo de universidad y programa</t>
  </si>
  <si>
    <t>Fuente: Servicio de Información de Educación Superior (SIES), de Mineduc.</t>
  </si>
  <si>
    <t>Matrícula Total Pregrado</t>
  </si>
  <si>
    <t>Matrícula Total de Posgrado Mujer</t>
  </si>
  <si>
    <t>Matrícula Total de Posgrado Hombre</t>
  </si>
  <si>
    <t>Matrícula Total de Postítulo Mujer</t>
  </si>
  <si>
    <t>Matrícula Total de Postítulo Hombre</t>
  </si>
  <si>
    <t>Matrícula Total de Pregrado Mujer</t>
  </si>
  <si>
    <t>Matrícula Total de Pregrado Hombre</t>
  </si>
  <si>
    <r>
      <t>Matrícula Total   1</t>
    </r>
    <r>
      <rPr>
        <b/>
        <vertAlign val="superscript"/>
        <sz val="10"/>
        <color theme="1"/>
        <rFont val="Calibri"/>
        <family val="2"/>
        <scheme val="minor"/>
      </rPr>
      <t>er</t>
    </r>
    <r>
      <rPr>
        <b/>
        <sz val="10"/>
        <color theme="1"/>
        <rFont val="Calibri"/>
        <family val="2"/>
        <scheme val="minor"/>
      </rPr>
      <t xml:space="preserve"> año</t>
    </r>
  </si>
  <si>
    <r>
      <t>Matrícula Total    1</t>
    </r>
    <r>
      <rPr>
        <b/>
        <vertAlign val="superscript"/>
        <sz val="10"/>
        <color theme="1"/>
        <rFont val="Calibri"/>
        <family val="2"/>
        <scheme val="minor"/>
      </rPr>
      <t>er</t>
    </r>
    <r>
      <rPr>
        <b/>
        <sz val="10"/>
        <color theme="1"/>
        <rFont val="Calibri"/>
        <family val="2"/>
        <scheme val="minor"/>
      </rPr>
      <t xml:space="preserve"> año</t>
    </r>
  </si>
  <si>
    <t>Evolución de Matrícula 1er año de Pregrado en carreras con mayor matrícula - Universidades</t>
  </si>
  <si>
    <t>CFT DE LA REGION DE LA ARAUCANIA</t>
  </si>
  <si>
    <t>CFT DE LA REGION DEL MAULE</t>
  </si>
  <si>
    <t>Evolución de Matrícula Total de Pregrado por tipo de institución 2</t>
  </si>
  <si>
    <t>Tipo de institución 2</t>
  </si>
  <si>
    <t>Evolución de Matrícula Total de Pregrado por tipo de enseñanza del establecimiento secundario de origen  - Universidades</t>
  </si>
  <si>
    <t>Evolución de Matrícula Total de Pregrado por tipo de enseñanza del establecimiento secundario de origen - IP</t>
  </si>
  <si>
    <t>Evolución de Matrícula Total de Pregrado por tipo de enseñanza del establecimiento secundario de origen - CFT</t>
  </si>
  <si>
    <t>Evolución de Matrícula Total de Pregrado por tipo de enseñanza del establecimiento secundario de origen</t>
  </si>
  <si>
    <t>Evolución de Matrícula Total de Pregrado por tipo de enseñanza del establecimiento secundario de origen - Universidades</t>
  </si>
  <si>
    <t>Evolución de Matrícula Total por tipo de institución  2</t>
  </si>
  <si>
    <t>Evolución de Matrícula Total por tipo de institución 2 y nivel de formación</t>
  </si>
  <si>
    <t>Evolución de Matrícula Total por tipo de institución 2</t>
  </si>
  <si>
    <t xml:space="preserve">Evolución de Matrícula Total por tipo de institución 2 y nivel de formación </t>
  </si>
  <si>
    <t xml:space="preserve">Evolución de Matrícula Total de Postítulo por tipo de institución 2 </t>
  </si>
  <si>
    <t>Evolución de Matrícula Total de Postítulo por tipo de institución 2</t>
  </si>
  <si>
    <t>Ingeniería Civil, plan común y licenciatura en Ciencias de la Ingeniería</t>
  </si>
  <si>
    <t>Administración Gastronómica</t>
  </si>
  <si>
    <t>U. Cruch Estatal</t>
  </si>
  <si>
    <t>U. Cruch Privada</t>
  </si>
  <si>
    <t>*Incluye programas de Pregrado, Posgrado y Postítulo</t>
  </si>
  <si>
    <r>
      <t>Matrícula de 1</t>
    </r>
    <r>
      <rPr>
        <vertAlign val="superscript"/>
        <sz val="10"/>
        <color theme="1"/>
        <rFont val="Calibri"/>
        <family val="2"/>
        <scheme val="minor"/>
      </rPr>
      <t>er</t>
    </r>
    <r>
      <rPr>
        <sz val="10"/>
        <color theme="1"/>
        <rFont val="Calibri"/>
        <family val="2"/>
        <scheme val="minor"/>
      </rPr>
      <t xml:space="preserve"> año Hombre</t>
    </r>
  </si>
  <si>
    <t>Bachillerato, ciclo inicial o plan común</t>
  </si>
  <si>
    <r>
      <t>Matrícula 1</t>
    </r>
    <r>
      <rPr>
        <b/>
        <vertAlign val="superscript"/>
        <sz val="10"/>
        <color theme="1"/>
        <rFont val="Calibri"/>
        <family val="2"/>
        <scheme val="minor"/>
      </rPr>
      <t>er</t>
    </r>
    <r>
      <rPr>
        <b/>
        <sz val="10"/>
        <color theme="1"/>
        <rFont val="Calibri"/>
        <family val="2"/>
        <scheme val="minor"/>
      </rPr>
      <t xml:space="preserve"> año Mujeres</t>
    </r>
  </si>
  <si>
    <t>Acreditada</t>
  </si>
  <si>
    <t>No Acreditada</t>
  </si>
  <si>
    <t>*Incluye carreras Técnicas de Nivel Superior y Profesionales sin licenciatura.</t>
  </si>
  <si>
    <t>**Incluye carreras Profesionales con licenciatura, Licenciaturas no conducentes a título y planes comunes de universidades.</t>
  </si>
  <si>
    <t>Técnico - Profesional</t>
  </si>
  <si>
    <t>Ñuble</t>
  </si>
  <si>
    <t>Medicina Veterinaria</t>
  </si>
  <si>
    <t>U. (* Carrera en Convenio)</t>
  </si>
  <si>
    <t>Cabe considerar que en el año 2019 las Universidades Alberto Hurtado y Diego Portales se han integrado formalmente al Consejo de Rectores (Cruch), lo que explica el aumento de estudiantes de U. Privadas Cruch en desmedro del total de estudiantes de U. Privadas.</t>
  </si>
  <si>
    <t>% de matrícula en Instituciones acreditadas</t>
  </si>
  <si>
    <t>Condición de acreditación*</t>
  </si>
  <si>
    <t>CFT DE LA REGION DE COQUIMBO</t>
  </si>
  <si>
    <t>CFT DE LA REGION DE LOS LAGOS</t>
  </si>
  <si>
    <t>CFT DE LA REGION DE TARAPACA</t>
  </si>
  <si>
    <t>CFT ESCUELA CULINARIA FRANCESA</t>
  </si>
  <si>
    <t>CFT PUCV</t>
  </si>
  <si>
    <t>CFT SAN AGUSTIN</t>
  </si>
  <si>
    <t>IP CHILENO BRITANICO DE CULTURA</t>
  </si>
  <si>
    <t>IP ESCUELA DE MARINA MERCANTE PILOTO PARDO</t>
  </si>
  <si>
    <t>IP LATINOAMERICANO DE COMERCIO EXTERIOR - IPLACEX</t>
  </si>
  <si>
    <t>UNIVERSIDAD CATOLICA CARDENAL RAUL SILVA HENRIQUEZ</t>
  </si>
  <si>
    <t>Evolución de Matrícula Total de Pregrado por Condición de Acreditación por Tipo de Institución</t>
  </si>
  <si>
    <t>Servicios Locales de Educación</t>
  </si>
  <si>
    <t>Científico - Humanista</t>
  </si>
  <si>
    <t>Cabe considerar que a partir del año 2019 las Universidades Alberto Hurtado y Diego Portales y a partir del año 2020 la Universidad de Los Andes, se han integrado formalmente al Consejo de Rectores (Cruch), lo que explica el aumento de estudiantes de U. Privadas Cruch en desmedro del total de estudiantes de U. Privadas.</t>
  </si>
  <si>
    <t>Técnico Veterinario</t>
  </si>
  <si>
    <t>Ingeniería Civil en Computación e Informática</t>
  </si>
  <si>
    <t>Obstetricia y Puericultura</t>
  </si>
  <si>
    <t>Tipo de enseñanza</t>
  </si>
  <si>
    <t>Carreras en Convenio: refiere a programas que tienen estudiantes reubicados desde universidades en cierre a otras universidades.</t>
  </si>
  <si>
    <t>CFT DE LA REGION DE ANTOFAGASTA</t>
  </si>
  <si>
    <t>CFT DE LA REGION DE LOS RIOS</t>
  </si>
  <si>
    <t>CFT DE LA REGION DE MAGALLANES Y ANTARTICA CHILENA</t>
  </si>
  <si>
    <t>CFT DE LA REGION DE VALPARAISO</t>
  </si>
  <si>
    <t>CFT DE LA REGION METROPOLITANA DE SANTIAGO</t>
  </si>
  <si>
    <t>UNIVERSIDAD DE SANTIAGO DE CHILE (* CARRERA EN CONVENIO U. IBEROAMERICANA)</t>
  </si>
  <si>
    <t>Especialidad Médica u Odontológica</t>
  </si>
  <si>
    <t>O'Higgins</t>
  </si>
  <si>
    <r>
      <t>Matrícula de 1</t>
    </r>
    <r>
      <rPr>
        <vertAlign val="superscript"/>
        <sz val="10"/>
        <color theme="1"/>
        <rFont val="Calibri"/>
        <family val="2"/>
        <scheme val="minor"/>
      </rPr>
      <t>er</t>
    </r>
    <r>
      <rPr>
        <sz val="10"/>
        <color theme="1"/>
        <rFont val="Calibri"/>
        <family val="2"/>
        <scheme val="minor"/>
      </rPr>
      <t xml:space="preserve"> año Mujer</t>
    </r>
  </si>
  <si>
    <t xml:space="preserve">Profesional sin licenciatura  </t>
  </si>
  <si>
    <t xml:space="preserve">Profesional con licenciatura </t>
  </si>
  <si>
    <t>Universidades (* Carrera en Convenio)</t>
  </si>
  <si>
    <t>Bachillerato, Ciclo Inicial o Plan Común</t>
  </si>
  <si>
    <t>Técnico en Farmacia</t>
  </si>
  <si>
    <t>Técnico en Peluquería y Estética</t>
  </si>
  <si>
    <t>Ingeniería en Electricidad</t>
  </si>
  <si>
    <r>
      <t>Evolución de Matrícula 1</t>
    </r>
    <r>
      <rPr>
        <b/>
        <vertAlign val="superscript"/>
        <sz val="12"/>
        <color theme="1"/>
        <rFont val="Calibri"/>
        <family val="2"/>
        <scheme val="minor"/>
      </rPr>
      <t>er</t>
    </r>
    <r>
      <rPr>
        <b/>
        <sz val="12"/>
        <color theme="1"/>
        <rFont val="Calibri"/>
        <family val="2"/>
        <scheme val="minor"/>
      </rPr>
      <t xml:space="preserve"> año de Pregrado por rango de edad</t>
    </r>
  </si>
  <si>
    <r>
      <t>Evolución de Matrícula 1</t>
    </r>
    <r>
      <rPr>
        <b/>
        <vertAlign val="superscript"/>
        <sz val="12"/>
        <color theme="1"/>
        <rFont val="Calibri"/>
        <family val="2"/>
        <scheme val="minor"/>
      </rPr>
      <t>er</t>
    </r>
    <r>
      <rPr>
        <b/>
        <sz val="12"/>
        <color theme="1"/>
        <rFont val="Calibri"/>
        <family val="2"/>
        <scheme val="minor"/>
      </rPr>
      <t xml:space="preserve"> año de Pregrado por rango de edad - CFT</t>
    </r>
  </si>
  <si>
    <r>
      <t>Evolución de Matrícula 1</t>
    </r>
    <r>
      <rPr>
        <b/>
        <vertAlign val="superscript"/>
        <sz val="12"/>
        <color theme="1"/>
        <rFont val="Calibri"/>
        <family val="2"/>
        <scheme val="minor"/>
      </rPr>
      <t>er</t>
    </r>
    <r>
      <rPr>
        <b/>
        <sz val="12"/>
        <color theme="1"/>
        <rFont val="Calibri"/>
        <family val="2"/>
        <scheme val="minor"/>
      </rPr>
      <t xml:space="preserve"> año de Pregrado por rango de edad - IP</t>
    </r>
  </si>
  <si>
    <r>
      <t>Evolución de Matrícula de 1</t>
    </r>
    <r>
      <rPr>
        <b/>
        <vertAlign val="superscript"/>
        <sz val="12"/>
        <color theme="1"/>
        <rFont val="Calibri"/>
        <family val="2"/>
        <scheme val="minor"/>
      </rPr>
      <t>er</t>
    </r>
    <r>
      <rPr>
        <b/>
        <sz val="12"/>
        <color theme="1"/>
        <rFont val="Calibri"/>
        <family val="2"/>
        <scheme val="minor"/>
      </rPr>
      <t xml:space="preserve"> año de Pregrado por rango de edad - Universidades</t>
    </r>
  </si>
  <si>
    <t>CFT DE LA REGION DE ARICA Y PARINACOTA</t>
  </si>
  <si>
    <t>CFT DE LA REGION DE ATACAMA</t>
  </si>
  <si>
    <t>Magister</t>
  </si>
  <si>
    <t>Evolución de Matrícula Total de Posgrado por tipo de programa y jornada</t>
  </si>
  <si>
    <r>
      <t>Evolución de Matrícula 1</t>
    </r>
    <r>
      <rPr>
        <b/>
        <vertAlign val="superscript"/>
        <sz val="12"/>
        <color theme="1"/>
        <rFont val="Calibri"/>
        <family val="2"/>
        <scheme val="minor"/>
      </rPr>
      <t>er</t>
    </r>
    <r>
      <rPr>
        <b/>
        <sz val="12"/>
        <color theme="1"/>
        <rFont val="Calibri"/>
        <family val="2"/>
        <scheme val="minor"/>
      </rPr>
      <t xml:space="preserve"> año de Posgrado por tipo de programa y jornada</t>
    </r>
  </si>
  <si>
    <t>Tipo de programa y jornada</t>
  </si>
  <si>
    <t>Evolución de Matrícula Total de Postítulo por tipo de programa y jornada</t>
  </si>
  <si>
    <t>Ingeniería en Logística</t>
  </si>
  <si>
    <t>Ingeniería Industrial</t>
  </si>
  <si>
    <t>Bajo Tutela</t>
  </si>
  <si>
    <t>CFT DE LA REGION DE AYSEN DEL GENERAL CARLOS IBAÑEZ DEL CAMPO</t>
  </si>
  <si>
    <t>CFT DE LA REGION DEL BIO BIO</t>
  </si>
  <si>
    <t>CFT DE LA REGION DEL LIBERTADOR GENERAL BERNARDO O'HIGGINS</t>
  </si>
  <si>
    <t>Evolución de Matrícula Total de Pregrado por Región (solo programas presenciales y semipresenciales)</t>
  </si>
  <si>
    <t>Total</t>
  </si>
  <si>
    <t>Tipo de institución e Institución</t>
  </si>
  <si>
    <t>UNIVERSIDAD DEL ALBA</t>
  </si>
  <si>
    <t xml:space="preserve">Tipo de discapacidad </t>
  </si>
  <si>
    <t>CFT Estatales</t>
  </si>
  <si>
    <t>Profesional con licenciatura</t>
  </si>
  <si>
    <t>Profesional sin licenciatura</t>
  </si>
  <si>
    <t>Evolución de Matrícula Total de Pregrado por región</t>
  </si>
  <si>
    <r>
      <t>Evolución de Matrícula 1</t>
    </r>
    <r>
      <rPr>
        <b/>
        <vertAlign val="superscript"/>
        <sz val="12"/>
        <color theme="1"/>
        <rFont val="Calibri"/>
        <family val="2"/>
        <scheme val="minor"/>
      </rPr>
      <t>er</t>
    </r>
    <r>
      <rPr>
        <b/>
        <sz val="12"/>
        <color theme="1"/>
        <rFont val="Calibri"/>
        <family val="2"/>
        <scheme val="minor"/>
      </rPr>
      <t xml:space="preserve"> año de Pregrado por región</t>
    </r>
  </si>
  <si>
    <t>Particular Subvencionado</t>
  </si>
  <si>
    <t>Particular Pagado</t>
  </si>
  <si>
    <t>Corp. Administración Delegada</t>
  </si>
  <si>
    <t>Municipal</t>
  </si>
  <si>
    <t>Profesional Sin Licenciatura</t>
  </si>
  <si>
    <t>Licenciatura No Conducente a Título</t>
  </si>
  <si>
    <t>Profesional Con Licenciatura</t>
  </si>
  <si>
    <t>Evolución de Matrícula Total de Pregrado por tipo de institución y jornada</t>
  </si>
  <si>
    <t>Pedagogía en Educación de Párvulos</t>
  </si>
  <si>
    <t>Química y Farmacia</t>
  </si>
  <si>
    <t>Evolución de Matrícula Total de Pregrado por sexo</t>
  </si>
  <si>
    <t>Sexo</t>
  </si>
  <si>
    <t>Técnico en Diseño Gráfico</t>
  </si>
  <si>
    <t>Pedagogía en Idiomas</t>
  </si>
  <si>
    <t>Evolución de Matrícula Total por sexo</t>
  </si>
  <si>
    <t>sexo</t>
  </si>
  <si>
    <t>IP CICERON</t>
  </si>
  <si>
    <t>IP ESCUELA DE COMERCIO DE SANTIAGO</t>
  </si>
  <si>
    <t>UNIVERSIDAD LA REPUBLICA</t>
  </si>
  <si>
    <t>Atacameña</t>
  </si>
  <si>
    <t>Aymara</t>
  </si>
  <si>
    <t>Chango</t>
  </si>
  <si>
    <t>Colla</t>
  </si>
  <si>
    <t>Diaguita</t>
  </si>
  <si>
    <t>Kawashkar</t>
  </si>
  <si>
    <t>Mapuche</t>
  </si>
  <si>
    <t>Quechua</t>
  </si>
  <si>
    <t>Rapanui</t>
  </si>
  <si>
    <t>Yagan</t>
  </si>
  <si>
    <t>Pueblo Originario</t>
  </si>
  <si>
    <t xml:space="preserve">Posgrado </t>
  </si>
  <si>
    <t>Matrícula total</t>
  </si>
  <si>
    <t>% PPOO en Pregrado</t>
  </si>
  <si>
    <t>% PPOO en Posgrado</t>
  </si>
  <si>
    <t>% PPOO en Postitulo</t>
  </si>
  <si>
    <t>% PPOO en CFT</t>
  </si>
  <si>
    <t>% PPOO en IP</t>
  </si>
  <si>
    <t>% PPOO en Universidades</t>
  </si>
  <si>
    <t>% PPOO en mujeres</t>
  </si>
  <si>
    <t>% PPOO en hombres</t>
  </si>
  <si>
    <t>% PPOO Técnico de Nivel Superior</t>
  </si>
  <si>
    <t>% PPOO Profesional Sin Licenciatura</t>
  </si>
  <si>
    <t>% PPOO Bachillerato, Ciclo Inicial o Plan Común</t>
  </si>
  <si>
    <t>% PPOO Licenciatura No Conducente a Título</t>
  </si>
  <si>
    <t>% PPOO Profesional Con Licenciatura</t>
  </si>
  <si>
    <t>% PPOO Total general</t>
  </si>
  <si>
    <t>% PPOO Doctorado</t>
  </si>
  <si>
    <t>% PPOO Magíster</t>
  </si>
  <si>
    <t>% PPOO Postítulo</t>
  </si>
  <si>
    <t>% PPOO / Matrícula Total</t>
  </si>
  <si>
    <t>Tipo de Institución e Institución</t>
  </si>
  <si>
    <t>% Distribución PPOO)</t>
  </si>
  <si>
    <t xml:space="preserve"> Matrícula total</t>
  </si>
  <si>
    <t>Evolución de Matrícula Total de Pedagogías  - Universidades</t>
  </si>
  <si>
    <t>Pedagogía en Artes y Música</t>
  </si>
  <si>
    <t>Pedagogía en Ciencias</t>
  </si>
  <si>
    <t>Pedagogía en Educación Básica</t>
  </si>
  <si>
    <t>Pedagogía en Educación Diferencial</t>
  </si>
  <si>
    <t>Pedagogía en Educación Física</t>
  </si>
  <si>
    <t>Pedagogía en Educación Media</t>
  </si>
  <si>
    <t>Pedagogía en Educación Técnico Profesional</t>
  </si>
  <si>
    <t>Pedagogía en Educación Tecnológica</t>
  </si>
  <si>
    <t>Pedagogía en Filosofía y Religión</t>
  </si>
  <si>
    <t>Pedagogía en Historia, Geografía y Ciencias Sociales</t>
  </si>
  <si>
    <t>Pedagogía en Lenguaje, Comunicación y/o Castellano</t>
  </si>
  <si>
    <t>Pedagogía en Matemáticas y Computación</t>
  </si>
  <si>
    <t>Programas de Formación Pedagógica</t>
  </si>
  <si>
    <t>Evolución de Matrícula 1er año de Pedagogías  - Universidades</t>
  </si>
  <si>
    <t>Evolución de Matrícula 1er año de Pregrado por tipo de institución</t>
  </si>
  <si>
    <t>Evolución de Matrícula 1er año de Pregrado por tipo de institución 2</t>
  </si>
  <si>
    <t>Evolución de Matrícula 1er año de Pregrado por tipo de carrera</t>
  </si>
  <si>
    <t>Evolución de Matrícula 1er año de Pregrado por tipo de carrera agrupada</t>
  </si>
  <si>
    <t>Evolución de Matrícula 1er año de Pregrado por tipo de institución y carrera</t>
  </si>
  <si>
    <t>Evolución de Matrícula 1er año de Pregrado por jornada</t>
  </si>
  <si>
    <t>Evolución de Matrícula 1er año de Pregrado por tipo de institución y jornada</t>
  </si>
  <si>
    <t>Evolución de Matrícula 1er año de Pregrado por región</t>
  </si>
  <si>
    <t>Evolución de Matrícula 1er año de Pregrado por región (solo programas presenciales y semipresenciales)</t>
  </si>
  <si>
    <t>Evolución de Matrícula de 1er año de Pregrado por área</t>
  </si>
  <si>
    <t>Evolución de Matrícula 1er año de Pregrado en carreras con mayor matrícula - CFT</t>
  </si>
  <si>
    <t>Evolución de Matrícula 1er año de Pregrado en carreras con mayor matrícula - IP</t>
  </si>
  <si>
    <t>Evolución de Matrícula 1er año de Pregrado por rango de edad</t>
  </si>
  <si>
    <t>Evolución de Matrícula 1er año de Pregrado por rango de edad - CFT</t>
  </si>
  <si>
    <t>Evolución de Matrícula 1er año de Pregrado por rango de edad - IP</t>
  </si>
  <si>
    <t>Evolución de Matrícula de 1er año de Pregrado por rango de edad - Universidades</t>
  </si>
  <si>
    <t>Evolución de Matrícula de 1er año de Pregrado por condición de Acreditación por tipo de institución</t>
  </si>
  <si>
    <r>
      <t>Evolución de Matrícula 1</t>
    </r>
    <r>
      <rPr>
        <b/>
        <vertAlign val="superscript"/>
        <sz val="12"/>
        <rFont val="Calibri"/>
        <family val="2"/>
        <scheme val="minor"/>
      </rPr>
      <t xml:space="preserve">er </t>
    </r>
    <r>
      <rPr>
        <b/>
        <sz val="12"/>
        <rFont val="Calibri"/>
        <family val="2"/>
        <scheme val="minor"/>
      </rPr>
      <t>año de Pregrado por tipo de institución 2</t>
    </r>
  </si>
  <si>
    <t>Evolución de Matrícula 1er año de Pregrado por sexo</t>
  </si>
  <si>
    <t>Evolución de Matrícula Total de Pregrado por sexo - CFT</t>
  </si>
  <si>
    <t>Evolución de Matrícula 1er año de Pregrado por sexo - CFT</t>
  </si>
  <si>
    <t>Evolución de Matrícula Total de Pregrado por sexo - IP</t>
  </si>
  <si>
    <t>Evolución de Matrícula 1er año de Pregrado por sexo - IP</t>
  </si>
  <si>
    <t>Evolución de Matrícula Total de Pregrado por sexo - Universidades</t>
  </si>
  <si>
    <t>Evolución de Matrícula 1er año de Pregrado por sexo - Universidades</t>
  </si>
  <si>
    <t xml:space="preserve">Evolución de Matrícula 1er año de Posgrado por tipo de universidad </t>
  </si>
  <si>
    <t>Evolución de Matrícula 1er año de Posgrado por tipo de programa</t>
  </si>
  <si>
    <t xml:space="preserve">Evolución de Matrícula 1er año de Posgrado por tipo de universidad y programa </t>
  </si>
  <si>
    <t>Evolución de Matrícula 1er año de Posgrado por tipo de programa y jornada</t>
  </si>
  <si>
    <t>Matrícula con Discapacidad</t>
  </si>
  <si>
    <t>% Distribución (matrícula con discapacidad)</t>
  </si>
  <si>
    <t>Incluye programas de Pregrado, Posgrado y Postítulo</t>
  </si>
  <si>
    <t>% PPOO Total</t>
  </si>
  <si>
    <t>CFT</t>
  </si>
  <si>
    <t>IP</t>
  </si>
  <si>
    <r>
      <t xml:space="preserve">Evolución de Matrícula Total de Pregrado por región </t>
    </r>
    <r>
      <rPr>
        <b/>
        <sz val="12"/>
        <color rgb="FFFF0000"/>
        <rFont val="Calibri"/>
        <family val="2"/>
        <scheme val="minor"/>
      </rPr>
      <t>(solo programas presenciales y semipresenciales)</t>
    </r>
  </si>
  <si>
    <r>
      <t>Evolución de Matrícula 1</t>
    </r>
    <r>
      <rPr>
        <b/>
        <vertAlign val="superscript"/>
        <sz val="12"/>
        <color theme="1"/>
        <rFont val="Calibri"/>
        <family val="2"/>
        <scheme val="minor"/>
      </rPr>
      <t>er</t>
    </r>
    <r>
      <rPr>
        <b/>
        <sz val="12"/>
        <color theme="1"/>
        <rFont val="Calibri"/>
        <family val="2"/>
        <scheme val="minor"/>
      </rPr>
      <t xml:space="preserve"> año de Pregrado por región </t>
    </r>
    <r>
      <rPr>
        <b/>
        <sz val="12"/>
        <color rgb="FFFF0000"/>
        <rFont val="Calibri"/>
        <family val="2"/>
        <scheme val="minor"/>
      </rPr>
      <t>(solo programas presenciales y semipresenciales)</t>
    </r>
  </si>
  <si>
    <t>Técnico en Administración Pública o Municipal</t>
  </si>
  <si>
    <r>
      <t xml:space="preserve">Evolución de Matrícula Total de </t>
    </r>
    <r>
      <rPr>
        <b/>
        <sz val="12"/>
        <color rgb="FFFF0000"/>
        <rFont val="Calibri"/>
        <family val="2"/>
        <scheme val="minor"/>
      </rPr>
      <t>Pedagogías</t>
    </r>
    <r>
      <rPr>
        <b/>
        <sz val="12"/>
        <color theme="1"/>
        <rFont val="Calibri"/>
        <family val="2"/>
        <scheme val="minor"/>
      </rPr>
      <t xml:space="preserve">  - Universidades</t>
    </r>
  </si>
  <si>
    <r>
      <t>Evolución de Matrícula 1</t>
    </r>
    <r>
      <rPr>
        <b/>
        <vertAlign val="superscript"/>
        <sz val="12"/>
        <color theme="1"/>
        <rFont val="Calibri"/>
        <family val="2"/>
        <scheme val="minor"/>
      </rPr>
      <t>er</t>
    </r>
    <r>
      <rPr>
        <b/>
        <sz val="12"/>
        <color theme="1"/>
        <rFont val="Calibri"/>
        <family val="2"/>
        <scheme val="minor"/>
      </rPr>
      <t xml:space="preserve"> año de </t>
    </r>
    <r>
      <rPr>
        <b/>
        <sz val="12"/>
        <color rgb="FFFF0000"/>
        <rFont val="Calibri"/>
        <family val="2"/>
        <scheme val="minor"/>
      </rPr>
      <t>Pedagogías</t>
    </r>
    <r>
      <rPr>
        <b/>
        <sz val="12"/>
        <color theme="1"/>
        <rFont val="Calibri"/>
        <family val="2"/>
        <scheme val="minor"/>
      </rPr>
      <t xml:space="preserve">  - Universidades</t>
    </r>
  </si>
  <si>
    <t>Código institucional</t>
  </si>
  <si>
    <t>CFT ACADEMIA CHILENA DE YOGA</t>
  </si>
  <si>
    <t>CFT ASISTE</t>
  </si>
  <si>
    <t>CFT ESCUELA DE COMERCIO</t>
  </si>
  <si>
    <t>IP ARCOS</t>
  </si>
  <si>
    <t>IP EATRI</t>
  </si>
  <si>
    <t>IP IACC</t>
  </si>
  <si>
    <t>IP SAN SEBASTIAN</t>
  </si>
  <si>
    <t>No Binarios</t>
  </si>
  <si>
    <t>% PPOO en no binarios</t>
  </si>
  <si>
    <t>FISICA</t>
  </si>
  <si>
    <t>MENTAL</t>
  </si>
  <si>
    <t>MENTAL Y FISICA</t>
  </si>
  <si>
    <t>MENTAL Y SENSORIAL</t>
  </si>
  <si>
    <t>MENTAL,SENSORIAL Y FISICA</t>
  </si>
  <si>
    <t>SENSORIAL</t>
  </si>
  <si>
    <t>SENSORIAL Y FISICA</t>
  </si>
  <si>
    <t>% con Discapacidad / Matrícula Total</t>
  </si>
  <si>
    <t>% Distribución regional PPOO</t>
  </si>
  <si>
    <t>Promedio de edad Matrícula Total Pregrado</t>
  </si>
  <si>
    <r>
      <t>Promedio de edad Matrícula 1</t>
    </r>
    <r>
      <rPr>
        <b/>
        <vertAlign val="superscript"/>
        <sz val="10"/>
        <color theme="1"/>
        <rFont val="Calibri"/>
        <family val="2"/>
        <scheme val="minor"/>
      </rPr>
      <t>er</t>
    </r>
    <r>
      <rPr>
        <b/>
        <sz val="10"/>
        <color theme="1"/>
        <rFont val="Calibri"/>
        <family val="2"/>
        <scheme val="minor"/>
      </rPr>
      <t xml:space="preserve"> año Pregrado</t>
    </r>
  </si>
  <si>
    <t>CFT Privados</t>
  </si>
  <si>
    <t>Obs. A partir de 2019 las Universidades Alberto Hurtado y Diego Portales y a partir de 2020 la Universidad de Los Andes, se integraron formalmente al Consejo de Rectores (Cruch), lo que explica el aumento de estudiantes de U. Privadas Cruch en desmedro del total de estudiantes de U. Privadas.</t>
  </si>
  <si>
    <t>Evolución de Matrícula Total por región - Solo programas presenciales o semipresenciales</t>
  </si>
  <si>
    <r>
      <t>Matrícula de 1</t>
    </r>
    <r>
      <rPr>
        <vertAlign val="superscript"/>
        <sz val="10"/>
        <color theme="1"/>
        <rFont val="Calibri"/>
        <family val="2"/>
        <scheme val="minor"/>
      </rPr>
      <t>er</t>
    </r>
    <r>
      <rPr>
        <sz val="10"/>
        <color theme="1"/>
        <rFont val="Calibri"/>
        <family val="2"/>
        <scheme val="minor"/>
      </rPr>
      <t xml:space="preserve"> año de Posgrado Hombre</t>
    </r>
  </si>
  <si>
    <t>INFORME MATRÍCULA 2025</t>
  </si>
  <si>
    <t>MATRÍCULA TOTAL 2025</t>
  </si>
  <si>
    <t>Matrícula Total 2025 por tipo de institución y nivel de formación</t>
  </si>
  <si>
    <t>Matrícula Total 2025 por tipo de institución y sexo</t>
  </si>
  <si>
    <t>Matrícula Total 2025 por tipo de institución 2 y nivel de formación</t>
  </si>
  <si>
    <t>Matrícula Total 2025 por tipo de institución 2 y sexo</t>
  </si>
  <si>
    <t>Matrícula Total 2025 por región y sexo</t>
  </si>
  <si>
    <t>Matrícula Total 2025 por área y sexo</t>
  </si>
  <si>
    <t>EVOLUCIÓN MATRÍCULA TOTAL 2007 - 2025</t>
  </si>
  <si>
    <t>MATRÍCULA DE PREGRADO 2025</t>
  </si>
  <si>
    <t xml:space="preserve">Matrícula Total 2025 de Pregrado por sexo y tipo de institución </t>
  </si>
  <si>
    <t xml:space="preserve">Matrícula 1er año 2025 de Pregrado por sexo y tipo de institución </t>
  </si>
  <si>
    <t xml:space="preserve">Matrícula Total 2025 de Pregrado por rango de edad y tipo de institución </t>
  </si>
  <si>
    <t xml:space="preserve">Matrícula Total 2025 de Pregrado por área y tipo de institución </t>
  </si>
  <si>
    <t>Matrícula Total 2025 de Pregrado por área y sexo</t>
  </si>
  <si>
    <t xml:space="preserve">Matrícula Total 2025 de Pregrado por jornada y tipo de institución </t>
  </si>
  <si>
    <t>Matrícula Total 2025 de Pregrado por región y tipo de institución</t>
  </si>
  <si>
    <t>Matrícula 1er año 2025 de Pregrado por región y tipo de institución</t>
  </si>
  <si>
    <t>Matrícula Total 2025 de Pregrado por región y sexo</t>
  </si>
  <si>
    <t>Matrícula 1er año 2025 de Pregrado por región y sexo</t>
  </si>
  <si>
    <t>EVOLUCIÓN MATRÍCULA DE PREGRADO 2007 - 2025</t>
  </si>
  <si>
    <t>MATRÍCULA DE POSGRADO 2025</t>
  </si>
  <si>
    <t xml:space="preserve">Matrícula Total 2025 de Posgrado por tipo de universidad y programa </t>
  </si>
  <si>
    <t xml:space="preserve">Matrícula 1er año 2025 de Posgrado por tipo de universidad y programa </t>
  </si>
  <si>
    <t xml:space="preserve">Matrícula Total 2025 de Posgrado por sexo y tipo de programa </t>
  </si>
  <si>
    <t xml:space="preserve">Matrícula 1er año 2025 de Posgrado por sexo y tipo de programa </t>
  </si>
  <si>
    <t>Matrícula Total 2025 de Posgrado por rango de edad y tipo de programa</t>
  </si>
  <si>
    <t xml:space="preserve">Matrícula Total 2025 de Posgrado por área y tipo de programa </t>
  </si>
  <si>
    <t xml:space="preserve">Matrícula Total 2025 de Posgrado por jornada y tipo de programa </t>
  </si>
  <si>
    <t xml:space="preserve">Matrícula Total 2025 de Posgrado por región y tipo de programa </t>
  </si>
  <si>
    <t>EVOLUCIÓN MATRÍCULA DE POSGRADO 2007 - 2025</t>
  </si>
  <si>
    <t>MATRÍCULA DE POSTÍTULO 2025</t>
  </si>
  <si>
    <t xml:space="preserve">Matrícula Total 2025 de Postítulo por tipo de institución y tipo de programa </t>
  </si>
  <si>
    <t xml:space="preserve">Matrícula Total 2025 de Postítulo por sexo y tipo de programa </t>
  </si>
  <si>
    <t>Matrícula Total 2025 de Postítulo por rango de edad y tipo de programa</t>
  </si>
  <si>
    <t xml:space="preserve">Matrícula Total 2025 de Postítulo por área y tipo de programa </t>
  </si>
  <si>
    <t xml:space="preserve">Matrícula Total 2025 de Postítulo por jornada y tipo de programa </t>
  </si>
  <si>
    <t xml:space="preserve">Matrícula Total 2025 de Postítulo por región y tipo de programa </t>
  </si>
  <si>
    <t>EVOLUCIÓN MATRÍCULA DE POSTÍTULO 2007 - 2025</t>
  </si>
  <si>
    <t>MATRÍCULA PUEBLOS ORIGINARIOS (PPOO) 2025</t>
  </si>
  <si>
    <t>Matrícula Total 2025 de pueblos originarios y nivel global</t>
  </si>
  <si>
    <t>Matrícula Total 2025 de pueblos originarios y tipo de institución</t>
  </si>
  <si>
    <t>Matrícula Total 2025 de pueblos originarios y sexo</t>
  </si>
  <si>
    <t>MATRÍCULA 2025 EN SITUACIÓN DE DISCAPACIDAD</t>
  </si>
  <si>
    <t>Matrícula Total 2025 y con discapacidad por institución</t>
  </si>
  <si>
    <t>Listado instituciones con datos Matrícula 2025</t>
  </si>
  <si>
    <t>Matricula Total 2025 por tipo de institución y nivel de formación</t>
  </si>
  <si>
    <t>Matricula Total 2025 por tipo de institución y sexo</t>
  </si>
  <si>
    <t>Matricula Total 2025 por tipo de institución 2 y nivel de formación</t>
  </si>
  <si>
    <t>Matricula Total 2025 por tipo de institución 2 y sexo</t>
  </si>
  <si>
    <t>Matricula Total 2025 por región y sexo</t>
  </si>
  <si>
    <t>Matricula Total 2025 por área y sexo</t>
  </si>
  <si>
    <t>% Variación 2016 - 2025</t>
  </si>
  <si>
    <t>% Variación 2021 - 2025</t>
  </si>
  <si>
    <t>% Variación 2024 - 2025</t>
  </si>
  <si>
    <t>Distribución Matrícula 2025</t>
  </si>
  <si>
    <t>Matrícula Total 2025 por área CINE/Unesco 2013 y sexo</t>
  </si>
  <si>
    <t>Matricula Total 2025 por área CINE/Unesco 2013 y sexo</t>
  </si>
  <si>
    <t>Administración de Empresas y Derecho</t>
  </si>
  <si>
    <t>Agricultura, Silvicultura, Pesca y Veterinaria</t>
  </si>
  <si>
    <t>Artes y Humanidades</t>
  </si>
  <si>
    <t>Ciencias naturales, matemáticas y estadística</t>
  </si>
  <si>
    <t>Ciencias Sociales, Periodismo e Información</t>
  </si>
  <si>
    <t>Ingeniería, Industria y Construcción</t>
  </si>
  <si>
    <t>Salud y Bienestar</t>
  </si>
  <si>
    <t>Servicios</t>
  </si>
  <si>
    <t>Tecnología de la Información y la Comunicación (TIC)</t>
  </si>
  <si>
    <t xml:space="preserve">Matrícula Total 2025 de Pregrado por área CINE/Unesco 2013 y tipo de institución </t>
  </si>
  <si>
    <t>Matrícula Total 2025 de Pregrado por área CINE/Unesco 2013 y sexo</t>
  </si>
  <si>
    <t>Dif 2025-2024</t>
  </si>
  <si>
    <t>Evolución de Matrícula Total de Pregrado por área CINE/Unesco 2013</t>
  </si>
  <si>
    <r>
      <t>Evolución de Matrícula de 1</t>
    </r>
    <r>
      <rPr>
        <b/>
        <vertAlign val="superscript"/>
        <sz val="12"/>
        <color theme="1"/>
        <rFont val="Calibri"/>
        <family val="2"/>
        <scheme val="minor"/>
      </rPr>
      <t>er</t>
    </r>
    <r>
      <rPr>
        <b/>
        <sz val="12"/>
        <color theme="1"/>
        <rFont val="Calibri"/>
        <family val="2"/>
        <scheme val="minor"/>
      </rPr>
      <t xml:space="preserve"> año de Pregrado por área CINE/Unesco 2013</t>
    </r>
  </si>
  <si>
    <t>Evolución de Matrícula de 1er año de Pregrado por área CINE/Unesco 2013</t>
  </si>
  <si>
    <t>Matrícula Total 2025 de Posgrado</t>
  </si>
  <si>
    <t xml:space="preserve">Matrícula Total 2025 de Posgrado por área CINE/Unesco y tipo de programa </t>
  </si>
  <si>
    <t xml:space="preserve">Matrícula Total 2025 de Postítulo por tipo de institución y programa </t>
  </si>
  <si>
    <t xml:space="preserve">Matrícula Total 2025 de Postítulo por área CINE/Unesco 2013 y tipo de programa </t>
  </si>
  <si>
    <t xml:space="preserve">Matrícula Total 2025 de Posgrado por área CINE/Unesco 2013 y tipo de programa </t>
  </si>
  <si>
    <t>Instituciones participantes en proceso Matrícula 2025</t>
  </si>
  <si>
    <t>Matrícula Total Pregrado 2025</t>
  </si>
  <si>
    <t>Matrícula Total Posgrado 2025</t>
  </si>
  <si>
    <t>Matrícula Total Postítulo 2025</t>
  </si>
  <si>
    <t>Matrícula Total 2025</t>
  </si>
  <si>
    <t>Matrícula PPOO 2025</t>
  </si>
  <si>
    <t>Técnico en Prevención de Riesgos</t>
  </si>
  <si>
    <t>Ingeniería en Construcción</t>
  </si>
  <si>
    <t>Técnico en Minería</t>
  </si>
  <si>
    <t>Ingeniería en Minas</t>
  </si>
  <si>
    <t xml:space="preserve"> Arica y Parinacota </t>
  </si>
  <si>
    <t xml:space="preserve"> Tarapacá </t>
  </si>
  <si>
    <t xml:space="preserve"> Antofagasta </t>
  </si>
  <si>
    <t xml:space="preserve"> Atacama </t>
  </si>
  <si>
    <t xml:space="preserve"> Coquimbo </t>
  </si>
  <si>
    <t xml:space="preserve"> Valparaíso </t>
  </si>
  <si>
    <t xml:space="preserve"> Metropolitana </t>
  </si>
  <si>
    <t xml:space="preserve"> O'Higgins </t>
  </si>
  <si>
    <t xml:space="preserve"> Maule </t>
  </si>
  <si>
    <t xml:space="preserve"> Ñuble </t>
  </si>
  <si>
    <t xml:space="preserve"> Biobío </t>
  </si>
  <si>
    <t xml:space="preserve"> La Araucanía </t>
  </si>
  <si>
    <t xml:space="preserve"> Los Ríos </t>
  </si>
  <si>
    <t xml:space="preserve"> Los Lagos </t>
  </si>
  <si>
    <t xml:space="preserve"> Aysén </t>
  </si>
  <si>
    <t xml:space="preserve"> Magallanes </t>
  </si>
  <si>
    <t xml:space="preserve"> Total</t>
  </si>
  <si>
    <t>Matrícula No Binario o Indefinido</t>
  </si>
  <si>
    <t>Matrícula Total de Posgrado No binario o Indefinido</t>
  </si>
  <si>
    <t>Diplomado (desde un semestre)</t>
  </si>
  <si>
    <t>Matrícula Posgrado 2025 de pueblos originarios y tipo de programa</t>
  </si>
  <si>
    <t>Matrícula Postítulo 2025 de pueblos originarios y tipo de programa</t>
  </si>
  <si>
    <t>No Binario o Indefinido</t>
  </si>
  <si>
    <t>% PPOO Especialidad médica u odontológica</t>
  </si>
  <si>
    <t>% PPOO Diplomado (desde un semestre)</t>
  </si>
  <si>
    <t>Tipo de Institución y Nivel de Formación</t>
  </si>
  <si>
    <t>Nivel de Formación y Tipo de programa</t>
  </si>
  <si>
    <t>Evolución de Matrícula Total de Pregrado por tipo de programa</t>
  </si>
  <si>
    <t>Evolución de Matrícula Total de Pregrado por tipo de programa agrupado</t>
  </si>
  <si>
    <r>
      <t>Evolución de Matrícula 1</t>
    </r>
    <r>
      <rPr>
        <b/>
        <vertAlign val="superscript"/>
        <sz val="12"/>
        <color theme="1"/>
        <rFont val="Calibri"/>
        <family val="2"/>
        <scheme val="minor"/>
      </rPr>
      <t>er</t>
    </r>
    <r>
      <rPr>
        <b/>
        <sz val="12"/>
        <color theme="1"/>
        <rFont val="Calibri"/>
        <family val="2"/>
        <scheme val="minor"/>
      </rPr>
      <t xml:space="preserve"> año de Pregrado por tipo de programa agrupado</t>
    </r>
  </si>
  <si>
    <t>Evolución de Matrícula Total de Pregrado por tipo de institución y programa</t>
  </si>
  <si>
    <r>
      <t>Evolución de Matrícula 1</t>
    </r>
    <r>
      <rPr>
        <b/>
        <vertAlign val="superscript"/>
        <sz val="12"/>
        <color theme="1"/>
        <rFont val="Calibri"/>
        <family val="2"/>
        <scheme val="minor"/>
      </rPr>
      <t>er</t>
    </r>
    <r>
      <rPr>
        <b/>
        <sz val="12"/>
        <color theme="1"/>
        <rFont val="Calibri"/>
        <family val="2"/>
        <scheme val="minor"/>
      </rPr>
      <t xml:space="preserve"> año de Pregrado por tipo de institución y programa</t>
    </r>
  </si>
  <si>
    <t>Evolución de Matrícula Total de Pregrado en programas con mayor matrícula - CFT</t>
  </si>
  <si>
    <t>Evolución de Matrícula 1er año de Pregrado en programas con mayor matrícula - CFT</t>
  </si>
  <si>
    <t>Evolución de Matrícula Total de Pregrado en programas con mayor matrícula - IP</t>
  </si>
  <si>
    <t>Evolución de Matrícula 1er año de Pregrado en programas con mayor matrícula - IP</t>
  </si>
  <si>
    <t>Evolución de Matrícula Total de Pregrado en programas con mayor matrícula - Universidades</t>
  </si>
  <si>
    <t>Evolución de Matrícula 1er año de Pregrado en programas con mayor matrícula - Universidades</t>
  </si>
  <si>
    <t>Evolución de Matrícula Total de Pregrado por condición de acreditación institucional por tipo de institución</t>
  </si>
  <si>
    <r>
      <t>Evolución de Matrícula 1</t>
    </r>
    <r>
      <rPr>
        <b/>
        <vertAlign val="superscript"/>
        <sz val="12"/>
        <color theme="1"/>
        <rFont val="Calibri"/>
        <family val="2"/>
        <scheme val="minor"/>
      </rPr>
      <t>er</t>
    </r>
    <r>
      <rPr>
        <b/>
        <sz val="12"/>
        <color theme="1"/>
        <rFont val="Calibri"/>
        <family val="2"/>
        <scheme val="minor"/>
      </rPr>
      <t xml:space="preserve"> año de Pregrado por condición de acreditación institucional por tipo de institución</t>
    </r>
  </si>
  <si>
    <t>Evolución Matrícula Total por Pueblos Originarios</t>
  </si>
  <si>
    <t>Evolución Matrícula Total de Pregrado por Pueblos Originarios</t>
  </si>
  <si>
    <t>Evolución Matrícula Total de Posgrado por Pueblos Originarios</t>
  </si>
  <si>
    <t>Evolución Matrícula Total de Postítulo por Pueblos Originarios</t>
  </si>
  <si>
    <t>Matrícula Total 2025 de región y pueblos originarios</t>
  </si>
  <si>
    <t>Matrícula Pregrado 2025 de pueblos originarios y tipo de programa</t>
  </si>
  <si>
    <t>Evolución Matrícula Total de pueblos originarios por región</t>
  </si>
  <si>
    <t>Evolución Matrícula Total de Pregrado de pueblos originarios por tipo de institución y tipo de programa</t>
  </si>
  <si>
    <t>Evolución Matrícula Total de Pregrado de pueblos originarios por sexo</t>
  </si>
  <si>
    <t>Evolución Matrícula Total de Pregrado de pueblos originarios por región</t>
  </si>
  <si>
    <t>Tipo de Programa</t>
  </si>
  <si>
    <t>Evolución Matrícula Total de Posgrado de pueblos originarios por tipo de programa</t>
  </si>
  <si>
    <t>Evolución Matrícula Total de Posgrado de pueblos originarios por región</t>
  </si>
  <si>
    <t>Evolución Matrícula Total de Postítulo de pueblos originarios por tipo de programa</t>
  </si>
  <si>
    <t>Evolución Matrícula Total de Posgrado de pueblos originarios por tipo de programa y sexo</t>
  </si>
  <si>
    <t>Evolución Matrícula Total de Postítulo de pueblos originarios por región</t>
  </si>
  <si>
    <t>Matrícula total (pregrado, posgrado y postítulo) y pueblos originarios por institución</t>
  </si>
  <si>
    <t>% con Discapacidad  Pregrado</t>
  </si>
  <si>
    <t xml:space="preserve">% con Discapacidad  Posgrado </t>
  </si>
  <si>
    <t>% con Discapacidad Postítulo</t>
  </si>
  <si>
    <t>% con Discapacidad  CFT</t>
  </si>
  <si>
    <t>% con Discapacidad  IP</t>
  </si>
  <si>
    <t>% con Discapacidad Universidad</t>
  </si>
  <si>
    <t>Matricula Total 2025 de personas con discapacidad por tipo de discapacidad y nivel de formación</t>
  </si>
  <si>
    <t>% con Discapacidad Mujeres</t>
  </si>
  <si>
    <t>% con Discapacidad  Hombres</t>
  </si>
  <si>
    <t>% con Discapacidad No binarios o Indefinidos</t>
  </si>
  <si>
    <t>Matricula Total 2025 de personas con discapacidad por tipo de discapacidad y tipo de institución</t>
  </si>
  <si>
    <t>Matricula Total 2025 de personas con discapacidad por región y sexo</t>
  </si>
  <si>
    <t>Evolución Matrícula Total de Pregrado de personas con discapacidad por tipo de institución y tipo de programa</t>
  </si>
  <si>
    <t>Evolución Matrícula Total de Pregrado de personas con discapacidad por sexo</t>
  </si>
  <si>
    <t>Evolución Matrícula Total de Pregrado de personas con discapacidad por región</t>
  </si>
  <si>
    <t>Evolución Matrícula Total de Posgrado de personas con discapacidad por tipo de programa</t>
  </si>
  <si>
    <t>Evolución Matrícula Total de Posgrado de personas con discapacidad por tipo de programa y sexo</t>
  </si>
  <si>
    <t>Evolución Matrícula Total de Posgrado de personas con discapacidad por región</t>
  </si>
  <si>
    <t>Evolución Matrícula Total de Postítulo de personas con discapacidad por tipo de programa</t>
  </si>
  <si>
    <t>Evolución Matrícula Total de Postítulo de personas con discapacidad por sexo</t>
  </si>
  <si>
    <t>Evolución Matrícula Total de Postítulo de personas con discapacidad por región</t>
  </si>
  <si>
    <t xml:space="preserve">Matrícula Total 2025 de Pregrado por tipo de programa y tipo de institución </t>
  </si>
  <si>
    <r>
      <t>Evolución de Matrícula 1</t>
    </r>
    <r>
      <rPr>
        <b/>
        <vertAlign val="superscript"/>
        <sz val="12"/>
        <color theme="1"/>
        <rFont val="Calibri"/>
        <family val="2"/>
        <scheme val="minor"/>
      </rPr>
      <t xml:space="preserve">er </t>
    </r>
    <r>
      <rPr>
        <b/>
        <sz val="12"/>
        <color theme="1"/>
        <rFont val="Calibri"/>
        <family val="2"/>
        <scheme val="minor"/>
      </rPr>
      <t>año de Pregrado por tipo de programa</t>
    </r>
  </si>
  <si>
    <t>Evolución Matrícula Total de pueblos originarios por tipo de institución y nivel de formación</t>
  </si>
  <si>
    <t>Evolución Matrícula Total de pueblos originarios por nivel global y tipo de programa</t>
  </si>
  <si>
    <t>Evolución Matrícula Total de pueblos originarios por sexo</t>
  </si>
  <si>
    <t>Evolución Matrícula Total de Postítulo de pueblos originarios tipo de programa y sexo</t>
  </si>
  <si>
    <t>Matricula Total 2025 de personas con discapacidad por tipo de discapacidad y sexo</t>
  </si>
  <si>
    <t>Matrícula total 2025 (pregrado, posgrado y postítulo) y pueblos originarios por institución</t>
  </si>
  <si>
    <t>% con Discapacidad Total</t>
  </si>
  <si>
    <t>MATRÍCULA PERSONAS CON DISCAPACIDAD 2025</t>
  </si>
  <si>
    <t>Evolución Matrícula Total de personas con discapacidad por tipo de institución y nivel de formación</t>
  </si>
  <si>
    <t>Evolución Matrícula Total de personas con discapacidad por tipo de institución y tipo de formación</t>
  </si>
  <si>
    <t>Matrícula Total 2025 por área CINE/Unesco 2013 y pueblos originarios</t>
  </si>
  <si>
    <t>Matrícula Total 2025 por área y pueblos originarios</t>
  </si>
  <si>
    <t>Evolución de Matrícula Total por área y discapacidad</t>
  </si>
  <si>
    <t>Evolución de Matrícula Total por área CINE/Unesco 2013 y discapacidad</t>
  </si>
  <si>
    <t>% Distribución Área</t>
  </si>
  <si>
    <t>% Distribución Área CINE/Unesco 2013</t>
  </si>
  <si>
    <t>% PPOO (matrícula total)</t>
  </si>
  <si>
    <t>Evolución Matrícula Total de personas con discapacidad por región</t>
  </si>
  <si>
    <t xml:space="preserve">NOTA: En caso de utilizar datos de esta base para notas periodísticas o estudios, se debe citar como fuente de los datos al Servicio de Información de Educación Superior (SIES), del Ministerio de Educación </t>
  </si>
  <si>
    <t>Matrícula Total de Pregrado No Binario o Indefinido</t>
  </si>
  <si>
    <r>
      <t>Matrícula de 1</t>
    </r>
    <r>
      <rPr>
        <vertAlign val="superscript"/>
        <sz val="10"/>
        <color theme="1"/>
        <rFont val="Calibri"/>
        <family val="2"/>
        <scheme val="minor"/>
      </rPr>
      <t>er</t>
    </r>
    <r>
      <rPr>
        <sz val="10"/>
        <color theme="1"/>
        <rFont val="Calibri"/>
        <family val="2"/>
        <scheme val="minor"/>
      </rPr>
      <t xml:space="preserve"> año No Binario o Indefinido</t>
    </r>
  </si>
  <si>
    <t>Matrícula Total No Binario o Indefinido</t>
  </si>
  <si>
    <r>
      <t>Matrícula 1</t>
    </r>
    <r>
      <rPr>
        <b/>
        <vertAlign val="superscript"/>
        <sz val="10"/>
        <color theme="1"/>
        <rFont val="Calibri"/>
        <family val="2"/>
        <scheme val="minor"/>
      </rPr>
      <t>er</t>
    </r>
    <r>
      <rPr>
        <b/>
        <sz val="10"/>
        <color theme="1"/>
        <rFont val="Calibri"/>
        <family val="2"/>
        <scheme val="minor"/>
      </rPr>
      <t xml:space="preserve"> año No Binario o Indefinido</t>
    </r>
  </si>
  <si>
    <t>Para los años 2010 a 2012, hay instituciones que solo entregaron  rangos de edad a nivel global y no para estudiantes de 1er año.</t>
  </si>
  <si>
    <t>Para los años 2010 a 2012, hay instituciones que solo entregaron rangos de edad a nivel global y no para estudiantes de 1er año.</t>
  </si>
  <si>
    <t>*Carreras en Convenio: refiere a programas que tienen estudiantes reubicados desde universidades en cierre a otras universidades.</t>
  </si>
  <si>
    <t>*Considera la comparación por tipo de institución distinguiendo por situación de acreditación institucional (a mayo de cada año).</t>
  </si>
  <si>
    <t>Matrícula Total de Posgrado No Binario o Indefinido</t>
  </si>
  <si>
    <r>
      <t>Matrícula de 1</t>
    </r>
    <r>
      <rPr>
        <vertAlign val="superscript"/>
        <sz val="10"/>
        <color theme="1"/>
        <rFont val="Calibri"/>
        <family val="2"/>
        <scheme val="minor"/>
      </rPr>
      <t>er</t>
    </r>
    <r>
      <rPr>
        <sz val="10"/>
        <color theme="1"/>
        <rFont val="Calibri"/>
        <family val="2"/>
        <scheme val="minor"/>
      </rPr>
      <t xml:space="preserve"> año de Posgrado No Binario o Indefinido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</si>
</sst>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 #,##0_ ;_ * \-#,##0_ ;_ * &quot;-&quot;_ ;_ @_ "/>
    <numFmt numFmtId="165" formatCode="_-* #,##0.00\ _€_-;\-* #,##0.00\ _€_-;_-* &quot;-&quot;??\ _€_-;_-@_-"/>
    <numFmt numFmtId="166" formatCode="_-* #,##0_-;\-* #,##0_-;_-* &quot;-&quot;??_-;_-@_-"/>
    <numFmt numFmtId="167" formatCode="0.0%"/>
    <numFmt numFmtId="168" formatCode="_-* #,##0.0_-;\-* #,##0.0_-;_-* &quot;-&quot;??_-;_-@_-"/>
    <numFmt numFmtId="169" formatCode="_-* #,##0\ _€_-;\-* #,##0\ _€_-;_-* &quot;-&quot;??\ _€_-;_-@_-"/>
  </numFmts>
  <fonts count="38" x14ac:knownFonts="1">
    <font>
      <sz val="11"/>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1"/>
      <color indexed="8"/>
      <name val="Calibri"/>
      <family val="2"/>
    </font>
    <font>
      <sz val="10"/>
      <color theme="1"/>
      <name val="Calibri"/>
      <family val="2"/>
      <scheme val="minor"/>
    </font>
    <font>
      <sz val="10"/>
      <name val="Arial"/>
      <family val="2"/>
    </font>
    <font>
      <sz val="10"/>
      <name val="MS Sans Serif"/>
      <family val="2"/>
    </font>
    <font>
      <sz val="11"/>
      <color theme="1"/>
      <name val="Cambria"/>
      <family val="2"/>
      <scheme val="major"/>
    </font>
    <font>
      <b/>
      <sz val="10"/>
      <name val="Calibri"/>
      <family val="2"/>
      <scheme val="minor"/>
    </font>
    <font>
      <sz val="10"/>
      <name val="Calibri"/>
      <family val="2"/>
      <scheme val="minor"/>
    </font>
    <font>
      <u/>
      <sz val="11"/>
      <color theme="10"/>
      <name val="Calibri"/>
      <family val="2"/>
      <scheme val="minor"/>
    </font>
    <font>
      <b/>
      <sz val="14"/>
      <color theme="1"/>
      <name val="Calibri"/>
      <family val="2"/>
      <scheme val="minor"/>
    </font>
    <font>
      <vertAlign val="superscript"/>
      <sz val="10"/>
      <color theme="1"/>
      <name val="Calibri"/>
      <family val="2"/>
      <scheme val="minor"/>
    </font>
    <font>
      <b/>
      <vertAlign val="superscript"/>
      <sz val="10"/>
      <color theme="1"/>
      <name val="Calibri"/>
      <family val="2"/>
      <scheme val="minor"/>
    </font>
    <font>
      <b/>
      <sz val="11"/>
      <color rgb="FFFF0000"/>
      <name val="Calibri"/>
      <family val="2"/>
      <scheme val="minor"/>
    </font>
    <font>
      <b/>
      <sz val="12"/>
      <color theme="1"/>
      <name val="Calibri"/>
      <family val="2"/>
      <scheme val="minor"/>
    </font>
    <font>
      <b/>
      <vertAlign val="superscript"/>
      <sz val="12"/>
      <color theme="1"/>
      <name val="Calibri"/>
      <family val="2"/>
      <scheme val="minor"/>
    </font>
    <font>
      <b/>
      <sz val="26"/>
      <color theme="1"/>
      <name val="Calibri"/>
      <family val="2"/>
      <scheme val="minor"/>
    </font>
    <font>
      <i/>
      <sz val="10"/>
      <color theme="1"/>
      <name val="Calibri"/>
      <family val="2"/>
      <scheme val="minor"/>
    </font>
    <font>
      <b/>
      <sz val="12"/>
      <name val="Calibri"/>
      <family val="2"/>
      <scheme val="minor"/>
    </font>
    <font>
      <b/>
      <vertAlign val="superscript"/>
      <sz val="10"/>
      <name val="Calibri"/>
      <family val="2"/>
      <scheme val="minor"/>
    </font>
    <font>
      <b/>
      <vertAlign val="superscript"/>
      <sz val="12"/>
      <name val="Calibri"/>
      <family val="2"/>
      <scheme val="minor"/>
    </font>
    <font>
      <sz val="11"/>
      <color rgb="FFFF0000"/>
      <name val="Calibri"/>
      <family val="2"/>
      <scheme val="minor"/>
    </font>
    <font>
      <b/>
      <sz val="16"/>
      <color theme="1"/>
      <name val="Calibri"/>
      <family val="2"/>
      <scheme val="minor"/>
    </font>
    <font>
      <b/>
      <sz val="16"/>
      <name val="Calibri"/>
      <family val="2"/>
      <scheme val="minor"/>
    </font>
    <font>
      <b/>
      <sz val="10"/>
      <color rgb="FFFF0000"/>
      <name val="Calibri"/>
      <family val="2"/>
      <scheme val="minor"/>
    </font>
    <font>
      <sz val="10"/>
      <color rgb="FFFF0000"/>
      <name val="Calibri"/>
      <family val="2"/>
      <scheme val="minor"/>
    </font>
    <font>
      <sz val="12"/>
      <color theme="1"/>
      <name val="Calibri"/>
      <family val="2"/>
      <scheme val="minor"/>
    </font>
    <font>
      <sz val="8"/>
      <name val="Calibri"/>
      <family val="2"/>
      <scheme val="minor"/>
    </font>
    <font>
      <b/>
      <sz val="12"/>
      <color rgb="FFFF0000"/>
      <name val="Calibri"/>
      <family val="2"/>
      <scheme val="minor"/>
    </font>
    <font>
      <sz val="10"/>
      <color theme="1"/>
      <name val="Calibri"/>
      <family val="2"/>
    </font>
    <font>
      <sz val="9"/>
      <color theme="1"/>
      <name val="Calibri"/>
      <family val="2"/>
    </font>
    <font>
      <b/>
      <sz val="10"/>
      <color theme="1"/>
      <name val="Calibri"/>
      <family val="2"/>
    </font>
    <font>
      <b/>
      <sz val="9"/>
      <color theme="1"/>
      <name val="Calibri"/>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theme="4" tint="0.79998168889431442"/>
      </patternFill>
    </fill>
    <fill>
      <patternFill patternType="solid">
        <fgColor theme="0" tint="-0.14999847407452621"/>
        <bgColor indexed="64"/>
      </patternFill>
    </fill>
    <fill>
      <patternFill patternType="solid">
        <fgColor theme="0" tint="-0.249977111117893"/>
        <bgColor theme="4" tint="0.79998168889431442"/>
      </patternFill>
    </fill>
    <fill>
      <patternFill patternType="solid">
        <fgColor theme="0" tint="-0.249977111117893"/>
        <bgColor indexed="64"/>
      </patternFill>
    </fill>
    <fill>
      <patternFill patternType="solid">
        <fgColor theme="6" tint="0.59999389629810485"/>
        <bgColor theme="4" tint="0.79998168889431442"/>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s>
  <cellStyleXfs count="41">
    <xf numFmtId="0" fontId="0" fillId="0" borderId="0"/>
    <xf numFmtId="43" fontId="4"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9" fillId="0" borderId="0"/>
    <xf numFmtId="9" fontId="10" fillId="0" borderId="0" applyFont="0" applyFill="0" applyBorder="0" applyAlignment="0" applyProtection="0"/>
    <xf numFmtId="0" fontId="11" fillId="0" borderId="0"/>
    <xf numFmtId="43" fontId="1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9" fontId="4" fillId="0" borderId="0" applyFont="0" applyFill="0" applyBorder="0" applyAlignment="0" applyProtection="0"/>
    <xf numFmtId="0" fontId="14" fillId="0" borderId="0" applyNumberForma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1" fillId="0" borderId="0"/>
    <xf numFmtId="0" fontId="4" fillId="0" borderId="0"/>
    <xf numFmtId="43"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9" fillId="0" borderId="0"/>
    <xf numFmtId="43" fontId="11" fillId="0" borderId="0" applyFont="0" applyFill="0" applyBorder="0" applyAlignment="0" applyProtection="0"/>
    <xf numFmtId="9" fontId="4" fillId="0" borderId="0" applyFont="0" applyFill="0" applyBorder="0" applyAlignment="0" applyProtection="0"/>
    <xf numFmtId="165" fontId="1" fillId="0" borderId="0" applyFont="0" applyFill="0" applyBorder="0" applyAlignment="0" applyProtection="0"/>
    <xf numFmtId="9" fontId="1" fillId="0" borderId="0" applyFont="0" applyFill="0" applyBorder="0" applyAlignment="0" applyProtection="0"/>
    <xf numFmtId="0" fontId="4" fillId="0" borderId="0"/>
    <xf numFmtId="164" fontId="1" fillId="0" borderId="0" applyFont="0" applyFill="0" applyBorder="0" applyAlignment="0" applyProtection="0"/>
    <xf numFmtId="165" fontId="1"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11" fillId="0" borderId="0" applyFont="0" applyFill="0" applyBorder="0" applyAlignment="0" applyProtection="0"/>
    <xf numFmtId="43" fontId="4" fillId="0" borderId="0" applyFont="0" applyFill="0" applyBorder="0" applyAlignment="0" applyProtection="0"/>
  </cellStyleXfs>
  <cellXfs count="277">
    <xf numFmtId="0" fontId="0" fillId="0" borderId="0" xfId="0"/>
    <xf numFmtId="166" fontId="8" fillId="2" borderId="1" xfId="1" applyNumberFormat="1" applyFont="1" applyFill="1" applyBorder="1" applyAlignment="1">
      <alignment horizontal="left" vertical="center"/>
    </xf>
    <xf numFmtId="166" fontId="6" fillId="2" borderId="1" xfId="1" applyNumberFormat="1" applyFont="1" applyFill="1" applyBorder="1" applyAlignment="1">
      <alignment horizontal="left" vertical="center"/>
    </xf>
    <xf numFmtId="0" fontId="0" fillId="0" borderId="0" xfId="0" applyAlignment="1">
      <alignment vertical="center"/>
    </xf>
    <xf numFmtId="0" fontId="8" fillId="0" borderId="0" xfId="0" applyFont="1" applyAlignment="1">
      <alignment vertical="center"/>
    </xf>
    <xf numFmtId="0" fontId="8" fillId="0" borderId="0" xfId="0" applyFont="1" applyAlignment="1">
      <alignment horizontal="center" vertical="center"/>
    </xf>
    <xf numFmtId="166" fontId="8" fillId="0" borderId="0" xfId="1" applyNumberFormat="1" applyFont="1" applyAlignment="1">
      <alignment horizontal="center" vertical="center"/>
    </xf>
    <xf numFmtId="166" fontId="8" fillId="0" borderId="1" xfId="1" applyNumberFormat="1" applyFont="1" applyBorder="1" applyAlignment="1">
      <alignment horizontal="center" vertical="center"/>
    </xf>
    <xf numFmtId="166" fontId="6" fillId="0" borderId="1" xfId="1" applyNumberFormat="1" applyFont="1" applyBorder="1" applyAlignment="1">
      <alignment horizontal="center" vertical="center"/>
    </xf>
    <xf numFmtId="166" fontId="8" fillId="0" borderId="0" xfId="1" applyNumberFormat="1" applyFont="1" applyFill="1" applyBorder="1" applyAlignment="1">
      <alignment horizontal="left" vertical="center"/>
    </xf>
    <xf numFmtId="166" fontId="6" fillId="0" borderId="0" xfId="1" applyNumberFormat="1" applyFont="1" applyFill="1" applyBorder="1" applyAlignment="1">
      <alignment horizontal="left" vertical="center"/>
    </xf>
    <xf numFmtId="166" fontId="13" fillId="2" borderId="1" xfId="1" applyNumberFormat="1" applyFont="1" applyFill="1" applyBorder="1" applyAlignment="1">
      <alignment horizontal="left" vertical="center"/>
    </xf>
    <xf numFmtId="167" fontId="0" fillId="0" borderId="0" xfId="14" applyNumberFormat="1" applyFont="1" applyAlignment="1">
      <alignment vertical="center"/>
    </xf>
    <xf numFmtId="166" fontId="8" fillId="0" borderId="0" xfId="0" applyNumberFormat="1" applyFont="1" applyAlignment="1">
      <alignment vertical="center"/>
    </xf>
    <xf numFmtId="167" fontId="8" fillId="0" borderId="0" xfId="14" applyNumberFormat="1" applyFont="1" applyAlignment="1">
      <alignment horizontal="center" vertical="center"/>
    </xf>
    <xf numFmtId="0" fontId="0" fillId="2" borderId="0" xfId="0" applyFill="1" applyAlignment="1">
      <alignment vertical="center"/>
    </xf>
    <xf numFmtId="0" fontId="0" fillId="2" borderId="0" xfId="0" applyFill="1" applyAlignment="1">
      <alignment horizontal="center" vertical="center"/>
    </xf>
    <xf numFmtId="167" fontId="8" fillId="0" borderId="0" xfId="14" applyNumberFormat="1" applyFont="1" applyAlignment="1">
      <alignment vertical="center"/>
    </xf>
    <xf numFmtId="0" fontId="15" fillId="0" borderId="0" xfId="0" applyFont="1" applyAlignment="1">
      <alignment vertical="center"/>
    </xf>
    <xf numFmtId="167" fontId="19" fillId="0" borderId="0" xfId="14" applyNumberFormat="1" applyFont="1" applyAlignment="1">
      <alignment vertical="center"/>
    </xf>
    <xf numFmtId="166" fontId="8" fillId="0" borderId="1" xfId="1" applyNumberFormat="1" applyFont="1" applyBorder="1" applyAlignment="1">
      <alignment vertical="center"/>
    </xf>
    <xf numFmtId="166" fontId="6" fillId="0" borderId="1" xfId="1" applyNumberFormat="1" applyFont="1" applyBorder="1" applyAlignment="1">
      <alignment vertical="center"/>
    </xf>
    <xf numFmtId="0" fontId="19" fillId="0" borderId="0" xfId="0" applyFont="1" applyAlignment="1">
      <alignment vertical="center"/>
    </xf>
    <xf numFmtId="167" fontId="14" fillId="0" borderId="0" xfId="15" applyNumberFormat="1" applyAlignment="1">
      <alignment vertical="center"/>
    </xf>
    <xf numFmtId="166" fontId="8" fillId="0" borderId="1" xfId="1" quotePrefix="1" applyNumberFormat="1" applyFont="1" applyBorder="1" applyAlignment="1">
      <alignment horizontal="center" vertical="center"/>
    </xf>
    <xf numFmtId="166" fontId="8" fillId="0" borderId="0" xfId="0" applyNumberFormat="1" applyFont="1" applyAlignment="1">
      <alignment horizontal="center" vertical="center"/>
    </xf>
    <xf numFmtId="166" fontId="8" fillId="0" borderId="1" xfId="1" applyNumberFormat="1" applyFont="1" applyFill="1" applyBorder="1" applyAlignment="1">
      <alignment horizontal="left" vertical="center"/>
    </xf>
    <xf numFmtId="0" fontId="0" fillId="0" borderId="0" xfId="0" applyAlignment="1">
      <alignment horizontal="center" vertical="center"/>
    </xf>
    <xf numFmtId="167" fontId="0" fillId="0" borderId="0" xfId="14" applyNumberFormat="1" applyFont="1" applyAlignment="1">
      <alignment horizontal="center" vertical="center"/>
    </xf>
    <xf numFmtId="166" fontId="6" fillId="0" borderId="1" xfId="0" applyNumberFormat="1" applyFont="1" applyBorder="1" applyAlignment="1">
      <alignment vertical="center"/>
    </xf>
    <xf numFmtId="166" fontId="8" fillId="0" borderId="1" xfId="1" applyNumberFormat="1" applyFont="1" applyBorder="1" applyAlignment="1">
      <alignment horizontal="left" vertical="center"/>
    </xf>
    <xf numFmtId="166" fontId="0" fillId="0" borderId="0" xfId="0" applyNumberFormat="1" applyAlignment="1">
      <alignment horizontal="center" vertical="center"/>
    </xf>
    <xf numFmtId="166" fontId="8" fillId="0" borderId="1" xfId="1" applyNumberFormat="1" applyFont="1" applyFill="1" applyBorder="1" applyAlignment="1">
      <alignment vertical="center"/>
    </xf>
    <xf numFmtId="0" fontId="15" fillId="0" borderId="0" xfId="0" applyFont="1" applyAlignment="1">
      <alignment horizontal="left" vertical="center"/>
    </xf>
    <xf numFmtId="0" fontId="0" fillId="0" borderId="0" xfId="0" applyAlignment="1">
      <alignment horizontal="left" vertical="center"/>
    </xf>
    <xf numFmtId="0" fontId="19" fillId="0" borderId="0" xfId="0" applyFont="1" applyAlignment="1">
      <alignment horizontal="left" vertical="center"/>
    </xf>
    <xf numFmtId="166" fontId="6" fillId="0" borderId="1" xfId="1" applyNumberFormat="1" applyFont="1" applyBorder="1" applyAlignment="1">
      <alignment horizontal="left" vertical="center"/>
    </xf>
    <xf numFmtId="0" fontId="23" fillId="0" borderId="0" xfId="0" applyFont="1" applyAlignment="1">
      <alignment horizontal="left" vertical="center"/>
    </xf>
    <xf numFmtId="166" fontId="0" fillId="0" borderId="0" xfId="0" applyNumberFormat="1" applyAlignment="1">
      <alignment vertical="center"/>
    </xf>
    <xf numFmtId="166" fontId="8" fillId="0" borderId="1" xfId="0" applyNumberFormat="1" applyFont="1" applyBorder="1" applyAlignment="1">
      <alignment vertical="center"/>
    </xf>
    <xf numFmtId="0" fontId="22" fillId="0" borderId="0" xfId="0" applyFont="1" applyAlignment="1">
      <alignment vertical="center"/>
    </xf>
    <xf numFmtId="0" fontId="14" fillId="0" borderId="0" xfId="15" applyAlignment="1">
      <alignment vertical="center"/>
    </xf>
    <xf numFmtId="0" fontId="5" fillId="0" borderId="0" xfId="0" applyFont="1" applyAlignment="1">
      <alignment vertical="center"/>
    </xf>
    <xf numFmtId="167" fontId="0" fillId="0" borderId="0" xfId="14" applyNumberFormat="1" applyFont="1" applyAlignment="1">
      <alignment horizontal="left" vertical="center"/>
    </xf>
    <xf numFmtId="167" fontId="5" fillId="0" borderId="0" xfId="14" applyNumberFormat="1" applyFont="1" applyAlignment="1">
      <alignment vertical="center"/>
    </xf>
    <xf numFmtId="166" fontId="8" fillId="0" borderId="1" xfId="1" applyNumberFormat="1" applyFont="1" applyFill="1" applyBorder="1" applyAlignment="1">
      <alignment horizontal="center" vertical="center"/>
    </xf>
    <xf numFmtId="166" fontId="6" fillId="0" borderId="0" xfId="1" applyNumberFormat="1" applyFont="1" applyFill="1" applyBorder="1" applyAlignment="1">
      <alignment horizontal="center" vertical="center"/>
    </xf>
    <xf numFmtId="167" fontId="6" fillId="0" borderId="0" xfId="14" applyNumberFormat="1" applyFont="1" applyBorder="1" applyAlignment="1">
      <alignment vertical="center"/>
    </xf>
    <xf numFmtId="166" fontId="6" fillId="0" borderId="0" xfId="1" applyNumberFormat="1" applyFont="1" applyBorder="1" applyAlignment="1">
      <alignment vertical="center"/>
    </xf>
    <xf numFmtId="167" fontId="6" fillId="0" borderId="0" xfId="14" applyNumberFormat="1" applyFont="1" applyBorder="1" applyAlignment="1">
      <alignment horizontal="center" vertical="center"/>
    </xf>
    <xf numFmtId="166" fontId="8" fillId="0" borderId="0" xfId="1" applyNumberFormat="1" applyFont="1" applyAlignment="1">
      <alignment vertical="center"/>
    </xf>
    <xf numFmtId="166" fontId="6" fillId="0" borderId="0" xfId="1" applyNumberFormat="1" applyFont="1" applyAlignment="1">
      <alignment vertical="center"/>
    </xf>
    <xf numFmtId="0" fontId="5" fillId="2" borderId="0" xfId="0" applyFont="1" applyFill="1" applyAlignment="1">
      <alignment horizontal="center" vertical="center"/>
    </xf>
    <xf numFmtId="0" fontId="5" fillId="2" borderId="0" xfId="0" applyFont="1" applyFill="1" applyAlignment="1">
      <alignment vertical="center"/>
    </xf>
    <xf numFmtId="0" fontId="19" fillId="2" borderId="0" xfId="0" applyFont="1" applyFill="1" applyAlignment="1">
      <alignment vertical="center"/>
    </xf>
    <xf numFmtId="0" fontId="0" fillId="2" borderId="0" xfId="0" quotePrefix="1" applyFill="1" applyAlignment="1">
      <alignment vertical="center"/>
    </xf>
    <xf numFmtId="0" fontId="18" fillId="2" borderId="0" xfId="0" applyFont="1" applyFill="1" applyAlignment="1">
      <alignment vertical="center"/>
    </xf>
    <xf numFmtId="166" fontId="13" fillId="0" borderId="1" xfId="1" applyNumberFormat="1" applyFont="1" applyBorder="1" applyAlignment="1">
      <alignment vertical="center"/>
    </xf>
    <xf numFmtId="166" fontId="0" fillId="0" borderId="0" xfId="1" applyNumberFormat="1" applyFont="1" applyAlignment="1">
      <alignment vertical="center"/>
    </xf>
    <xf numFmtId="166" fontId="15" fillId="0" borderId="0" xfId="1" applyNumberFormat="1" applyFont="1" applyAlignment="1">
      <alignment vertical="center"/>
    </xf>
    <xf numFmtId="166" fontId="13" fillId="0" borderId="1" xfId="1" applyNumberFormat="1" applyFont="1" applyFill="1" applyBorder="1" applyAlignment="1">
      <alignment horizontal="left" vertical="center"/>
    </xf>
    <xf numFmtId="166" fontId="14" fillId="0" borderId="0" xfId="1" applyNumberFormat="1" applyFont="1" applyAlignment="1">
      <alignment vertical="center"/>
    </xf>
    <xf numFmtId="166" fontId="3" fillId="0" borderId="1" xfId="1" applyNumberFormat="1" applyFont="1" applyBorder="1" applyAlignment="1">
      <alignment vertical="center"/>
    </xf>
    <xf numFmtId="43" fontId="3" fillId="0" borderId="1" xfId="2" applyFont="1" applyFill="1" applyBorder="1" applyAlignment="1">
      <alignment vertical="center"/>
    </xf>
    <xf numFmtId="0" fontId="27" fillId="0" borderId="0" xfId="0" applyFont="1" applyAlignment="1">
      <alignment vertical="center"/>
    </xf>
    <xf numFmtId="43" fontId="8" fillId="0" borderId="1" xfId="2" applyFont="1" applyBorder="1" applyAlignment="1">
      <alignment vertical="center"/>
    </xf>
    <xf numFmtId="43" fontId="6" fillId="0" borderId="1" xfId="2" applyFont="1" applyBorder="1" applyAlignment="1">
      <alignment vertical="center"/>
    </xf>
    <xf numFmtId="43" fontId="8" fillId="0" borderId="1" xfId="2" applyFont="1" applyBorder="1" applyAlignment="1">
      <alignment horizontal="left" vertical="center"/>
    </xf>
    <xf numFmtId="43" fontId="3" fillId="0" borderId="1" xfId="2" applyFont="1" applyBorder="1" applyAlignment="1">
      <alignment vertical="center"/>
    </xf>
    <xf numFmtId="43" fontId="3" fillId="0" borderId="1" xfId="2" applyFont="1" applyBorder="1" applyAlignment="1">
      <alignment horizontal="left" vertical="center" indent="1"/>
    </xf>
    <xf numFmtId="0" fontId="27" fillId="0" borderId="0" xfId="0" applyFont="1" applyAlignment="1">
      <alignment horizontal="left" vertical="center"/>
    </xf>
    <xf numFmtId="43" fontId="6" fillId="0" borderId="1" xfId="2" applyFont="1" applyBorder="1" applyAlignment="1">
      <alignment horizontal="left" vertical="center"/>
    </xf>
    <xf numFmtId="43" fontId="13" fillId="2" borderId="1" xfId="2" applyFont="1" applyFill="1" applyBorder="1" applyAlignment="1">
      <alignment horizontal="left" vertical="center"/>
    </xf>
    <xf numFmtId="43" fontId="12" fillId="2" borderId="1" xfId="2" applyFont="1" applyFill="1" applyBorder="1" applyAlignment="1">
      <alignment horizontal="left" vertical="center"/>
    </xf>
    <xf numFmtId="43" fontId="8" fillId="2" borderId="1" xfId="2" applyFont="1" applyFill="1" applyBorder="1" applyAlignment="1">
      <alignment horizontal="left" vertical="center"/>
    </xf>
    <xf numFmtId="43" fontId="8" fillId="0" borderId="1" xfId="2" applyFont="1" applyFill="1" applyBorder="1" applyAlignment="1">
      <alignment horizontal="left" vertical="center"/>
    </xf>
    <xf numFmtId="43" fontId="3" fillId="2" borderId="1" xfId="2" applyFont="1" applyFill="1" applyBorder="1" applyAlignment="1">
      <alignment horizontal="left" vertical="center"/>
    </xf>
    <xf numFmtId="166" fontId="3" fillId="2" borderId="1" xfId="1" applyNumberFormat="1" applyFont="1" applyFill="1" applyBorder="1" applyAlignment="1">
      <alignment horizontal="left" vertical="center"/>
    </xf>
    <xf numFmtId="43" fontId="8" fillId="2" borderId="2" xfId="2" applyFont="1" applyFill="1" applyBorder="1" applyAlignment="1">
      <alignment horizontal="left" vertical="center"/>
    </xf>
    <xf numFmtId="43" fontId="6" fillId="2" borderId="2" xfId="2" applyFont="1" applyFill="1" applyBorder="1" applyAlignment="1">
      <alignment horizontal="left" vertical="center"/>
    </xf>
    <xf numFmtId="43" fontId="6" fillId="0" borderId="1" xfId="2" applyFont="1" applyFill="1" applyBorder="1" applyAlignment="1">
      <alignment horizontal="left" vertical="center"/>
    </xf>
    <xf numFmtId="166" fontId="28" fillId="0" borderId="0" xfId="1" applyNumberFormat="1" applyFont="1" applyAlignment="1">
      <alignment vertical="center"/>
    </xf>
    <xf numFmtId="43" fontId="2" fillId="0" borderId="1" xfId="2" applyFont="1" applyBorder="1" applyAlignment="1">
      <alignment vertical="center"/>
    </xf>
    <xf numFmtId="0" fontId="18" fillId="0" borderId="0" xfId="0" applyFont="1" applyAlignment="1">
      <alignment vertical="center"/>
    </xf>
    <xf numFmtId="43" fontId="1" fillId="0" borderId="1" xfId="2" applyFont="1" applyBorder="1" applyAlignment="1">
      <alignment vertical="center"/>
    </xf>
    <xf numFmtId="0" fontId="6" fillId="0" borderId="0" xfId="0" applyFont="1" applyAlignment="1">
      <alignment vertical="center"/>
    </xf>
    <xf numFmtId="43" fontId="12" fillId="2" borderId="0" xfId="2" applyFont="1" applyFill="1" applyBorder="1" applyAlignment="1">
      <alignment horizontal="left" vertical="center"/>
    </xf>
    <xf numFmtId="166" fontId="12" fillId="2" borderId="0" xfId="1" applyNumberFormat="1" applyFont="1" applyFill="1" applyBorder="1" applyAlignment="1">
      <alignment horizontal="left" vertical="center"/>
    </xf>
    <xf numFmtId="43" fontId="1" fillId="2" borderId="1" xfId="2" applyFont="1" applyFill="1" applyBorder="1" applyAlignment="1">
      <alignment horizontal="left" vertical="center"/>
    </xf>
    <xf numFmtId="166" fontId="6" fillId="0" borderId="1" xfId="1" applyNumberFormat="1" applyFont="1" applyFill="1" applyBorder="1" applyAlignment="1">
      <alignment horizontal="left" vertical="center"/>
    </xf>
    <xf numFmtId="166" fontId="6" fillId="0" borderId="1" xfId="1" applyNumberFormat="1" applyFont="1" applyFill="1" applyBorder="1" applyAlignment="1">
      <alignment vertical="center"/>
    </xf>
    <xf numFmtId="43" fontId="1" fillId="0" borderId="1" xfId="2" applyFont="1" applyBorder="1" applyAlignment="1">
      <alignment horizontal="left" vertical="center"/>
    </xf>
    <xf numFmtId="43" fontId="6" fillId="2" borderId="1" xfId="2" applyFont="1" applyFill="1" applyBorder="1" applyAlignment="1">
      <alignment horizontal="left" vertical="center"/>
    </xf>
    <xf numFmtId="166" fontId="1" fillId="2" borderId="1" xfId="1" applyNumberFormat="1" applyFont="1" applyFill="1" applyBorder="1" applyAlignment="1">
      <alignment horizontal="left" vertical="center"/>
    </xf>
    <xf numFmtId="166" fontId="6" fillId="0" borderId="1" xfId="2" applyNumberFormat="1" applyFont="1" applyBorder="1" applyAlignment="1">
      <alignment vertical="center"/>
    </xf>
    <xf numFmtId="166" fontId="1" fillId="0" borderId="1" xfId="1" applyNumberFormat="1" applyFont="1" applyBorder="1" applyAlignment="1">
      <alignment vertical="center"/>
    </xf>
    <xf numFmtId="167" fontId="30" fillId="0" borderId="0" xfId="14" applyNumberFormat="1" applyFont="1" applyAlignment="1">
      <alignment vertical="center"/>
    </xf>
    <xf numFmtId="167" fontId="29" fillId="0" borderId="0" xfId="14" applyNumberFormat="1" applyFont="1" applyAlignment="1">
      <alignment vertical="center"/>
    </xf>
    <xf numFmtId="166" fontId="1" fillId="0" borderId="1" xfId="1" applyNumberFormat="1" applyFont="1" applyBorder="1" applyAlignment="1">
      <alignment horizontal="center" vertical="center"/>
    </xf>
    <xf numFmtId="166" fontId="12" fillId="0" borderId="1" xfId="1" applyNumberFormat="1" applyFont="1" applyBorder="1" applyAlignment="1">
      <alignment vertical="center"/>
    </xf>
    <xf numFmtId="167" fontId="13" fillId="0" borderId="0" xfId="14" applyNumberFormat="1" applyFont="1" applyAlignment="1">
      <alignment vertical="center"/>
    </xf>
    <xf numFmtId="166" fontId="3" fillId="0" borderId="1" xfId="2" applyNumberFormat="1" applyFont="1" applyFill="1" applyBorder="1" applyAlignment="1">
      <alignment vertical="center"/>
    </xf>
    <xf numFmtId="43" fontId="6" fillId="2" borderId="0" xfId="2" applyFont="1" applyFill="1" applyBorder="1" applyAlignment="1">
      <alignment horizontal="left" vertical="center"/>
    </xf>
    <xf numFmtId="166" fontId="6" fillId="2" borderId="0" xfId="1" applyNumberFormat="1" applyFont="1" applyFill="1" applyBorder="1" applyAlignment="1">
      <alignment horizontal="left" vertical="center"/>
    </xf>
    <xf numFmtId="43" fontId="12" fillId="5" borderId="1" xfId="2" applyFont="1" applyFill="1" applyBorder="1" applyAlignment="1">
      <alignment horizontal="left" vertical="center" wrapText="1"/>
    </xf>
    <xf numFmtId="0" fontId="6"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166" fontId="1" fillId="0" borderId="1" xfId="1" applyNumberFormat="1" applyFont="1" applyBorder="1" applyAlignment="1">
      <alignment horizontal="left" vertical="center"/>
    </xf>
    <xf numFmtId="166" fontId="6" fillId="2" borderId="1" xfId="1" applyNumberFormat="1" applyFont="1" applyFill="1" applyBorder="1" applyAlignment="1">
      <alignment vertical="center"/>
    </xf>
    <xf numFmtId="0" fontId="8" fillId="0" borderId="0" xfId="0" applyFont="1" applyAlignment="1">
      <alignment horizontal="left" vertical="center"/>
    </xf>
    <xf numFmtId="167" fontId="19" fillId="0" borderId="0" xfId="14" applyNumberFormat="1" applyFont="1" applyAlignment="1">
      <alignment horizontal="left" vertical="center"/>
    </xf>
    <xf numFmtId="0" fontId="6" fillId="5" borderId="1" xfId="0" applyFont="1" applyFill="1" applyBorder="1" applyAlignment="1">
      <alignment horizontal="left" vertical="center"/>
    </xf>
    <xf numFmtId="167" fontId="8" fillId="0" borderId="0" xfId="14" applyNumberFormat="1" applyFont="1" applyAlignment="1">
      <alignment horizontal="left" vertical="center"/>
    </xf>
    <xf numFmtId="167" fontId="6" fillId="0" borderId="0" xfId="14" applyNumberFormat="1" applyFont="1" applyBorder="1" applyAlignment="1">
      <alignment horizontal="left" vertical="center"/>
    </xf>
    <xf numFmtId="167" fontId="13" fillId="0" borderId="0" xfId="14" applyNumberFormat="1" applyFont="1" applyAlignment="1">
      <alignment horizontal="left" vertical="center"/>
    </xf>
    <xf numFmtId="167" fontId="29" fillId="0" borderId="0" xfId="14" applyNumberFormat="1" applyFont="1" applyAlignment="1">
      <alignment horizontal="left" vertical="center"/>
    </xf>
    <xf numFmtId="43" fontId="3" fillId="0" borderId="1" xfId="2" applyFont="1" applyFill="1" applyBorder="1" applyAlignment="1">
      <alignment horizontal="left" vertical="center"/>
    </xf>
    <xf numFmtId="0" fontId="18" fillId="0" borderId="0" xfId="0" applyFont="1" applyAlignment="1">
      <alignment horizontal="left" vertical="center"/>
    </xf>
    <xf numFmtId="167" fontId="14" fillId="0" borderId="0" xfId="15" applyNumberFormat="1" applyAlignment="1">
      <alignment horizontal="left" vertical="center"/>
    </xf>
    <xf numFmtId="0" fontId="0" fillId="2" borderId="0" xfId="0" applyFill="1" applyAlignment="1">
      <alignment horizontal="left" vertical="center"/>
    </xf>
    <xf numFmtId="43" fontId="6" fillId="5" borderId="1" xfId="2" applyFont="1" applyFill="1" applyBorder="1" applyAlignment="1">
      <alignment horizontal="left" vertical="center" wrapText="1"/>
    </xf>
    <xf numFmtId="166" fontId="1" fillId="0" borderId="1" xfId="1" applyNumberFormat="1" applyFont="1" applyFill="1" applyBorder="1" applyAlignment="1">
      <alignment vertical="center"/>
    </xf>
    <xf numFmtId="166" fontId="1" fillId="0" borderId="1" xfId="0" applyNumberFormat="1" applyFont="1" applyBorder="1" applyAlignment="1">
      <alignment vertical="center"/>
    </xf>
    <xf numFmtId="166" fontId="1" fillId="0" borderId="1" xfId="1" applyNumberFormat="1" applyFont="1" applyFill="1" applyBorder="1" applyAlignment="1">
      <alignment horizontal="left" vertical="center"/>
    </xf>
    <xf numFmtId="166" fontId="3" fillId="0" borderId="1" xfId="1" applyNumberFormat="1" applyFont="1" applyBorder="1" applyAlignment="1">
      <alignment horizontal="left" vertical="center"/>
    </xf>
    <xf numFmtId="166" fontId="8" fillId="0" borderId="1" xfId="2" applyNumberFormat="1" applyFont="1" applyBorder="1" applyAlignment="1">
      <alignment horizontal="left" vertical="center"/>
    </xf>
    <xf numFmtId="43" fontId="6" fillId="5" borderId="1" xfId="2" applyFont="1" applyFill="1" applyBorder="1" applyAlignment="1">
      <alignment horizontal="left" vertical="center"/>
    </xf>
    <xf numFmtId="43" fontId="6" fillId="6" borderId="1" xfId="2" applyFont="1" applyFill="1" applyBorder="1" applyAlignment="1">
      <alignment vertical="center"/>
    </xf>
    <xf numFmtId="166" fontId="6" fillId="6" borderId="1" xfId="1" applyNumberFormat="1" applyFont="1" applyFill="1" applyBorder="1" applyAlignment="1">
      <alignment horizontal="center" vertical="center" wrapText="1"/>
    </xf>
    <xf numFmtId="166" fontId="6" fillId="6" borderId="1" xfId="1" applyNumberFormat="1" applyFont="1" applyFill="1" applyBorder="1" applyAlignment="1">
      <alignment horizontal="center" vertical="center"/>
    </xf>
    <xf numFmtId="168" fontId="6" fillId="6" borderId="1" xfId="1" applyNumberFormat="1" applyFont="1" applyFill="1" applyBorder="1" applyAlignment="1">
      <alignment horizontal="center" vertical="center"/>
    </xf>
    <xf numFmtId="0" fontId="6" fillId="6" borderId="1" xfId="0" applyFont="1" applyFill="1" applyBorder="1" applyAlignment="1">
      <alignment horizontal="center" vertical="center" wrapText="1"/>
    </xf>
    <xf numFmtId="0" fontId="6" fillId="6" borderId="1" xfId="0" applyFont="1" applyFill="1" applyBorder="1" applyAlignment="1">
      <alignment horizontal="center" vertical="center"/>
    </xf>
    <xf numFmtId="0" fontId="6" fillId="6" borderId="3" xfId="0" applyFont="1" applyFill="1" applyBorder="1" applyAlignment="1">
      <alignment horizontal="center" vertical="center" wrapText="1"/>
    </xf>
    <xf numFmtId="169" fontId="6" fillId="6" borderId="1" xfId="1" applyNumberFormat="1" applyFont="1" applyFill="1" applyBorder="1" applyAlignment="1">
      <alignment horizontal="center" vertical="center" wrapText="1"/>
    </xf>
    <xf numFmtId="166" fontId="12" fillId="5" borderId="1" xfId="1" applyNumberFormat="1" applyFont="1" applyFill="1" applyBorder="1" applyAlignment="1">
      <alignment horizontal="left" vertical="center" wrapText="1"/>
    </xf>
    <xf numFmtId="166" fontId="12" fillId="5" borderId="1" xfId="1" applyNumberFormat="1" applyFont="1" applyFill="1" applyBorder="1" applyAlignment="1">
      <alignment horizontal="center" vertical="center" wrapText="1"/>
    </xf>
    <xf numFmtId="166" fontId="6" fillId="0" borderId="1" xfId="1" applyNumberFormat="1" applyFont="1" applyFill="1" applyBorder="1" applyAlignment="1">
      <alignment horizontal="center" vertical="center"/>
    </xf>
    <xf numFmtId="166" fontId="1" fillId="0" borderId="1" xfId="1" applyNumberFormat="1" applyFont="1" applyFill="1" applyBorder="1" applyAlignment="1">
      <alignment horizontal="center" vertical="center"/>
    </xf>
    <xf numFmtId="166" fontId="3" fillId="0" borderId="1" xfId="1" applyNumberFormat="1" applyFont="1" applyFill="1" applyBorder="1" applyAlignment="1">
      <alignment horizontal="left" vertical="center"/>
    </xf>
    <xf numFmtId="0" fontId="8" fillId="0" borderId="0" xfId="0" applyFont="1" applyAlignment="1">
      <alignment horizontal="right"/>
    </xf>
    <xf numFmtId="0" fontId="31" fillId="0" borderId="0" xfId="0" applyFont="1" applyAlignment="1">
      <alignment horizontal="left" vertical="top"/>
    </xf>
    <xf numFmtId="43" fontId="8" fillId="0" borderId="1" xfId="2" applyFont="1" applyBorder="1" applyAlignment="1">
      <alignment horizontal="left" vertical="center" indent="1"/>
    </xf>
    <xf numFmtId="43" fontId="8" fillId="2" borderId="1" xfId="2" applyFont="1" applyFill="1" applyBorder="1" applyAlignment="1">
      <alignment horizontal="left" vertical="center" indent="1"/>
    </xf>
    <xf numFmtId="43" fontId="1" fillId="2" borderId="1" xfId="2" applyFont="1" applyFill="1" applyBorder="1" applyAlignment="1">
      <alignment horizontal="left" vertical="center" indent="1"/>
    </xf>
    <xf numFmtId="166" fontId="1" fillId="0" borderId="0" xfId="1" applyNumberFormat="1" applyFont="1" applyAlignment="1">
      <alignment vertical="center"/>
    </xf>
    <xf numFmtId="0" fontId="1" fillId="0" borderId="0" xfId="0" applyFont="1" applyAlignment="1">
      <alignment vertical="center"/>
    </xf>
    <xf numFmtId="0" fontId="1" fillId="2" borderId="0" xfId="0" applyFont="1" applyFill="1" applyAlignment="1">
      <alignment vertical="center"/>
    </xf>
    <xf numFmtId="166" fontId="1" fillId="2" borderId="0" xfId="1" applyNumberFormat="1" applyFont="1" applyFill="1" applyAlignment="1">
      <alignment horizontal="center" vertical="center"/>
    </xf>
    <xf numFmtId="167" fontId="1" fillId="0" borderId="1" xfId="14" applyNumberFormat="1" applyFont="1" applyFill="1" applyBorder="1" applyAlignment="1">
      <alignment horizontal="center" vertical="center"/>
    </xf>
    <xf numFmtId="167" fontId="6" fillId="0" borderId="1" xfId="14" applyNumberFormat="1" applyFont="1" applyFill="1" applyBorder="1" applyAlignment="1">
      <alignment horizontal="center" vertical="center"/>
    </xf>
    <xf numFmtId="43" fontId="1" fillId="0" borderId="1" xfId="2" applyFont="1" applyFill="1" applyBorder="1" applyAlignment="1">
      <alignment horizontal="left" vertical="center"/>
    </xf>
    <xf numFmtId="166" fontId="1" fillId="0" borderId="0" xfId="1" applyNumberFormat="1" applyFont="1" applyFill="1" applyBorder="1" applyAlignment="1">
      <alignment horizontal="center" vertical="center"/>
    </xf>
    <xf numFmtId="167" fontId="1" fillId="0" borderId="0" xfId="14" applyNumberFormat="1" applyFont="1" applyBorder="1" applyAlignment="1">
      <alignment horizontal="center" vertical="center"/>
    </xf>
    <xf numFmtId="43" fontId="1" fillId="0" borderId="0" xfId="2" applyFont="1" applyBorder="1" applyAlignment="1">
      <alignment horizontal="left" vertical="center"/>
    </xf>
    <xf numFmtId="166" fontId="1" fillId="0" borderId="0" xfId="1" applyNumberFormat="1" applyFont="1" applyFill="1" applyBorder="1" applyAlignment="1">
      <alignment horizontal="left" vertical="center"/>
    </xf>
    <xf numFmtId="168" fontId="6" fillId="4" borderId="1" xfId="2" applyNumberFormat="1" applyFont="1" applyFill="1" applyBorder="1" applyAlignment="1">
      <alignment horizontal="left" vertical="center"/>
    </xf>
    <xf numFmtId="168" fontId="6" fillId="4" borderId="1" xfId="1" applyNumberFormat="1" applyFont="1" applyFill="1" applyBorder="1" applyAlignment="1">
      <alignment horizontal="center" vertical="center"/>
    </xf>
    <xf numFmtId="167" fontId="6" fillId="4" borderId="1" xfId="14" applyNumberFormat="1" applyFont="1" applyFill="1" applyBorder="1" applyAlignment="1">
      <alignment horizontal="center" vertical="center"/>
    </xf>
    <xf numFmtId="167" fontId="1" fillId="4" borderId="1" xfId="14" applyNumberFormat="1" applyFont="1" applyFill="1" applyBorder="1" applyAlignment="1">
      <alignment horizontal="center" vertical="center"/>
    </xf>
    <xf numFmtId="0" fontId="23" fillId="0" borderId="0" xfId="0" applyFont="1" applyAlignment="1">
      <alignment vertical="center"/>
    </xf>
    <xf numFmtId="0" fontId="26" fillId="0" borderId="0" xfId="0" applyFont="1" applyAlignment="1">
      <alignment vertical="center"/>
    </xf>
    <xf numFmtId="0" fontId="26" fillId="0" borderId="0" xfId="0" applyFont="1" applyAlignment="1">
      <alignment horizontal="center" vertical="center"/>
    </xf>
    <xf numFmtId="166" fontId="12" fillId="0" borderId="1" xfId="1" applyNumberFormat="1" applyFont="1" applyFill="1" applyBorder="1" applyAlignment="1">
      <alignment horizontal="left" vertical="center"/>
    </xf>
    <xf numFmtId="43" fontId="1" fillId="0" borderId="1" xfId="2" applyFont="1" applyBorder="1" applyAlignment="1">
      <alignment horizontal="left" vertical="center" indent="1"/>
    </xf>
    <xf numFmtId="168" fontId="6" fillId="4" borderId="1" xfId="1" applyNumberFormat="1" applyFont="1" applyFill="1" applyBorder="1" applyAlignment="1">
      <alignment vertical="center"/>
    </xf>
    <xf numFmtId="0" fontId="6" fillId="3" borderId="1" xfId="0" applyFont="1" applyFill="1" applyBorder="1" applyAlignment="1">
      <alignment horizontal="left" vertical="center"/>
    </xf>
    <xf numFmtId="43" fontId="1" fillId="0" borderId="1" xfId="2" applyFont="1" applyFill="1" applyBorder="1" applyAlignment="1">
      <alignment horizontal="left" vertical="center" indent="1"/>
    </xf>
    <xf numFmtId="0" fontId="27" fillId="2" borderId="0" xfId="0" applyFont="1" applyFill="1" applyAlignment="1">
      <alignment vertical="center"/>
    </xf>
    <xf numFmtId="0" fontId="0" fillId="2" borderId="0" xfId="0" applyFill="1"/>
    <xf numFmtId="0" fontId="15" fillId="2" borderId="0" xfId="0" applyFont="1" applyFill="1" applyAlignment="1">
      <alignment vertical="center"/>
    </xf>
    <xf numFmtId="43" fontId="1" fillId="0" borderId="1" xfId="2" applyFont="1" applyFill="1" applyBorder="1" applyAlignment="1">
      <alignment vertical="center"/>
    </xf>
    <xf numFmtId="167" fontId="1" fillId="0" borderId="1" xfId="14" applyNumberFormat="1" applyFont="1" applyBorder="1" applyAlignment="1">
      <alignment horizontal="center" vertical="center"/>
    </xf>
    <xf numFmtId="167" fontId="6" fillId="0" borderId="1" xfId="14" applyNumberFormat="1" applyFont="1" applyBorder="1" applyAlignment="1">
      <alignment horizontal="center" vertical="center"/>
    </xf>
    <xf numFmtId="43" fontId="6" fillId="0" borderId="0" xfId="2" applyFont="1" applyBorder="1" applyAlignment="1">
      <alignment vertical="center"/>
    </xf>
    <xf numFmtId="43" fontId="6" fillId="0" borderId="1" xfId="2" applyFont="1" applyFill="1" applyBorder="1" applyAlignment="1">
      <alignment vertical="center"/>
    </xf>
    <xf numFmtId="0" fontId="19" fillId="2" borderId="0" xfId="0" applyFont="1" applyFill="1"/>
    <xf numFmtId="166" fontId="0" fillId="2" borderId="0" xfId="0" applyNumberFormat="1" applyFill="1" applyAlignment="1">
      <alignment vertical="center"/>
    </xf>
    <xf numFmtId="166" fontId="3" fillId="0" borderId="1" xfId="1" applyNumberFormat="1" applyFont="1" applyFill="1" applyBorder="1" applyAlignment="1">
      <alignment vertical="center"/>
    </xf>
    <xf numFmtId="0" fontId="6" fillId="4" borderId="1" xfId="0" applyFont="1" applyFill="1" applyBorder="1" applyAlignment="1">
      <alignment vertical="center"/>
    </xf>
    <xf numFmtId="0" fontId="1" fillId="4" borderId="1" xfId="0" applyFont="1" applyFill="1" applyBorder="1" applyAlignment="1">
      <alignment horizontal="center" vertical="center"/>
    </xf>
    <xf numFmtId="43" fontId="6" fillId="5" borderId="1" xfId="2" applyFont="1" applyFill="1" applyBorder="1" applyAlignment="1">
      <alignment horizontal="center" vertical="center"/>
    </xf>
    <xf numFmtId="166" fontId="0" fillId="2" borderId="0" xfId="1" applyNumberFormat="1" applyFont="1" applyFill="1" applyAlignment="1">
      <alignment vertical="center"/>
    </xf>
    <xf numFmtId="43" fontId="6" fillId="5" borderId="1" xfId="2" applyFont="1" applyFill="1" applyBorder="1" applyAlignment="1">
      <alignment horizontal="center" vertical="center" wrapText="1"/>
    </xf>
    <xf numFmtId="166" fontId="1" fillId="2" borderId="1" xfId="1" applyNumberFormat="1" applyFont="1" applyFill="1" applyBorder="1" applyAlignment="1">
      <alignment vertical="center"/>
    </xf>
    <xf numFmtId="43" fontId="3" fillId="0" borderId="1" xfId="2" applyFont="1" applyFill="1" applyBorder="1" applyAlignment="1">
      <alignment horizontal="left" vertical="center" indent="1"/>
    </xf>
    <xf numFmtId="166" fontId="13" fillId="0" borderId="1" xfId="1" applyNumberFormat="1" applyFont="1" applyFill="1" applyBorder="1" applyAlignment="1">
      <alignment vertical="center"/>
    </xf>
    <xf numFmtId="167" fontId="0" fillId="2" borderId="0" xfId="14" applyNumberFormat="1" applyFont="1" applyFill="1" applyAlignment="1">
      <alignment horizontal="center" vertical="center"/>
    </xf>
    <xf numFmtId="167" fontId="0" fillId="2" borderId="0" xfId="0" applyNumberFormat="1" applyFill="1" applyAlignment="1">
      <alignment vertical="center"/>
    </xf>
    <xf numFmtId="166" fontId="28" fillId="0" borderId="0" xfId="1" applyNumberFormat="1" applyFont="1" applyAlignment="1">
      <alignment horizontal="center" vertical="center"/>
    </xf>
    <xf numFmtId="166" fontId="15" fillId="0" borderId="0" xfId="1" applyNumberFormat="1" applyFont="1" applyAlignment="1">
      <alignment horizontal="center" vertical="center"/>
    </xf>
    <xf numFmtId="43" fontId="6" fillId="0" borderId="1" xfId="2" applyFont="1" applyBorder="1" applyAlignment="1">
      <alignment horizontal="center" vertical="center"/>
    </xf>
    <xf numFmtId="166" fontId="3" fillId="0" borderId="1" xfId="2" applyNumberFormat="1" applyFont="1" applyBorder="1" applyAlignment="1">
      <alignment horizontal="center" vertical="center"/>
    </xf>
    <xf numFmtId="166" fontId="3" fillId="0" borderId="1" xfId="2" applyNumberFormat="1" applyFont="1" applyFill="1" applyBorder="1" applyAlignment="1">
      <alignment horizontal="center" vertical="center"/>
    </xf>
    <xf numFmtId="166" fontId="0" fillId="0" borderId="0" xfId="1" applyNumberFormat="1" applyFont="1" applyAlignment="1">
      <alignment horizontal="center" vertical="center"/>
    </xf>
    <xf numFmtId="0" fontId="18" fillId="0" borderId="0" xfId="0" applyFont="1" applyAlignment="1">
      <alignment horizontal="center" vertical="center"/>
    </xf>
    <xf numFmtId="166" fontId="14" fillId="0" borderId="0" xfId="1" applyNumberFormat="1" applyFont="1" applyAlignment="1">
      <alignment horizontal="center" vertical="center"/>
    </xf>
    <xf numFmtId="43" fontId="1" fillId="2" borderId="0" xfId="2" applyFont="1" applyFill="1" applyBorder="1" applyAlignment="1">
      <alignment horizontal="left" vertical="center"/>
    </xf>
    <xf numFmtId="167" fontId="1" fillId="0" borderId="0" xfId="14" applyNumberFormat="1" applyFont="1" applyFill="1" applyBorder="1" applyAlignment="1">
      <alignment horizontal="center" vertical="center"/>
    </xf>
    <xf numFmtId="167" fontId="0" fillId="2" borderId="0" xfId="14" applyNumberFormat="1" applyFont="1" applyFill="1" applyAlignment="1">
      <alignment vertical="center"/>
    </xf>
    <xf numFmtId="167" fontId="1" fillId="0" borderId="0" xfId="14" applyNumberFormat="1" applyFont="1" applyAlignment="1">
      <alignment vertical="center"/>
    </xf>
    <xf numFmtId="167" fontId="32" fillId="0" borderId="0" xfId="14" applyNumberFormat="1" applyFont="1" applyAlignment="1">
      <alignment horizontal="left" vertical="center"/>
    </xf>
    <xf numFmtId="164" fontId="8" fillId="0" borderId="0" xfId="19" applyFont="1" applyAlignment="1">
      <alignment vertical="center"/>
    </xf>
    <xf numFmtId="167" fontId="8" fillId="0" borderId="0" xfId="14" applyNumberFormat="1" applyFont="1" applyFill="1" applyAlignment="1">
      <alignment vertical="center"/>
    </xf>
    <xf numFmtId="164" fontId="8" fillId="0" borderId="0" xfId="19" applyFont="1" applyFill="1" applyAlignment="1">
      <alignment vertical="center"/>
    </xf>
    <xf numFmtId="166" fontId="6" fillId="0" borderId="0" xfId="1" applyNumberFormat="1" applyFont="1" applyFill="1" applyBorder="1" applyAlignment="1">
      <alignment vertical="center"/>
    </xf>
    <xf numFmtId="167" fontId="29" fillId="0" borderId="0" xfId="14" applyNumberFormat="1" applyFont="1" applyFill="1" applyAlignment="1">
      <alignment vertical="center"/>
    </xf>
    <xf numFmtId="167" fontId="0" fillId="0" borderId="0" xfId="14" applyNumberFormat="1" applyFont="1" applyFill="1" applyAlignment="1">
      <alignment vertical="center"/>
    </xf>
    <xf numFmtId="167" fontId="30" fillId="0" borderId="0" xfId="14" applyNumberFormat="1" applyFont="1" applyFill="1" applyAlignment="1">
      <alignment vertical="center"/>
    </xf>
    <xf numFmtId="166" fontId="12" fillId="0" borderId="0" xfId="1" applyNumberFormat="1" applyFont="1" applyFill="1" applyBorder="1" applyAlignment="1">
      <alignment horizontal="left" vertical="center"/>
    </xf>
    <xf numFmtId="167" fontId="6" fillId="0" borderId="0" xfId="14" applyNumberFormat="1" applyFont="1" applyFill="1" applyBorder="1" applyAlignment="1">
      <alignment horizontal="center" vertical="center"/>
    </xf>
    <xf numFmtId="0" fontId="19" fillId="2" borderId="0" xfId="0" applyFont="1" applyFill="1" applyAlignment="1">
      <alignment horizontal="left" vertical="center"/>
    </xf>
    <xf numFmtId="166" fontId="1" fillId="2" borderId="0" xfId="1" applyNumberFormat="1" applyFont="1" applyFill="1" applyAlignment="1">
      <alignment vertical="center"/>
    </xf>
    <xf numFmtId="43" fontId="6" fillId="2" borderId="1" xfId="2" applyFont="1" applyFill="1" applyBorder="1" applyAlignment="1">
      <alignment vertical="center"/>
    </xf>
    <xf numFmtId="43" fontId="1" fillId="2" borderId="1" xfId="2" applyFont="1" applyFill="1" applyBorder="1" applyAlignment="1">
      <alignment vertical="center"/>
    </xf>
    <xf numFmtId="166" fontId="1" fillId="2" borderId="1" xfId="1" applyNumberFormat="1" applyFont="1" applyFill="1" applyBorder="1" applyAlignment="1">
      <alignment horizontal="center" vertical="center"/>
    </xf>
    <xf numFmtId="0" fontId="6" fillId="7" borderId="1" xfId="21" applyFont="1" applyFill="1" applyBorder="1" applyAlignment="1">
      <alignment horizontal="center" vertical="center" wrapText="1"/>
    </xf>
    <xf numFmtId="43" fontId="6" fillId="0" borderId="0" xfId="2" applyFont="1" applyBorder="1" applyAlignment="1">
      <alignment horizontal="left" vertical="center"/>
    </xf>
    <xf numFmtId="167" fontId="1" fillId="0" borderId="1" xfId="23" applyNumberFormat="1" applyFont="1" applyFill="1" applyBorder="1" applyAlignment="1">
      <alignment horizontal="center" vertical="center"/>
    </xf>
    <xf numFmtId="169" fontId="1" fillId="0" borderId="1" xfId="1" applyNumberFormat="1" applyFont="1" applyFill="1" applyBorder="1" applyAlignment="1">
      <alignment horizontal="center" vertical="center"/>
    </xf>
    <xf numFmtId="167" fontId="6" fillId="0" borderId="1" xfId="23" applyNumberFormat="1" applyFont="1" applyFill="1" applyBorder="1" applyAlignment="1">
      <alignment horizontal="center" vertical="center"/>
    </xf>
    <xf numFmtId="169" fontId="6" fillId="0" borderId="1" xfId="1" applyNumberFormat="1" applyFont="1" applyFill="1" applyBorder="1" applyAlignment="1">
      <alignment horizontal="center" vertical="center"/>
    </xf>
    <xf numFmtId="166" fontId="6" fillId="0" borderId="1" xfId="0" applyNumberFormat="1" applyFont="1" applyBorder="1" applyAlignment="1">
      <alignment horizontal="left" vertical="center"/>
    </xf>
    <xf numFmtId="167" fontId="6" fillId="0" borderId="0" xfId="23" applyNumberFormat="1" applyFont="1" applyFill="1" applyBorder="1" applyAlignment="1">
      <alignment horizontal="center" vertical="center"/>
    </xf>
    <xf numFmtId="169" fontId="6" fillId="0" borderId="0" xfId="1" applyNumberFormat="1" applyFont="1" applyFill="1" applyBorder="1" applyAlignment="1">
      <alignment horizontal="center" vertical="center"/>
    </xf>
    <xf numFmtId="0" fontId="34" fillId="0" borderId="1" xfId="0" applyFont="1" applyBorder="1" applyAlignment="1">
      <alignment vertical="center" wrapText="1"/>
    </xf>
    <xf numFmtId="0" fontId="36" fillId="0" borderId="1" xfId="0" applyFont="1" applyBorder="1" applyAlignment="1">
      <alignment vertical="center" wrapText="1"/>
    </xf>
    <xf numFmtId="0" fontId="8" fillId="0" borderId="1" xfId="0" applyFont="1" applyBorder="1" applyAlignment="1">
      <alignment vertical="center"/>
    </xf>
    <xf numFmtId="43" fontId="6" fillId="6" borderId="1" xfId="2" applyFont="1" applyFill="1" applyBorder="1" applyAlignment="1">
      <alignment horizontal="left" vertical="center"/>
    </xf>
    <xf numFmtId="10" fontId="37" fillId="0" borderId="0" xfId="0" applyNumberFormat="1" applyFont="1" applyAlignment="1">
      <alignment horizontal="center" vertical="center" wrapText="1"/>
    </xf>
    <xf numFmtId="3" fontId="37" fillId="0" borderId="0" xfId="0" applyNumberFormat="1" applyFont="1" applyAlignment="1">
      <alignment horizontal="right" vertical="center" wrapText="1"/>
    </xf>
    <xf numFmtId="0" fontId="5" fillId="0" borderId="0" xfId="0" applyFont="1"/>
    <xf numFmtId="0" fontId="34" fillId="0" borderId="1" xfId="0" applyFont="1" applyBorder="1" applyAlignment="1">
      <alignment horizontal="left" vertical="center" wrapText="1" indent="1"/>
    </xf>
    <xf numFmtId="0" fontId="5" fillId="2" borderId="0" xfId="0" applyFont="1" applyFill="1"/>
    <xf numFmtId="166" fontId="1" fillId="0" borderId="1" xfId="36" applyNumberFormat="1" applyFont="1" applyBorder="1" applyAlignment="1">
      <alignment vertical="center"/>
    </xf>
    <xf numFmtId="166" fontId="6" fillId="0" borderId="1" xfId="36" applyNumberFormat="1" applyFont="1" applyBorder="1" applyAlignment="1">
      <alignment vertical="center"/>
    </xf>
    <xf numFmtId="166" fontId="1" fillId="0" borderId="1" xfId="36" applyNumberFormat="1" applyFont="1" applyBorder="1" applyAlignment="1">
      <alignment horizontal="left" vertical="center"/>
    </xf>
    <xf numFmtId="166" fontId="6" fillId="0" borderId="1" xfId="36" applyNumberFormat="1" applyFont="1" applyFill="1" applyBorder="1" applyAlignment="1">
      <alignment horizontal="left" vertical="center"/>
    </xf>
    <xf numFmtId="43" fontId="6" fillId="5" borderId="1" xfId="37" applyFont="1" applyFill="1" applyBorder="1" applyAlignment="1">
      <alignment horizontal="left" vertical="center"/>
    </xf>
    <xf numFmtId="166" fontId="6" fillId="5" borderId="1" xfId="36" applyNumberFormat="1" applyFont="1" applyFill="1" applyBorder="1" applyAlignment="1">
      <alignment horizontal="center" vertical="center" wrapText="1"/>
    </xf>
    <xf numFmtId="166" fontId="1" fillId="0" borderId="1" xfId="38" applyNumberFormat="1" applyFont="1" applyBorder="1" applyAlignment="1">
      <alignment vertical="center"/>
    </xf>
    <xf numFmtId="166" fontId="6" fillId="0" borderId="1" xfId="38" applyNumberFormat="1" applyFont="1" applyBorder="1" applyAlignment="1">
      <alignment vertical="center"/>
    </xf>
    <xf numFmtId="166" fontId="1" fillId="0" borderId="1" xfId="38" applyNumberFormat="1" applyFont="1" applyBorder="1" applyAlignment="1">
      <alignment horizontal="left" vertical="center"/>
    </xf>
    <xf numFmtId="166" fontId="6" fillId="0" borderId="1" xfId="38" applyNumberFormat="1" applyFont="1" applyFill="1" applyBorder="1" applyAlignment="1">
      <alignment horizontal="left" vertical="center"/>
    </xf>
    <xf numFmtId="166" fontId="6" fillId="0" borderId="1" xfId="38" applyNumberFormat="1" applyFont="1" applyFill="1" applyBorder="1" applyAlignment="1">
      <alignment vertical="center"/>
    </xf>
    <xf numFmtId="166" fontId="6" fillId="5" borderId="1" xfId="38" applyNumberFormat="1" applyFont="1" applyFill="1" applyBorder="1" applyAlignment="1">
      <alignment horizontal="center" vertical="center" wrapText="1"/>
    </xf>
    <xf numFmtId="166" fontId="6" fillId="0" borderId="0" xfId="40" applyNumberFormat="1" applyFont="1" applyFill="1" applyBorder="1" applyAlignment="1">
      <alignment horizontal="left" vertical="center"/>
    </xf>
    <xf numFmtId="166" fontId="1" fillId="0" borderId="1" xfId="40" applyNumberFormat="1" applyFont="1" applyBorder="1" applyAlignment="1">
      <alignment vertical="center"/>
    </xf>
    <xf numFmtId="166" fontId="6" fillId="0" borderId="1" xfId="40" applyNumberFormat="1" applyFont="1" applyBorder="1" applyAlignment="1">
      <alignment vertical="center"/>
    </xf>
    <xf numFmtId="166" fontId="1" fillId="0" borderId="1" xfId="40" applyNumberFormat="1" applyFont="1" applyBorder="1" applyAlignment="1">
      <alignment horizontal="left" vertical="center"/>
    </xf>
    <xf numFmtId="0" fontId="14" fillId="0" borderId="0" xfId="15" quotePrefix="1" applyFill="1"/>
    <xf numFmtId="0" fontId="14" fillId="0" borderId="0" xfId="15" applyFill="1"/>
    <xf numFmtId="166" fontId="6" fillId="0" borderId="1" xfId="40" applyNumberFormat="1" applyFont="1" applyFill="1" applyBorder="1" applyAlignment="1">
      <alignment horizontal="left" vertical="center"/>
    </xf>
    <xf numFmtId="166" fontId="6" fillId="0" borderId="1" xfId="40" applyNumberFormat="1" applyFont="1" applyFill="1" applyBorder="1" applyAlignment="1">
      <alignment vertical="center"/>
    </xf>
    <xf numFmtId="168" fontId="6" fillId="4" borderId="1" xfId="14" applyNumberFormat="1" applyFont="1" applyFill="1" applyBorder="1" applyAlignment="1">
      <alignment horizontal="center" vertical="center"/>
    </xf>
    <xf numFmtId="168" fontId="1" fillId="4" borderId="1" xfId="14" applyNumberFormat="1" applyFont="1" applyFill="1" applyBorder="1" applyAlignment="1">
      <alignment horizontal="center" vertical="center"/>
    </xf>
    <xf numFmtId="166" fontId="6" fillId="5" borderId="1" xfId="40" applyNumberFormat="1" applyFont="1" applyFill="1" applyBorder="1" applyAlignment="1">
      <alignment horizontal="center" vertical="center" wrapText="1"/>
    </xf>
    <xf numFmtId="10" fontId="1" fillId="0" borderId="1" xfId="14" applyNumberFormat="1" applyFont="1" applyFill="1" applyBorder="1" applyAlignment="1">
      <alignment horizontal="center" vertical="center"/>
    </xf>
    <xf numFmtId="10" fontId="6" fillId="0" borderId="1" xfId="14" applyNumberFormat="1" applyFont="1" applyFill="1" applyBorder="1" applyAlignment="1">
      <alignment horizontal="center" vertical="center"/>
    </xf>
    <xf numFmtId="0" fontId="23" fillId="2" borderId="0" xfId="0" applyFont="1" applyFill="1" applyAlignment="1">
      <alignment vertical="center"/>
    </xf>
    <xf numFmtId="43" fontId="6" fillId="0" borderId="0" xfId="2" applyFont="1" applyFill="1" applyBorder="1" applyAlignment="1">
      <alignment vertical="center"/>
    </xf>
    <xf numFmtId="166" fontId="1" fillId="0" borderId="0" xfId="1" applyNumberFormat="1" applyFont="1" applyFill="1" applyBorder="1" applyAlignment="1">
      <alignment vertical="center"/>
    </xf>
    <xf numFmtId="166" fontId="0" fillId="2" borderId="0" xfId="0" applyNumberFormat="1" applyFill="1"/>
    <xf numFmtId="166" fontId="36" fillId="0" borderId="1" xfId="1" applyNumberFormat="1" applyFont="1" applyBorder="1" applyAlignment="1">
      <alignment horizontal="center" vertical="center" wrapText="1"/>
    </xf>
    <xf numFmtId="166" fontId="34" fillId="0" borderId="1" xfId="1" applyNumberFormat="1" applyFont="1" applyBorder="1" applyAlignment="1">
      <alignment horizontal="center" vertical="center" wrapText="1"/>
    </xf>
    <xf numFmtId="166" fontId="37" fillId="0" borderId="1" xfId="1" applyNumberFormat="1" applyFont="1" applyBorder="1" applyAlignment="1">
      <alignment horizontal="center" vertical="center" wrapText="1"/>
    </xf>
    <xf numFmtId="166" fontId="35" fillId="0" borderId="1" xfId="1" applyNumberFormat="1" applyFont="1" applyBorder="1" applyAlignment="1">
      <alignment horizontal="center" vertical="center" wrapText="1"/>
    </xf>
    <xf numFmtId="166" fontId="34" fillId="0" borderId="1" xfId="1" applyNumberFormat="1" applyFont="1" applyBorder="1" applyAlignment="1">
      <alignment vertical="center" wrapText="1"/>
    </xf>
    <xf numFmtId="166" fontId="36" fillId="0" borderId="1" xfId="1" applyNumberFormat="1" applyFont="1" applyBorder="1" applyAlignment="1">
      <alignment vertical="center" wrapText="1"/>
    </xf>
    <xf numFmtId="166" fontId="36" fillId="0" borderId="1" xfId="1" applyNumberFormat="1" applyFont="1" applyBorder="1" applyAlignment="1">
      <alignment vertical="center"/>
    </xf>
    <xf numFmtId="166" fontId="34" fillId="0" borderId="1" xfId="1" applyNumberFormat="1" applyFont="1" applyBorder="1" applyAlignment="1">
      <alignment vertical="center"/>
    </xf>
    <xf numFmtId="167" fontId="1" fillId="0" borderId="0" xfId="23" applyNumberFormat="1" applyFont="1" applyFill="1" applyBorder="1" applyAlignment="1">
      <alignment horizontal="center" vertical="center"/>
    </xf>
    <xf numFmtId="169" fontId="1" fillId="0" borderId="0" xfId="1" applyNumberFormat="1" applyFont="1" applyFill="1" applyBorder="1" applyAlignment="1">
      <alignment horizontal="center" vertical="center"/>
    </xf>
    <xf numFmtId="169" fontId="0" fillId="0" borderId="0" xfId="0" applyNumberFormat="1" applyAlignment="1">
      <alignment vertical="center"/>
    </xf>
    <xf numFmtId="169" fontId="5" fillId="0" borderId="0" xfId="0" applyNumberFormat="1" applyFont="1" applyAlignment="1">
      <alignment vertical="center"/>
    </xf>
    <xf numFmtId="0" fontId="21" fillId="2" borderId="0" xfId="0" applyFont="1" applyFill="1" applyAlignment="1">
      <alignment horizontal="left" vertical="center"/>
    </xf>
    <xf numFmtId="167" fontId="13" fillId="0" borderId="4" xfId="14" applyNumberFormat="1" applyFont="1" applyBorder="1" applyAlignment="1">
      <alignment horizontal="left" vertical="top" wrapText="1"/>
    </xf>
  </cellXfs>
  <cellStyles count="41">
    <cellStyle name="Hipervínculo" xfId="15" builtinId="8"/>
    <cellStyle name="Millares" xfId="1" builtinId="3"/>
    <cellStyle name="Millares [0]" xfId="19" builtinId="6"/>
    <cellStyle name="Millares [0] 2" xfId="18" xr:uid="{00000000-0005-0000-0000-000002000000}"/>
    <cellStyle name="Millares [0] 3" xfId="34" xr:uid="{ECD51750-167C-46E4-9F53-E7C3B66B9C9F}"/>
    <cellStyle name="Millares 10" xfId="40" xr:uid="{523A91A9-66E6-4B76-AD0D-5385993CB954}"/>
    <cellStyle name="Millares 2" xfId="2" xr:uid="{00000000-0005-0000-0000-000003000000}"/>
    <cellStyle name="Millares 2 2" xfId="26" xr:uid="{FD793BA8-3507-4A62-87B9-D2CDC7F4B5E3}"/>
    <cellStyle name="Millares 2 3" xfId="22" xr:uid="{1E566A79-3CE2-496B-BF0B-F226B9CBEF1A}"/>
    <cellStyle name="Millares 2 4" xfId="37" xr:uid="{EF91B027-4067-4D68-B469-746F47F7B043}"/>
    <cellStyle name="Millares 3" xfId="7" xr:uid="{00000000-0005-0000-0000-000004000000}"/>
    <cellStyle name="Millares 3 2" xfId="29" xr:uid="{EACB442A-1B6B-4A1B-83F2-CCA43E11C4AF}"/>
    <cellStyle name="Millares 3 3" xfId="39" xr:uid="{F4FD0397-1EB9-447E-A939-4F1726DCE932}"/>
    <cellStyle name="Millares 4" xfId="16" xr:uid="{00000000-0005-0000-0000-000005000000}"/>
    <cellStyle name="Millares 4 2" xfId="17" xr:uid="{00000000-0005-0000-0000-000006000000}"/>
    <cellStyle name="Millares 5" xfId="25" xr:uid="{6743B27B-DD93-4149-9746-1DA0D3D62B02}"/>
    <cellStyle name="Millares 6" xfId="31" xr:uid="{4213BD47-DAA9-4A82-8A71-CD2551A5D02E}"/>
    <cellStyle name="Millares 7" xfId="35" xr:uid="{AADD063C-D09D-4F97-9E63-9D244913C84A}"/>
    <cellStyle name="Millares 8" xfId="36" xr:uid="{0CC21B01-AAAB-4BC9-B492-E3EACFF3264E}"/>
    <cellStyle name="Millares 9" xfId="38" xr:uid="{8648A974-2860-407C-97E9-A925010CA4F9}"/>
    <cellStyle name="Normal" xfId="0" builtinId="0"/>
    <cellStyle name="Normal 2" xfId="4" xr:uid="{00000000-0005-0000-0000-000008000000}"/>
    <cellStyle name="Normal 2 2" xfId="8" xr:uid="{00000000-0005-0000-0000-000009000000}"/>
    <cellStyle name="Normal 2 3" xfId="28" xr:uid="{08F621F6-AB24-43B0-8E6B-5835DBB223DC}"/>
    <cellStyle name="Normal 2 4" xfId="21" xr:uid="{40EC4922-CDE9-4593-989B-F65B1CDB4E70}"/>
    <cellStyle name="Normal 3" xfId="6" xr:uid="{00000000-0005-0000-0000-00000A000000}"/>
    <cellStyle name="Normal 3 2" xfId="9" xr:uid="{00000000-0005-0000-0000-00000B000000}"/>
    <cellStyle name="Normal 3 3" xfId="10" xr:uid="{00000000-0005-0000-0000-00000C000000}"/>
    <cellStyle name="Normal 3 4" xfId="11" xr:uid="{00000000-0005-0000-0000-00000D000000}"/>
    <cellStyle name="Normal 4" xfId="12" xr:uid="{00000000-0005-0000-0000-00000E000000}"/>
    <cellStyle name="Normal 5" xfId="24" xr:uid="{E194DEAC-7904-4771-A849-DA326F1EDA5E}"/>
    <cellStyle name="Normal 5 2" xfId="13" xr:uid="{00000000-0005-0000-0000-00000F000000}"/>
    <cellStyle name="Normal 6" xfId="33" xr:uid="{9D60D541-09EA-4D0E-A1C8-73FD1A17735C}"/>
    <cellStyle name="Normal 7" xfId="20" xr:uid="{AECD2AE4-00CA-43FA-88D8-60795AD646E6}"/>
    <cellStyle name="Porcentaje" xfId="14" builtinId="5"/>
    <cellStyle name="Porcentaje 2" xfId="3" xr:uid="{00000000-0005-0000-0000-000011000000}"/>
    <cellStyle name="Porcentaje 2 2" xfId="27" xr:uid="{63B21D50-9183-4CE3-9454-6E17CE6B8825}"/>
    <cellStyle name="Porcentaje 2 3" xfId="23" xr:uid="{772B4E49-EB5F-4FC8-9EDE-26B587F75EDE}"/>
    <cellStyle name="Porcentaje 3" xfId="30" xr:uid="{B1070AB8-90AE-45D0-8166-5D7E8C9CD690}"/>
    <cellStyle name="Porcentaje 4" xfId="32" xr:uid="{18D39CC2-0623-4E3E-B601-C5F4DA833760}"/>
    <cellStyle name="Porcentual 2" xfId="5"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6496050</xdr:colOff>
      <xdr:row>0</xdr:row>
      <xdr:rowOff>0</xdr:rowOff>
    </xdr:from>
    <xdr:to>
      <xdr:col>4</xdr:col>
      <xdr:colOff>320180</xdr:colOff>
      <xdr:row>2</xdr:row>
      <xdr:rowOff>2691</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43850" y="0"/>
          <a:ext cx="1044080" cy="7170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866775</xdr:colOff>
      <xdr:row>0</xdr:row>
      <xdr:rowOff>9525</xdr:rowOff>
    </xdr:from>
    <xdr:to>
      <xdr:col>5</xdr:col>
      <xdr:colOff>739840</xdr:colOff>
      <xdr:row>2</xdr:row>
      <xdr:rowOff>50316</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95950" y="9525"/>
          <a:ext cx="1044080" cy="71706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564623</xdr:colOff>
      <xdr:row>0</xdr:row>
      <xdr:rowOff>14287</xdr:rowOff>
    </xdr:from>
    <xdr:to>
      <xdr:col>23</xdr:col>
      <xdr:colOff>848555</xdr:colOff>
      <xdr:row>2</xdr:row>
      <xdr:rowOff>32853</xdr:rowOff>
    </xdr:to>
    <xdr:pic>
      <xdr:nvPicPr>
        <xdr:cNvPr id="4" name="Imagen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280748" y="14287"/>
          <a:ext cx="1064982" cy="71389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238125</xdr:colOff>
      <xdr:row>0</xdr:row>
      <xdr:rowOff>0</xdr:rowOff>
    </xdr:from>
    <xdr:to>
      <xdr:col>5</xdr:col>
      <xdr:colOff>148730</xdr:colOff>
      <xdr:row>2</xdr:row>
      <xdr:rowOff>21741</xdr:rowOff>
    </xdr:to>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76975" y="0"/>
          <a:ext cx="1044080" cy="71706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22</xdr:col>
      <xdr:colOff>142875</xdr:colOff>
      <xdr:row>0</xdr:row>
      <xdr:rowOff>0</xdr:rowOff>
    </xdr:from>
    <xdr:to>
      <xdr:col>23</xdr:col>
      <xdr:colOff>448442</xdr:colOff>
      <xdr:row>2</xdr:row>
      <xdr:rowOff>7983</xdr:rowOff>
    </xdr:to>
    <xdr:pic>
      <xdr:nvPicPr>
        <xdr:cNvPr id="2" name="Imagen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039975" y="0"/>
          <a:ext cx="1038789" cy="72235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85725</xdr:colOff>
      <xdr:row>0</xdr:row>
      <xdr:rowOff>0</xdr:rowOff>
    </xdr:from>
    <xdr:to>
      <xdr:col>3</xdr:col>
      <xdr:colOff>1129805</xdr:colOff>
      <xdr:row>1</xdr:row>
      <xdr:rowOff>450366</xdr:rowOff>
    </xdr:to>
    <xdr:pic>
      <xdr:nvPicPr>
        <xdr:cNvPr id="4" name="Imagen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95875" y="0"/>
          <a:ext cx="1044080" cy="71706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22</xdr:col>
      <xdr:colOff>352425</xdr:colOff>
      <xdr:row>0</xdr:row>
      <xdr:rowOff>0</xdr:rowOff>
    </xdr:from>
    <xdr:to>
      <xdr:col>23</xdr:col>
      <xdr:colOff>567830</xdr:colOff>
      <xdr:row>2</xdr:row>
      <xdr:rowOff>2691</xdr:rowOff>
    </xdr:to>
    <xdr:pic>
      <xdr:nvPicPr>
        <xdr:cNvPr id="4" name="Imagen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420725" y="0"/>
          <a:ext cx="1044080" cy="71706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123825</xdr:colOff>
      <xdr:row>0</xdr:row>
      <xdr:rowOff>9525</xdr:rowOff>
    </xdr:from>
    <xdr:to>
      <xdr:col>4</xdr:col>
      <xdr:colOff>1167905</xdr:colOff>
      <xdr:row>2</xdr:row>
      <xdr:rowOff>31266</xdr:rowOff>
    </xdr:to>
    <xdr:pic>
      <xdr:nvPicPr>
        <xdr:cNvPr id="3" name="Imagen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67375" y="9525"/>
          <a:ext cx="1044080" cy="71706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22</xdr:col>
      <xdr:colOff>544382</xdr:colOff>
      <xdr:row>0</xdr:row>
      <xdr:rowOff>0</xdr:rowOff>
    </xdr:from>
    <xdr:to>
      <xdr:col>23</xdr:col>
      <xdr:colOff>785451</xdr:colOff>
      <xdr:row>1</xdr:row>
      <xdr:rowOff>447853</xdr:rowOff>
    </xdr:to>
    <xdr:pic>
      <xdr:nvPicPr>
        <xdr:cNvPr id="4" name="Imagen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937715" y="0"/>
          <a:ext cx="1034819" cy="71243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733425</xdr:colOff>
      <xdr:row>0</xdr:row>
      <xdr:rowOff>28575</xdr:rowOff>
    </xdr:from>
    <xdr:to>
      <xdr:col>9</xdr:col>
      <xdr:colOff>132061</xdr:colOff>
      <xdr:row>3</xdr:row>
      <xdr:rowOff>2294</xdr:rowOff>
    </xdr:to>
    <xdr:pic>
      <xdr:nvPicPr>
        <xdr:cNvPr id="2" name="Imagen 1">
          <a:extLst>
            <a:ext uri="{FF2B5EF4-FFF2-40B4-BE49-F238E27FC236}">
              <a16:creationId xmlns:a16="http://schemas.microsoft.com/office/drawing/2014/main" id="{648EC662-A332-4277-A211-D8FD018B6B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372350" y="28575"/>
          <a:ext cx="1036936" cy="71666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4</xdr:col>
      <xdr:colOff>419100</xdr:colOff>
      <xdr:row>0</xdr:row>
      <xdr:rowOff>38100</xdr:rowOff>
    </xdr:from>
    <xdr:ext cx="1036936" cy="716669"/>
    <xdr:pic>
      <xdr:nvPicPr>
        <xdr:cNvPr id="2" name="Imagen 1">
          <a:extLst>
            <a:ext uri="{FF2B5EF4-FFF2-40B4-BE49-F238E27FC236}">
              <a16:creationId xmlns:a16="http://schemas.microsoft.com/office/drawing/2014/main" id="{E9B5494F-9619-4C05-AA0F-3462A208C2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277100" y="38100"/>
          <a:ext cx="1036936" cy="716669"/>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twoCellAnchor editAs="oneCell">
    <xdr:from>
      <xdr:col>6</xdr:col>
      <xdr:colOff>485775</xdr:colOff>
      <xdr:row>0</xdr:row>
      <xdr:rowOff>0</xdr:rowOff>
    </xdr:from>
    <xdr:to>
      <xdr:col>8</xdr:col>
      <xdr:colOff>15380</xdr:colOff>
      <xdr:row>2</xdr:row>
      <xdr:rowOff>212241</xdr:rowOff>
    </xdr:to>
    <xdr:pic>
      <xdr:nvPicPr>
        <xdr:cNvPr id="2" name="Imagen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53375" y="0"/>
          <a:ext cx="1044080" cy="71706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249977111117893"/>
  </sheetPr>
  <dimension ref="A1:C479"/>
  <sheetViews>
    <sheetView showGridLines="0" tabSelected="1" zoomScaleNormal="100" workbookViewId="0">
      <pane ySplit="2" topLeftCell="A3" activePane="bottomLeft" state="frozen"/>
      <selection pane="bottomLeft" activeCell="C8" sqref="C8"/>
    </sheetView>
  </sheetViews>
  <sheetFormatPr baseColWidth="10" defaultColWidth="10.85546875" defaultRowHeight="15" x14ac:dyDescent="0.25"/>
  <cols>
    <col min="1" max="2" width="10.85546875" style="16"/>
    <col min="3" max="3" width="75.140625" style="15" customWidth="1"/>
    <col min="4" max="16384" width="10.85546875" style="3"/>
  </cols>
  <sheetData>
    <row r="1" spans="1:3" x14ac:dyDescent="0.25">
      <c r="C1" s="275" t="s">
        <v>494</v>
      </c>
    </row>
    <row r="2" spans="1:3" ht="41.25" customHeight="1" x14ac:dyDescent="0.25">
      <c r="C2" s="275"/>
    </row>
    <row r="4" spans="1:3" x14ac:dyDescent="0.25">
      <c r="A4" s="52" t="s">
        <v>59</v>
      </c>
      <c r="B4" s="52" t="s">
        <v>57</v>
      </c>
      <c r="C4" s="53" t="s">
        <v>60</v>
      </c>
    </row>
    <row r="5" spans="1:3" x14ac:dyDescent="0.25">
      <c r="A5" s="16">
        <v>1</v>
      </c>
      <c r="B5" s="16">
        <v>1</v>
      </c>
      <c r="C5" s="15" t="s">
        <v>112</v>
      </c>
    </row>
    <row r="7" spans="1:3" ht="15.75" x14ac:dyDescent="0.25">
      <c r="A7" s="52" t="s">
        <v>59</v>
      </c>
      <c r="B7" s="52" t="s">
        <v>57</v>
      </c>
      <c r="C7" s="54" t="s">
        <v>495</v>
      </c>
    </row>
    <row r="8" spans="1:3" x14ac:dyDescent="0.25">
      <c r="A8" s="16">
        <v>2</v>
      </c>
      <c r="B8" s="16">
        <v>1</v>
      </c>
      <c r="C8" s="250" t="s">
        <v>496</v>
      </c>
    </row>
    <row r="9" spans="1:3" x14ac:dyDescent="0.25">
      <c r="A9" s="16">
        <v>2</v>
      </c>
      <c r="B9" s="16">
        <v>2</v>
      </c>
      <c r="C9" s="251" t="s">
        <v>497</v>
      </c>
    </row>
    <row r="10" spans="1:3" x14ac:dyDescent="0.25">
      <c r="A10" s="16">
        <v>2</v>
      </c>
      <c r="B10" s="16">
        <v>3</v>
      </c>
      <c r="C10" s="251" t="s">
        <v>498</v>
      </c>
    </row>
    <row r="11" spans="1:3" x14ac:dyDescent="0.25">
      <c r="A11" s="16">
        <v>2</v>
      </c>
      <c r="B11" s="16">
        <v>4</v>
      </c>
      <c r="C11" s="251" t="s">
        <v>499</v>
      </c>
    </row>
    <row r="12" spans="1:3" x14ac:dyDescent="0.25">
      <c r="A12" s="16">
        <v>2</v>
      </c>
      <c r="B12" s="16">
        <v>5</v>
      </c>
      <c r="C12" s="251" t="s">
        <v>500</v>
      </c>
    </row>
    <row r="13" spans="1:3" x14ac:dyDescent="0.25">
      <c r="A13" s="16">
        <v>2</v>
      </c>
      <c r="B13" s="16">
        <v>6</v>
      </c>
      <c r="C13" s="251" t="s">
        <v>501</v>
      </c>
    </row>
    <row r="14" spans="1:3" x14ac:dyDescent="0.25">
      <c r="A14" s="16">
        <v>2</v>
      </c>
      <c r="B14" s="16">
        <v>7</v>
      </c>
      <c r="C14" s="251" t="s">
        <v>550</v>
      </c>
    </row>
    <row r="16" spans="1:3" ht="15.75" x14ac:dyDescent="0.25">
      <c r="A16" s="52" t="s">
        <v>59</v>
      </c>
      <c r="B16" s="52" t="s">
        <v>57</v>
      </c>
      <c r="C16" s="54" t="s">
        <v>502</v>
      </c>
    </row>
    <row r="17" spans="1:3" x14ac:dyDescent="0.25">
      <c r="A17" s="16">
        <v>3</v>
      </c>
      <c r="B17" s="16">
        <v>1</v>
      </c>
      <c r="C17" s="251" t="s">
        <v>128</v>
      </c>
    </row>
    <row r="18" spans="1:3" x14ac:dyDescent="0.25">
      <c r="A18" s="16">
        <v>3</v>
      </c>
      <c r="B18" s="16">
        <v>2</v>
      </c>
      <c r="C18" s="251" t="s">
        <v>103</v>
      </c>
    </row>
    <row r="19" spans="1:3" x14ac:dyDescent="0.25">
      <c r="A19" s="16">
        <v>3</v>
      </c>
      <c r="B19" s="16">
        <v>3</v>
      </c>
      <c r="C19" s="251" t="s">
        <v>129</v>
      </c>
    </row>
    <row r="20" spans="1:3" x14ac:dyDescent="0.25">
      <c r="A20" s="16">
        <v>3</v>
      </c>
      <c r="B20" s="16">
        <v>4</v>
      </c>
      <c r="C20" s="251" t="s">
        <v>276</v>
      </c>
    </row>
    <row r="21" spans="1:3" x14ac:dyDescent="0.25">
      <c r="A21" s="16">
        <v>3</v>
      </c>
      <c r="B21" s="16">
        <v>5</v>
      </c>
      <c r="C21" s="251" t="s">
        <v>277</v>
      </c>
    </row>
    <row r="22" spans="1:3" x14ac:dyDescent="0.25">
      <c r="A22" s="16">
        <v>3</v>
      </c>
      <c r="B22" s="16">
        <v>6</v>
      </c>
      <c r="C22" s="251" t="s">
        <v>375</v>
      </c>
    </row>
    <row r="23" spans="1:3" x14ac:dyDescent="0.25">
      <c r="A23" s="16">
        <v>3</v>
      </c>
      <c r="B23" s="16">
        <v>7</v>
      </c>
      <c r="C23" s="251" t="s">
        <v>114</v>
      </c>
    </row>
    <row r="24" spans="1:3" x14ac:dyDescent="0.25">
      <c r="A24" s="16">
        <v>3</v>
      </c>
      <c r="B24" s="16">
        <v>8</v>
      </c>
      <c r="C24" s="251" t="s">
        <v>67</v>
      </c>
    </row>
    <row r="25" spans="1:3" x14ac:dyDescent="0.25">
      <c r="A25" s="16">
        <v>3</v>
      </c>
      <c r="B25" s="16">
        <v>9</v>
      </c>
      <c r="C25" s="251" t="s">
        <v>492</v>
      </c>
    </row>
    <row r="27" spans="1:3" ht="15.75" x14ac:dyDescent="0.25">
      <c r="A27" s="52" t="s">
        <v>59</v>
      </c>
      <c r="B27" s="52" t="s">
        <v>57</v>
      </c>
      <c r="C27" s="54" t="s">
        <v>503</v>
      </c>
    </row>
    <row r="28" spans="1:3" x14ac:dyDescent="0.25">
      <c r="A28" s="16">
        <v>4</v>
      </c>
      <c r="B28" s="16">
        <v>1</v>
      </c>
      <c r="C28" s="251" t="s">
        <v>504</v>
      </c>
    </row>
    <row r="29" spans="1:3" x14ac:dyDescent="0.25">
      <c r="A29" s="16">
        <v>4</v>
      </c>
      <c r="B29" s="16">
        <v>2</v>
      </c>
      <c r="C29" s="251" t="s">
        <v>505</v>
      </c>
    </row>
    <row r="30" spans="1:3" x14ac:dyDescent="0.25">
      <c r="A30" s="16">
        <v>4</v>
      </c>
      <c r="B30" s="16">
        <v>3</v>
      </c>
      <c r="C30" s="251" t="s">
        <v>506</v>
      </c>
    </row>
    <row r="31" spans="1:3" x14ac:dyDescent="0.25">
      <c r="A31" s="16">
        <v>4</v>
      </c>
      <c r="B31" s="16">
        <v>4</v>
      </c>
      <c r="C31" s="251" t="s">
        <v>660</v>
      </c>
    </row>
    <row r="32" spans="1:3" x14ac:dyDescent="0.25">
      <c r="A32" s="16">
        <v>4</v>
      </c>
      <c r="B32" s="16">
        <v>5</v>
      </c>
      <c r="C32" s="251" t="s">
        <v>507</v>
      </c>
    </row>
    <row r="33" spans="1:3" x14ac:dyDescent="0.25">
      <c r="A33" s="16">
        <v>4</v>
      </c>
      <c r="B33" s="16">
        <v>6</v>
      </c>
      <c r="C33" s="251" t="s">
        <v>508</v>
      </c>
    </row>
    <row r="34" spans="1:3" x14ac:dyDescent="0.25">
      <c r="A34" s="16">
        <v>4</v>
      </c>
      <c r="B34" s="16">
        <v>7</v>
      </c>
      <c r="C34" s="251" t="s">
        <v>561</v>
      </c>
    </row>
    <row r="35" spans="1:3" x14ac:dyDescent="0.25">
      <c r="A35" s="16">
        <v>4</v>
      </c>
      <c r="B35" s="16">
        <v>8</v>
      </c>
      <c r="C35" s="251" t="s">
        <v>562</v>
      </c>
    </row>
    <row r="36" spans="1:3" x14ac:dyDescent="0.25">
      <c r="A36" s="16">
        <v>4</v>
      </c>
      <c r="B36" s="16">
        <v>9</v>
      </c>
      <c r="C36" s="251" t="s">
        <v>509</v>
      </c>
    </row>
    <row r="37" spans="1:3" x14ac:dyDescent="0.25">
      <c r="A37" s="16">
        <v>4</v>
      </c>
      <c r="B37" s="16">
        <v>10</v>
      </c>
      <c r="C37" s="251" t="s">
        <v>510</v>
      </c>
    </row>
    <row r="38" spans="1:3" x14ac:dyDescent="0.25">
      <c r="A38" s="16">
        <v>4</v>
      </c>
      <c r="B38" s="16">
        <v>11</v>
      </c>
      <c r="C38" s="251" t="s">
        <v>511</v>
      </c>
    </row>
    <row r="39" spans="1:3" x14ac:dyDescent="0.25">
      <c r="A39" s="16">
        <v>4</v>
      </c>
      <c r="B39" s="16">
        <v>12</v>
      </c>
      <c r="C39" s="251" t="s">
        <v>512</v>
      </c>
    </row>
    <row r="40" spans="1:3" x14ac:dyDescent="0.25">
      <c r="A40" s="16">
        <v>4</v>
      </c>
      <c r="B40" s="16">
        <v>13</v>
      </c>
      <c r="C40" s="251" t="s">
        <v>513</v>
      </c>
    </row>
    <row r="41" spans="1:3" x14ac:dyDescent="0.25">
      <c r="A41" s="3"/>
      <c r="B41" s="3"/>
      <c r="C41" s="3"/>
    </row>
    <row r="42" spans="1:3" ht="15.75" x14ac:dyDescent="0.25">
      <c r="A42" s="52" t="s">
        <v>59</v>
      </c>
      <c r="B42" s="52" t="s">
        <v>57</v>
      </c>
      <c r="C42" s="54" t="s">
        <v>514</v>
      </c>
    </row>
    <row r="43" spans="1:3" x14ac:dyDescent="0.25">
      <c r="A43" s="16">
        <v>5</v>
      </c>
      <c r="B43" s="16">
        <v>1</v>
      </c>
      <c r="C43" s="251" t="s">
        <v>69</v>
      </c>
    </row>
    <row r="44" spans="1:3" x14ac:dyDescent="0.25">
      <c r="A44" s="16">
        <v>5</v>
      </c>
      <c r="B44" s="16">
        <v>2</v>
      </c>
      <c r="C44" s="251" t="s">
        <v>429</v>
      </c>
    </row>
    <row r="45" spans="1:3" x14ac:dyDescent="0.25">
      <c r="A45" s="16">
        <v>5</v>
      </c>
      <c r="B45" s="16">
        <v>3</v>
      </c>
      <c r="C45" s="251" t="s">
        <v>267</v>
      </c>
    </row>
    <row r="46" spans="1:3" x14ac:dyDescent="0.25">
      <c r="A46" s="16">
        <v>5</v>
      </c>
      <c r="B46" s="16">
        <v>4</v>
      </c>
      <c r="C46" s="251" t="s">
        <v>430</v>
      </c>
    </row>
    <row r="47" spans="1:3" x14ac:dyDescent="0.25">
      <c r="A47" s="16">
        <v>5</v>
      </c>
      <c r="B47" s="16">
        <v>5</v>
      </c>
      <c r="C47" s="251" t="s">
        <v>70</v>
      </c>
    </row>
    <row r="48" spans="1:3" x14ac:dyDescent="0.25">
      <c r="A48" s="16">
        <v>5</v>
      </c>
      <c r="B48" s="16">
        <v>6</v>
      </c>
      <c r="C48" s="251" t="s">
        <v>431</v>
      </c>
    </row>
    <row r="49" spans="1:3" x14ac:dyDescent="0.25">
      <c r="A49" s="16">
        <v>5</v>
      </c>
      <c r="B49" s="16">
        <v>7</v>
      </c>
      <c r="C49" s="251" t="s">
        <v>222</v>
      </c>
    </row>
    <row r="50" spans="1:3" x14ac:dyDescent="0.25">
      <c r="A50" s="16">
        <v>5</v>
      </c>
      <c r="B50" s="16">
        <v>8</v>
      </c>
      <c r="C50" s="251" t="s">
        <v>432</v>
      </c>
    </row>
    <row r="51" spans="1:3" x14ac:dyDescent="0.25">
      <c r="A51" s="16">
        <v>5</v>
      </c>
      <c r="B51" s="16">
        <v>9</v>
      </c>
      <c r="C51" s="251" t="s">
        <v>71</v>
      </c>
    </row>
    <row r="52" spans="1:3" x14ac:dyDescent="0.25">
      <c r="A52" s="16">
        <v>5</v>
      </c>
      <c r="B52" s="16">
        <v>10</v>
      </c>
      <c r="C52" s="251" t="s">
        <v>433</v>
      </c>
    </row>
    <row r="53" spans="1:3" x14ac:dyDescent="0.25">
      <c r="A53" s="16">
        <v>5</v>
      </c>
      <c r="B53" s="16">
        <v>11</v>
      </c>
      <c r="C53" s="251" t="s">
        <v>72</v>
      </c>
    </row>
    <row r="54" spans="1:3" x14ac:dyDescent="0.25">
      <c r="A54" s="16">
        <v>5</v>
      </c>
      <c r="B54" s="16">
        <v>12</v>
      </c>
      <c r="C54" s="251" t="s">
        <v>368</v>
      </c>
    </row>
    <row r="55" spans="1:3" x14ac:dyDescent="0.25">
      <c r="A55" s="16">
        <v>5</v>
      </c>
      <c r="B55" s="16">
        <v>13</v>
      </c>
      <c r="C55" s="251" t="s">
        <v>434</v>
      </c>
    </row>
    <row r="56" spans="1:3" x14ac:dyDescent="0.25">
      <c r="A56" s="16">
        <v>5</v>
      </c>
      <c r="B56" s="16">
        <v>14</v>
      </c>
      <c r="C56" s="251" t="s">
        <v>435</v>
      </c>
    </row>
    <row r="57" spans="1:3" x14ac:dyDescent="0.25">
      <c r="A57" s="16">
        <v>5</v>
      </c>
      <c r="B57" s="16">
        <v>15</v>
      </c>
      <c r="C57" s="251" t="s">
        <v>359</v>
      </c>
    </row>
    <row r="58" spans="1:3" x14ac:dyDescent="0.25">
      <c r="A58" s="16">
        <v>5</v>
      </c>
      <c r="B58" s="16">
        <v>16</v>
      </c>
      <c r="C58" s="251" t="s">
        <v>436</v>
      </c>
    </row>
    <row r="59" spans="1:3" x14ac:dyDescent="0.25">
      <c r="A59" s="16">
        <v>5</v>
      </c>
      <c r="B59" s="16">
        <v>17</v>
      </c>
      <c r="C59" s="251" t="s">
        <v>351</v>
      </c>
    </row>
    <row r="60" spans="1:3" x14ac:dyDescent="0.25">
      <c r="A60" s="16">
        <v>5</v>
      </c>
      <c r="B60" s="16">
        <v>18</v>
      </c>
      <c r="C60" s="251" t="s">
        <v>437</v>
      </c>
    </row>
    <row r="61" spans="1:3" x14ac:dyDescent="0.25">
      <c r="A61" s="16">
        <v>5</v>
      </c>
      <c r="B61" s="16">
        <v>19</v>
      </c>
      <c r="C61" s="251" t="s">
        <v>73</v>
      </c>
    </row>
    <row r="62" spans="1:3" x14ac:dyDescent="0.25">
      <c r="A62" s="16">
        <v>5</v>
      </c>
      <c r="B62" s="16">
        <v>20</v>
      </c>
      <c r="C62" s="251" t="s">
        <v>438</v>
      </c>
    </row>
    <row r="63" spans="1:3" x14ac:dyDescent="0.25">
      <c r="A63" s="16">
        <v>5</v>
      </c>
      <c r="B63" s="16">
        <v>21</v>
      </c>
      <c r="C63" s="251" t="s">
        <v>564</v>
      </c>
    </row>
    <row r="64" spans="1:3" x14ac:dyDescent="0.25">
      <c r="A64" s="16">
        <v>5</v>
      </c>
      <c r="B64" s="16">
        <v>22</v>
      </c>
      <c r="C64" s="251" t="s">
        <v>566</v>
      </c>
    </row>
    <row r="65" spans="1:3" x14ac:dyDescent="0.25">
      <c r="A65" s="16">
        <v>5</v>
      </c>
      <c r="B65" s="16">
        <v>23</v>
      </c>
      <c r="C65" s="251" t="s">
        <v>74</v>
      </c>
    </row>
    <row r="66" spans="1:3" x14ac:dyDescent="0.25">
      <c r="A66" s="16">
        <v>5</v>
      </c>
      <c r="B66" s="16">
        <v>24</v>
      </c>
      <c r="C66" s="251" t="s">
        <v>439</v>
      </c>
    </row>
    <row r="67" spans="1:3" x14ac:dyDescent="0.25">
      <c r="A67" s="16">
        <v>5</v>
      </c>
      <c r="B67" s="16">
        <v>25</v>
      </c>
      <c r="C67" s="251" t="s">
        <v>75</v>
      </c>
    </row>
    <row r="68" spans="1:3" x14ac:dyDescent="0.25">
      <c r="A68" s="16">
        <v>5</v>
      </c>
      <c r="B68" s="16">
        <v>26</v>
      </c>
      <c r="C68" s="251" t="s">
        <v>440</v>
      </c>
    </row>
    <row r="69" spans="1:3" x14ac:dyDescent="0.25">
      <c r="A69" s="16">
        <v>5</v>
      </c>
      <c r="B69" s="16">
        <v>27</v>
      </c>
      <c r="C69" s="251" t="s">
        <v>76</v>
      </c>
    </row>
    <row r="70" spans="1:3" x14ac:dyDescent="0.25">
      <c r="A70" s="16">
        <v>5</v>
      </c>
      <c r="B70" s="16">
        <v>28</v>
      </c>
      <c r="C70" s="251" t="s">
        <v>264</v>
      </c>
    </row>
    <row r="71" spans="1:3" x14ac:dyDescent="0.25">
      <c r="A71" s="16">
        <v>5</v>
      </c>
      <c r="B71" s="16">
        <v>29</v>
      </c>
      <c r="C71" s="251" t="s">
        <v>414</v>
      </c>
    </row>
    <row r="72" spans="1:3" x14ac:dyDescent="0.25">
      <c r="A72" s="16">
        <v>5</v>
      </c>
      <c r="B72" s="16">
        <v>30</v>
      </c>
      <c r="C72" s="251" t="s">
        <v>428</v>
      </c>
    </row>
    <row r="73" spans="1:3" x14ac:dyDescent="0.25">
      <c r="A73" s="16">
        <v>5</v>
      </c>
      <c r="B73" s="16">
        <v>31</v>
      </c>
      <c r="C73" s="251" t="s">
        <v>371</v>
      </c>
    </row>
    <row r="74" spans="1:3" x14ac:dyDescent="0.25">
      <c r="A74" s="16">
        <v>5</v>
      </c>
      <c r="B74" s="16">
        <v>32</v>
      </c>
      <c r="C74" s="251" t="s">
        <v>447</v>
      </c>
    </row>
    <row r="75" spans="1:3" x14ac:dyDescent="0.25">
      <c r="A75" s="16">
        <v>5</v>
      </c>
      <c r="B75" s="16">
        <v>33</v>
      </c>
      <c r="C75" s="251" t="s">
        <v>448</v>
      </c>
    </row>
    <row r="76" spans="1:3" x14ac:dyDescent="0.25">
      <c r="A76" s="16">
        <v>5</v>
      </c>
      <c r="B76" s="16">
        <v>34</v>
      </c>
      <c r="C76" s="251" t="s">
        <v>449</v>
      </c>
    </row>
    <row r="77" spans="1:3" x14ac:dyDescent="0.25">
      <c r="A77" s="16">
        <v>5</v>
      </c>
      <c r="B77" s="16">
        <v>35</v>
      </c>
      <c r="C77" s="251" t="s">
        <v>450</v>
      </c>
    </row>
    <row r="78" spans="1:3" x14ac:dyDescent="0.25">
      <c r="A78" s="16">
        <v>5</v>
      </c>
      <c r="B78" s="16">
        <v>36</v>
      </c>
      <c r="C78" s="251" t="s">
        <v>451</v>
      </c>
    </row>
    <row r="79" spans="1:3" x14ac:dyDescent="0.25">
      <c r="A79" s="16">
        <v>5</v>
      </c>
      <c r="B79" s="16">
        <v>37</v>
      </c>
      <c r="C79" s="251" t="s">
        <v>452</v>
      </c>
    </row>
    <row r="80" spans="1:3" x14ac:dyDescent="0.25">
      <c r="A80" s="16">
        <v>5</v>
      </c>
      <c r="B80" s="16">
        <v>38</v>
      </c>
      <c r="C80" s="251" t="s">
        <v>453</v>
      </c>
    </row>
    <row r="81" spans="1:3" x14ac:dyDescent="0.25">
      <c r="A81" s="16">
        <v>5</v>
      </c>
      <c r="B81" s="16">
        <v>39</v>
      </c>
      <c r="C81" s="251" t="s">
        <v>77</v>
      </c>
    </row>
    <row r="82" spans="1:3" x14ac:dyDescent="0.25">
      <c r="A82" s="16">
        <v>5</v>
      </c>
      <c r="B82" s="16">
        <v>40</v>
      </c>
      <c r="C82" s="251" t="s">
        <v>441</v>
      </c>
    </row>
    <row r="83" spans="1:3" x14ac:dyDescent="0.25">
      <c r="A83" s="16">
        <v>5</v>
      </c>
      <c r="B83" s="16">
        <v>41</v>
      </c>
      <c r="C83" s="251" t="s">
        <v>104</v>
      </c>
    </row>
    <row r="84" spans="1:3" x14ac:dyDescent="0.25">
      <c r="A84" s="16">
        <v>5</v>
      </c>
      <c r="B84" s="16">
        <v>42</v>
      </c>
      <c r="C84" s="251" t="s">
        <v>442</v>
      </c>
    </row>
    <row r="85" spans="1:3" x14ac:dyDescent="0.25">
      <c r="A85" s="16">
        <v>5</v>
      </c>
      <c r="B85" s="16">
        <v>43</v>
      </c>
      <c r="C85" s="251" t="s">
        <v>105</v>
      </c>
    </row>
    <row r="86" spans="1:3" x14ac:dyDescent="0.25">
      <c r="A86" s="16">
        <v>5</v>
      </c>
      <c r="B86" s="16">
        <v>44</v>
      </c>
      <c r="C86" s="251" t="s">
        <v>443</v>
      </c>
    </row>
    <row r="87" spans="1:3" x14ac:dyDescent="0.25">
      <c r="A87" s="16">
        <v>5</v>
      </c>
      <c r="B87" s="16">
        <v>45</v>
      </c>
      <c r="C87" s="251" t="s">
        <v>79</v>
      </c>
    </row>
    <row r="88" spans="1:3" x14ac:dyDescent="0.25">
      <c r="A88" s="16">
        <v>5</v>
      </c>
      <c r="B88" s="16">
        <v>46</v>
      </c>
      <c r="C88" s="251" t="s">
        <v>444</v>
      </c>
    </row>
    <row r="89" spans="1:3" x14ac:dyDescent="0.25">
      <c r="A89" s="16">
        <v>5</v>
      </c>
      <c r="B89" s="16">
        <v>47</v>
      </c>
      <c r="C89" s="251" t="s">
        <v>272</v>
      </c>
    </row>
    <row r="90" spans="1:3" x14ac:dyDescent="0.25">
      <c r="A90" s="16">
        <v>5</v>
      </c>
      <c r="B90" s="16">
        <v>48</v>
      </c>
      <c r="C90" s="251" t="s">
        <v>271</v>
      </c>
    </row>
    <row r="91" spans="1:3" x14ac:dyDescent="0.25">
      <c r="A91" s="16">
        <v>5</v>
      </c>
      <c r="B91" s="16">
        <v>49</v>
      </c>
      <c r="C91" s="251" t="s">
        <v>270</v>
      </c>
    </row>
    <row r="92" spans="1:3" x14ac:dyDescent="0.25">
      <c r="A92" s="16">
        <v>5</v>
      </c>
      <c r="B92" s="16">
        <v>50</v>
      </c>
      <c r="C92" s="251" t="s">
        <v>273</v>
      </c>
    </row>
    <row r="93" spans="1:3" x14ac:dyDescent="0.25">
      <c r="A93" s="16">
        <v>5</v>
      </c>
      <c r="B93" s="16">
        <v>51</v>
      </c>
      <c r="C93" s="251" t="s">
        <v>78</v>
      </c>
    </row>
    <row r="94" spans="1:3" x14ac:dyDescent="0.25">
      <c r="A94" s="16">
        <v>5</v>
      </c>
      <c r="B94" s="16">
        <v>52</v>
      </c>
      <c r="C94" s="251" t="s">
        <v>106</v>
      </c>
    </row>
    <row r="95" spans="1:3" x14ac:dyDescent="0.25">
      <c r="A95" s="16">
        <v>5</v>
      </c>
      <c r="B95" s="16">
        <v>53</v>
      </c>
      <c r="C95" s="251" t="s">
        <v>107</v>
      </c>
    </row>
    <row r="96" spans="1:3" x14ac:dyDescent="0.25">
      <c r="A96" s="16">
        <v>5</v>
      </c>
      <c r="B96" s="16">
        <v>54</v>
      </c>
      <c r="C96" s="251" t="s">
        <v>80</v>
      </c>
    </row>
    <row r="97" spans="1:3" x14ac:dyDescent="0.25">
      <c r="A97" s="16">
        <v>5</v>
      </c>
      <c r="B97" s="16">
        <v>55</v>
      </c>
      <c r="C97" s="251" t="s">
        <v>309</v>
      </c>
    </row>
    <row r="98" spans="1:3" x14ac:dyDescent="0.25">
      <c r="A98" s="16">
        <v>5</v>
      </c>
      <c r="B98" s="16">
        <v>56</v>
      </c>
      <c r="C98" s="251" t="s">
        <v>445</v>
      </c>
    </row>
    <row r="101" spans="1:3" ht="15.75" x14ac:dyDescent="0.25">
      <c r="A101" s="52" t="s">
        <v>59</v>
      </c>
      <c r="B101" s="52" t="s">
        <v>57</v>
      </c>
      <c r="C101" s="54" t="s">
        <v>515</v>
      </c>
    </row>
    <row r="102" spans="1:3" x14ac:dyDescent="0.25">
      <c r="A102" s="16">
        <v>6</v>
      </c>
      <c r="B102" s="16">
        <v>1</v>
      </c>
      <c r="C102" s="251" t="s">
        <v>516</v>
      </c>
    </row>
    <row r="103" spans="1:3" x14ac:dyDescent="0.25">
      <c r="A103" s="16">
        <v>6</v>
      </c>
      <c r="B103" s="16">
        <v>2</v>
      </c>
      <c r="C103" s="251" t="s">
        <v>517</v>
      </c>
    </row>
    <row r="104" spans="1:3" x14ac:dyDescent="0.25">
      <c r="A104" s="16">
        <v>6</v>
      </c>
      <c r="B104" s="16">
        <v>3</v>
      </c>
      <c r="C104" s="251" t="s">
        <v>518</v>
      </c>
    </row>
    <row r="105" spans="1:3" x14ac:dyDescent="0.25">
      <c r="A105" s="16">
        <v>6</v>
      </c>
      <c r="B105" s="16">
        <v>4</v>
      </c>
      <c r="C105" s="251" t="s">
        <v>519</v>
      </c>
    </row>
    <row r="106" spans="1:3" x14ac:dyDescent="0.25">
      <c r="A106" s="16">
        <v>6</v>
      </c>
      <c r="B106" s="16">
        <v>5</v>
      </c>
      <c r="C106" s="251" t="s">
        <v>520</v>
      </c>
    </row>
    <row r="107" spans="1:3" x14ac:dyDescent="0.25">
      <c r="A107" s="16">
        <v>6</v>
      </c>
      <c r="B107" s="16">
        <v>6</v>
      </c>
      <c r="C107" s="251" t="s">
        <v>521</v>
      </c>
    </row>
    <row r="108" spans="1:3" x14ac:dyDescent="0.25">
      <c r="A108" s="16">
        <v>6</v>
      </c>
      <c r="B108" s="16">
        <v>7</v>
      </c>
      <c r="C108" s="251" t="s">
        <v>571</v>
      </c>
    </row>
    <row r="109" spans="1:3" x14ac:dyDescent="0.25">
      <c r="A109" s="16">
        <v>6</v>
      </c>
      <c r="B109" s="16">
        <v>8</v>
      </c>
      <c r="C109" s="251" t="s">
        <v>522</v>
      </c>
    </row>
    <row r="110" spans="1:3" x14ac:dyDescent="0.25">
      <c r="A110" s="16">
        <v>6</v>
      </c>
      <c r="B110" s="16">
        <v>9</v>
      </c>
      <c r="C110" s="251" t="s">
        <v>523</v>
      </c>
    </row>
    <row r="112" spans="1:3" ht="15.75" x14ac:dyDescent="0.25">
      <c r="A112" s="52" t="s">
        <v>59</v>
      </c>
      <c r="B112" s="52" t="s">
        <v>57</v>
      </c>
      <c r="C112" s="54" t="s">
        <v>524</v>
      </c>
    </row>
    <row r="113" spans="1:3" x14ac:dyDescent="0.25">
      <c r="A113" s="16">
        <v>7</v>
      </c>
      <c r="B113" s="16">
        <v>1</v>
      </c>
      <c r="C113" s="251" t="s">
        <v>248</v>
      </c>
    </row>
    <row r="114" spans="1:3" x14ac:dyDescent="0.25">
      <c r="A114" s="16">
        <v>7</v>
      </c>
      <c r="B114" s="16">
        <v>2</v>
      </c>
      <c r="C114" s="251" t="s">
        <v>454</v>
      </c>
    </row>
    <row r="115" spans="1:3" x14ac:dyDescent="0.25">
      <c r="A115" s="16">
        <v>7</v>
      </c>
      <c r="B115" s="16">
        <v>3</v>
      </c>
      <c r="C115" s="251" t="s">
        <v>122</v>
      </c>
    </row>
    <row r="116" spans="1:3" x14ac:dyDescent="0.25">
      <c r="A116" s="16">
        <v>7</v>
      </c>
      <c r="B116" s="16">
        <v>4</v>
      </c>
      <c r="C116" s="251" t="s">
        <v>455</v>
      </c>
    </row>
    <row r="117" spans="1:3" x14ac:dyDescent="0.25">
      <c r="A117" s="16">
        <v>7</v>
      </c>
      <c r="B117" s="16">
        <v>5</v>
      </c>
      <c r="C117" s="251" t="s">
        <v>253</v>
      </c>
    </row>
    <row r="118" spans="1:3" x14ac:dyDescent="0.25">
      <c r="A118" s="16">
        <v>7</v>
      </c>
      <c r="B118" s="16">
        <v>6</v>
      </c>
      <c r="C118" s="251" t="s">
        <v>456</v>
      </c>
    </row>
    <row r="119" spans="1:3" x14ac:dyDescent="0.25">
      <c r="A119" s="16">
        <v>7</v>
      </c>
      <c r="B119" s="16">
        <v>7</v>
      </c>
      <c r="C119" s="251" t="s">
        <v>341</v>
      </c>
    </row>
    <row r="120" spans="1:3" x14ac:dyDescent="0.25">
      <c r="A120" s="16">
        <v>7</v>
      </c>
      <c r="B120" s="16">
        <v>8</v>
      </c>
      <c r="C120" s="251" t="s">
        <v>457</v>
      </c>
    </row>
    <row r="122" spans="1:3" ht="15.75" x14ac:dyDescent="0.25">
      <c r="A122" s="52" t="s">
        <v>59</v>
      </c>
      <c r="B122" s="52" t="s">
        <v>57</v>
      </c>
      <c r="C122" s="54" t="s">
        <v>525</v>
      </c>
    </row>
    <row r="123" spans="1:3" x14ac:dyDescent="0.25">
      <c r="A123" s="16">
        <v>8</v>
      </c>
      <c r="B123" s="16">
        <v>1</v>
      </c>
      <c r="C123" s="251" t="s">
        <v>526</v>
      </c>
    </row>
    <row r="124" spans="1:3" x14ac:dyDescent="0.25">
      <c r="A124" s="16">
        <v>8</v>
      </c>
      <c r="B124" s="16">
        <v>2</v>
      </c>
      <c r="C124" s="251" t="s">
        <v>527</v>
      </c>
    </row>
    <row r="125" spans="1:3" x14ac:dyDescent="0.25">
      <c r="A125" s="16">
        <v>8</v>
      </c>
      <c r="B125" s="16">
        <v>3</v>
      </c>
      <c r="C125" s="251" t="s">
        <v>528</v>
      </c>
    </row>
    <row r="126" spans="1:3" x14ac:dyDescent="0.25">
      <c r="A126" s="16">
        <v>8</v>
      </c>
      <c r="B126" s="16">
        <v>4</v>
      </c>
      <c r="C126" s="251" t="s">
        <v>529</v>
      </c>
    </row>
    <row r="127" spans="1:3" x14ac:dyDescent="0.25">
      <c r="A127" s="16">
        <v>8</v>
      </c>
      <c r="B127" s="16">
        <v>5</v>
      </c>
      <c r="C127" s="251" t="s">
        <v>570</v>
      </c>
    </row>
    <row r="128" spans="1:3" x14ac:dyDescent="0.25">
      <c r="A128" s="16">
        <v>8</v>
      </c>
      <c r="B128" s="16">
        <v>6</v>
      </c>
      <c r="C128" s="251" t="s">
        <v>530</v>
      </c>
    </row>
    <row r="129" spans="1:3" x14ac:dyDescent="0.25">
      <c r="A129" s="16">
        <v>8</v>
      </c>
      <c r="B129" s="16">
        <v>7</v>
      </c>
      <c r="C129" s="251" t="s">
        <v>531</v>
      </c>
    </row>
    <row r="131" spans="1:3" ht="15.75" x14ac:dyDescent="0.25">
      <c r="A131" s="52" t="s">
        <v>59</v>
      </c>
      <c r="B131" s="52" t="s">
        <v>57</v>
      </c>
      <c r="C131" s="54" t="s">
        <v>532</v>
      </c>
    </row>
    <row r="132" spans="1:3" x14ac:dyDescent="0.25">
      <c r="A132" s="16">
        <v>9</v>
      </c>
      <c r="B132" s="16">
        <v>1</v>
      </c>
      <c r="C132" s="251" t="s">
        <v>126</v>
      </c>
    </row>
    <row r="133" spans="1:3" x14ac:dyDescent="0.25">
      <c r="A133" s="16">
        <v>9</v>
      </c>
      <c r="B133" s="16">
        <v>2</v>
      </c>
      <c r="C133" s="251" t="s">
        <v>279</v>
      </c>
    </row>
    <row r="134" spans="1:3" x14ac:dyDescent="0.25">
      <c r="A134" s="16">
        <v>9</v>
      </c>
      <c r="B134" s="16">
        <v>3</v>
      </c>
      <c r="C134" s="251" t="s">
        <v>125</v>
      </c>
    </row>
    <row r="135" spans="1:3" x14ac:dyDescent="0.25">
      <c r="A135" s="16">
        <v>9</v>
      </c>
      <c r="B135" s="16">
        <v>4</v>
      </c>
      <c r="C135" s="251" t="s">
        <v>124</v>
      </c>
    </row>
    <row r="136" spans="1:3" x14ac:dyDescent="0.25">
      <c r="A136" s="16">
        <v>9</v>
      </c>
      <c r="B136" s="16">
        <v>5</v>
      </c>
      <c r="C136" s="251" t="s">
        <v>344</v>
      </c>
    </row>
    <row r="137" spans="1:3" x14ac:dyDescent="0.25">
      <c r="C137" s="55"/>
    </row>
    <row r="138" spans="1:3" ht="15.75" x14ac:dyDescent="0.25">
      <c r="A138" s="52" t="s">
        <v>59</v>
      </c>
      <c r="B138" s="52" t="s">
        <v>57</v>
      </c>
      <c r="C138" s="54" t="s">
        <v>533</v>
      </c>
    </row>
    <row r="139" spans="1:3" x14ac:dyDescent="0.25">
      <c r="A139" s="16">
        <v>10</v>
      </c>
      <c r="B139" s="16">
        <v>1</v>
      </c>
      <c r="C139" s="251" t="s">
        <v>534</v>
      </c>
    </row>
    <row r="140" spans="1:3" x14ac:dyDescent="0.25">
      <c r="A140" s="16">
        <v>10</v>
      </c>
      <c r="B140" s="16">
        <v>2</v>
      </c>
      <c r="C140" s="251" t="s">
        <v>535</v>
      </c>
    </row>
    <row r="141" spans="1:3" x14ac:dyDescent="0.25">
      <c r="A141" s="16">
        <v>10</v>
      </c>
      <c r="B141" s="16">
        <v>3</v>
      </c>
      <c r="C141" s="251" t="s">
        <v>536</v>
      </c>
    </row>
    <row r="142" spans="1:3" x14ac:dyDescent="0.25">
      <c r="A142" s="16">
        <v>10</v>
      </c>
      <c r="B142" s="16">
        <v>4</v>
      </c>
      <c r="C142" s="251" t="s">
        <v>626</v>
      </c>
    </row>
    <row r="143" spans="1:3" x14ac:dyDescent="0.25">
      <c r="A143" s="16">
        <v>10</v>
      </c>
      <c r="B143" s="16">
        <v>5</v>
      </c>
      <c r="C143" s="41" t="s">
        <v>673</v>
      </c>
    </row>
    <row r="144" spans="1:3" x14ac:dyDescent="0.25">
      <c r="A144" s="16">
        <v>10</v>
      </c>
      <c r="B144" s="16">
        <v>6</v>
      </c>
      <c r="C144" s="41" t="s">
        <v>672</v>
      </c>
    </row>
    <row r="145" spans="1:3" x14ac:dyDescent="0.25">
      <c r="A145" s="16">
        <v>10</v>
      </c>
      <c r="B145" s="16">
        <v>7</v>
      </c>
      <c r="C145" s="251" t="s">
        <v>627</v>
      </c>
    </row>
    <row r="146" spans="1:3" x14ac:dyDescent="0.25">
      <c r="A146" s="16">
        <v>10</v>
      </c>
      <c r="B146" s="16">
        <v>8</v>
      </c>
      <c r="C146" s="251" t="s">
        <v>602</v>
      </c>
    </row>
    <row r="147" spans="1:3" x14ac:dyDescent="0.25">
      <c r="A147" s="16">
        <v>10</v>
      </c>
      <c r="B147" s="16">
        <v>9</v>
      </c>
      <c r="C147" s="251" t="s">
        <v>603</v>
      </c>
    </row>
    <row r="148" spans="1:3" x14ac:dyDescent="0.25">
      <c r="A148" s="16">
        <v>10</v>
      </c>
      <c r="B148" s="16">
        <v>10</v>
      </c>
      <c r="C148" s="251" t="s">
        <v>622</v>
      </c>
    </row>
    <row r="149" spans="1:3" x14ac:dyDescent="0.25">
      <c r="A149" s="16">
        <v>10</v>
      </c>
      <c r="B149" s="16">
        <v>11</v>
      </c>
      <c r="C149" s="251" t="s">
        <v>662</v>
      </c>
    </row>
    <row r="150" spans="1:3" x14ac:dyDescent="0.25">
      <c r="A150" s="16">
        <v>10</v>
      </c>
      <c r="B150" s="16">
        <v>12</v>
      </c>
      <c r="C150" s="251" t="s">
        <v>663</v>
      </c>
    </row>
    <row r="151" spans="1:3" x14ac:dyDescent="0.25">
      <c r="A151" s="16">
        <v>10</v>
      </c>
      <c r="B151" s="16">
        <v>13</v>
      </c>
      <c r="C151" s="251" t="s">
        <v>664</v>
      </c>
    </row>
    <row r="152" spans="1:3" x14ac:dyDescent="0.25">
      <c r="A152" s="16">
        <v>10</v>
      </c>
      <c r="B152" s="16">
        <v>14</v>
      </c>
      <c r="C152" s="251" t="s">
        <v>628</v>
      </c>
    </row>
    <row r="153" spans="1:3" x14ac:dyDescent="0.25">
      <c r="A153" s="16">
        <v>10</v>
      </c>
      <c r="B153" s="16">
        <v>15</v>
      </c>
      <c r="C153" s="251" t="s">
        <v>623</v>
      </c>
    </row>
    <row r="154" spans="1:3" x14ac:dyDescent="0.25">
      <c r="A154" s="16">
        <v>10</v>
      </c>
      <c r="B154" s="16">
        <v>16</v>
      </c>
      <c r="C154" s="251" t="s">
        <v>629</v>
      </c>
    </row>
    <row r="155" spans="1:3" x14ac:dyDescent="0.25">
      <c r="A155" s="16">
        <v>10</v>
      </c>
      <c r="B155" s="16">
        <v>17</v>
      </c>
      <c r="C155" s="251" t="s">
        <v>630</v>
      </c>
    </row>
    <row r="156" spans="1:3" x14ac:dyDescent="0.25">
      <c r="A156" s="16">
        <v>10</v>
      </c>
      <c r="B156" s="16">
        <v>18</v>
      </c>
      <c r="C156" s="251" t="s">
        <v>631</v>
      </c>
    </row>
    <row r="157" spans="1:3" x14ac:dyDescent="0.25">
      <c r="A157" s="16">
        <v>10</v>
      </c>
      <c r="B157" s="16">
        <v>19</v>
      </c>
      <c r="C157" s="251" t="s">
        <v>624</v>
      </c>
    </row>
    <row r="158" spans="1:3" x14ac:dyDescent="0.25">
      <c r="A158" s="16">
        <v>10</v>
      </c>
      <c r="B158" s="16">
        <v>20</v>
      </c>
      <c r="C158" s="251" t="s">
        <v>633</v>
      </c>
    </row>
    <row r="159" spans="1:3" x14ac:dyDescent="0.25">
      <c r="A159" s="16">
        <v>10</v>
      </c>
      <c r="B159" s="16">
        <v>21</v>
      </c>
      <c r="C159" s="251" t="s">
        <v>636</v>
      </c>
    </row>
    <row r="160" spans="1:3" x14ac:dyDescent="0.25">
      <c r="A160" s="16">
        <v>10</v>
      </c>
      <c r="B160" s="16">
        <v>22</v>
      </c>
      <c r="C160" s="251" t="s">
        <v>634</v>
      </c>
    </row>
    <row r="161" spans="1:3" x14ac:dyDescent="0.25">
      <c r="A161" s="16">
        <v>10</v>
      </c>
      <c r="B161" s="16">
        <v>23</v>
      </c>
      <c r="C161" s="251" t="s">
        <v>625</v>
      </c>
    </row>
    <row r="162" spans="1:3" x14ac:dyDescent="0.25">
      <c r="A162" s="16">
        <v>10</v>
      </c>
      <c r="B162" s="16">
        <v>24</v>
      </c>
      <c r="C162" s="251" t="s">
        <v>635</v>
      </c>
    </row>
    <row r="163" spans="1:3" x14ac:dyDescent="0.25">
      <c r="A163" s="16">
        <v>10</v>
      </c>
      <c r="B163" s="16">
        <v>25</v>
      </c>
      <c r="C163" s="251" t="s">
        <v>665</v>
      </c>
    </row>
    <row r="164" spans="1:3" x14ac:dyDescent="0.25">
      <c r="A164" s="16">
        <v>10</v>
      </c>
      <c r="B164" s="16">
        <v>26</v>
      </c>
      <c r="C164" s="251" t="s">
        <v>637</v>
      </c>
    </row>
    <row r="165" spans="1:3" x14ac:dyDescent="0.25">
      <c r="A165" s="16">
        <v>10</v>
      </c>
      <c r="B165" s="16">
        <v>27</v>
      </c>
      <c r="C165" s="251" t="s">
        <v>638</v>
      </c>
    </row>
    <row r="166" spans="1:3" x14ac:dyDescent="0.25">
      <c r="A166" s="3"/>
      <c r="B166" s="3"/>
      <c r="C166" s="3"/>
    </row>
    <row r="167" spans="1:3" ht="15.75" x14ac:dyDescent="0.25">
      <c r="A167" s="52" t="s">
        <v>59</v>
      </c>
      <c r="B167" s="52" t="s">
        <v>57</v>
      </c>
      <c r="C167" s="54" t="s">
        <v>537</v>
      </c>
    </row>
    <row r="168" spans="1:3" x14ac:dyDescent="0.25">
      <c r="A168" s="16">
        <v>11</v>
      </c>
      <c r="B168" s="16">
        <v>1</v>
      </c>
      <c r="C168" s="251" t="s">
        <v>645</v>
      </c>
    </row>
    <row r="169" spans="1:3" x14ac:dyDescent="0.25">
      <c r="A169" s="16">
        <v>11</v>
      </c>
      <c r="B169" s="16">
        <v>2</v>
      </c>
      <c r="C169" s="251" t="s">
        <v>649</v>
      </c>
    </row>
    <row r="170" spans="1:3" x14ac:dyDescent="0.25">
      <c r="A170" s="16">
        <v>11</v>
      </c>
      <c r="B170" s="16">
        <v>3</v>
      </c>
      <c r="C170" s="251" t="s">
        <v>666</v>
      </c>
    </row>
    <row r="171" spans="1:3" x14ac:dyDescent="0.25">
      <c r="A171" s="16">
        <v>11</v>
      </c>
      <c r="B171" s="16">
        <v>4</v>
      </c>
      <c r="C171" s="251" t="s">
        <v>650</v>
      </c>
    </row>
    <row r="172" spans="1:3" x14ac:dyDescent="0.25">
      <c r="A172" s="16">
        <v>11</v>
      </c>
      <c r="B172" s="16">
        <v>5</v>
      </c>
      <c r="C172" s="251" t="s">
        <v>670</v>
      </c>
    </row>
    <row r="173" spans="1:3" x14ac:dyDescent="0.25">
      <c r="A173" s="16">
        <v>11</v>
      </c>
      <c r="B173" s="16">
        <v>6</v>
      </c>
      <c r="C173" s="251" t="s">
        <v>679</v>
      </c>
    </row>
    <row r="174" spans="1:3" x14ac:dyDescent="0.25">
      <c r="A174" s="16">
        <v>11</v>
      </c>
      <c r="B174" s="16">
        <v>7</v>
      </c>
      <c r="C174" s="251" t="s">
        <v>651</v>
      </c>
    </row>
    <row r="175" spans="1:3" x14ac:dyDescent="0.25">
      <c r="A175" s="16">
        <v>11</v>
      </c>
      <c r="B175" s="16">
        <v>8</v>
      </c>
      <c r="C175" s="251" t="s">
        <v>652</v>
      </c>
    </row>
    <row r="176" spans="1:3" x14ac:dyDescent="0.25">
      <c r="A176" s="16">
        <v>11</v>
      </c>
      <c r="B176" s="16">
        <v>9</v>
      </c>
      <c r="C176" s="251" t="s">
        <v>653</v>
      </c>
    </row>
    <row r="177" spans="1:3" x14ac:dyDescent="0.25">
      <c r="A177" s="16">
        <v>11</v>
      </c>
      <c r="B177" s="16">
        <v>10</v>
      </c>
      <c r="C177" s="251" t="s">
        <v>654</v>
      </c>
    </row>
    <row r="178" spans="1:3" x14ac:dyDescent="0.25">
      <c r="A178" s="16">
        <v>11</v>
      </c>
      <c r="B178" s="16">
        <v>11</v>
      </c>
      <c r="C178" s="251" t="s">
        <v>655</v>
      </c>
    </row>
    <row r="179" spans="1:3" x14ac:dyDescent="0.25">
      <c r="A179" s="16">
        <v>11</v>
      </c>
      <c r="B179" s="16">
        <v>12</v>
      </c>
      <c r="C179" s="251" t="s">
        <v>656</v>
      </c>
    </row>
    <row r="180" spans="1:3" x14ac:dyDescent="0.25">
      <c r="A180" s="16">
        <v>11</v>
      </c>
      <c r="B180" s="16">
        <v>13</v>
      </c>
      <c r="C180" s="251" t="s">
        <v>657</v>
      </c>
    </row>
    <row r="181" spans="1:3" x14ac:dyDescent="0.25">
      <c r="A181" s="16">
        <v>11</v>
      </c>
      <c r="B181" s="16">
        <v>14</v>
      </c>
      <c r="C181" s="251" t="s">
        <v>658</v>
      </c>
    </row>
    <row r="182" spans="1:3" x14ac:dyDescent="0.25">
      <c r="A182" s="16">
        <v>11</v>
      </c>
      <c r="B182" s="16">
        <v>15</v>
      </c>
      <c r="C182" s="251" t="s">
        <v>659</v>
      </c>
    </row>
    <row r="183" spans="1:3" x14ac:dyDescent="0.25">
      <c r="A183" s="16">
        <v>11</v>
      </c>
      <c r="B183" s="16">
        <v>16</v>
      </c>
      <c r="C183" s="251" t="s">
        <v>538</v>
      </c>
    </row>
    <row r="184" spans="1:3" x14ac:dyDescent="0.25">
      <c r="A184" s="3"/>
      <c r="B184" s="3"/>
      <c r="C184" s="3"/>
    </row>
    <row r="185" spans="1:3" x14ac:dyDescent="0.25">
      <c r="A185" s="52" t="s">
        <v>59</v>
      </c>
      <c r="B185" s="52" t="s">
        <v>57</v>
      </c>
      <c r="C185" s="53" t="s">
        <v>121</v>
      </c>
    </row>
    <row r="186" spans="1:3" x14ac:dyDescent="0.25">
      <c r="A186" s="16">
        <v>12</v>
      </c>
      <c r="B186" s="16">
        <v>1</v>
      </c>
      <c r="C186" s="251" t="s">
        <v>539</v>
      </c>
    </row>
    <row r="187" spans="1:3" x14ac:dyDescent="0.25">
      <c r="A187" s="15"/>
      <c r="B187" s="15"/>
    </row>
    <row r="188" spans="1:3" x14ac:dyDescent="0.25">
      <c r="A188" s="56" t="s">
        <v>680</v>
      </c>
      <c r="B188" s="15"/>
    </row>
    <row r="189" spans="1:3" x14ac:dyDescent="0.25">
      <c r="A189" s="3"/>
      <c r="B189" s="3"/>
      <c r="C189" s="3"/>
    </row>
    <row r="190" spans="1:3" x14ac:dyDescent="0.25">
      <c r="A190" s="3"/>
      <c r="B190" s="3"/>
      <c r="C190" s="3"/>
    </row>
    <row r="191" spans="1:3" x14ac:dyDescent="0.25">
      <c r="A191" s="3"/>
      <c r="B191" s="3"/>
      <c r="C191" s="3"/>
    </row>
    <row r="192" spans="1:3" x14ac:dyDescent="0.25">
      <c r="A192" s="3"/>
      <c r="B192" s="3"/>
      <c r="C192" s="3"/>
    </row>
    <row r="193" s="3" customFormat="1" x14ac:dyDescent="0.25"/>
    <row r="194" s="3" customFormat="1" x14ac:dyDescent="0.25"/>
    <row r="195" s="3" customFormat="1" x14ac:dyDescent="0.25"/>
    <row r="196" s="3" customFormat="1" x14ac:dyDescent="0.25"/>
    <row r="197" s="3" customFormat="1" x14ac:dyDescent="0.25"/>
    <row r="198" s="3" customFormat="1" x14ac:dyDescent="0.25"/>
    <row r="199" s="3" customFormat="1" x14ac:dyDescent="0.25"/>
    <row r="200" s="3" customFormat="1" x14ac:dyDescent="0.25"/>
    <row r="201" s="3" customFormat="1" x14ac:dyDescent="0.25"/>
    <row r="202" s="3" customFormat="1" x14ac:dyDescent="0.25"/>
    <row r="203" s="3" customFormat="1" x14ac:dyDescent="0.25"/>
    <row r="204" s="3" customFormat="1" x14ac:dyDescent="0.25"/>
    <row r="205" s="3" customFormat="1" x14ac:dyDescent="0.25"/>
    <row r="206" s="3" customFormat="1" x14ac:dyDescent="0.25"/>
    <row r="207" s="3" customFormat="1" x14ac:dyDescent="0.25"/>
    <row r="208" s="3" customFormat="1" x14ac:dyDescent="0.25"/>
    <row r="209" s="3" customFormat="1" x14ac:dyDescent="0.25"/>
    <row r="210" s="3" customFormat="1" x14ac:dyDescent="0.25"/>
    <row r="211" s="3" customFormat="1" x14ac:dyDescent="0.25"/>
    <row r="212" s="3" customFormat="1" x14ac:dyDescent="0.25"/>
    <row r="213" s="3" customFormat="1" x14ac:dyDescent="0.25"/>
    <row r="214" s="3" customFormat="1" x14ac:dyDescent="0.25"/>
    <row r="215" s="3" customFormat="1" x14ac:dyDescent="0.25"/>
    <row r="216" s="3" customFormat="1" x14ac:dyDescent="0.25"/>
    <row r="217" s="3" customFormat="1" x14ac:dyDescent="0.25"/>
    <row r="218" s="3" customFormat="1" x14ac:dyDescent="0.25"/>
    <row r="219" s="3" customFormat="1" x14ac:dyDescent="0.25"/>
    <row r="220" s="3" customFormat="1" x14ac:dyDescent="0.25"/>
    <row r="221" s="3" customFormat="1" x14ac:dyDescent="0.25"/>
    <row r="222" s="3" customFormat="1" x14ac:dyDescent="0.25"/>
    <row r="223" s="3" customFormat="1" x14ac:dyDescent="0.25"/>
    <row r="224" s="3" customFormat="1" x14ac:dyDescent="0.25"/>
    <row r="225" s="3" customFormat="1" x14ac:dyDescent="0.25"/>
    <row r="226" s="3" customFormat="1" x14ac:dyDescent="0.25"/>
    <row r="227" s="3" customFormat="1" x14ac:dyDescent="0.25"/>
    <row r="228" s="3" customFormat="1" x14ac:dyDescent="0.25"/>
    <row r="229" s="3" customFormat="1" x14ac:dyDescent="0.25"/>
    <row r="230" s="3" customFormat="1" x14ac:dyDescent="0.25"/>
    <row r="231" s="3" customFormat="1" x14ac:dyDescent="0.25"/>
    <row r="232" s="3" customFormat="1" x14ac:dyDescent="0.25"/>
    <row r="233" s="3" customFormat="1" x14ac:dyDescent="0.25"/>
    <row r="234" s="3" customFormat="1" x14ac:dyDescent="0.25"/>
    <row r="235" s="3" customFormat="1" x14ac:dyDescent="0.25"/>
    <row r="236" s="3" customFormat="1" x14ac:dyDescent="0.25"/>
    <row r="237" s="3" customFormat="1" x14ac:dyDescent="0.25"/>
    <row r="238" s="3" customFormat="1" x14ac:dyDescent="0.25"/>
    <row r="239" s="3" customFormat="1" x14ac:dyDescent="0.25"/>
    <row r="240" s="3" customFormat="1" x14ac:dyDescent="0.25"/>
    <row r="241" s="3" customFormat="1" x14ac:dyDescent="0.25"/>
    <row r="242" s="3" customFormat="1" x14ac:dyDescent="0.25"/>
    <row r="243" s="3" customFormat="1" x14ac:dyDescent="0.25"/>
    <row r="244" s="3" customFormat="1" x14ac:dyDescent="0.25"/>
    <row r="245" s="3" customFormat="1" x14ac:dyDescent="0.25"/>
    <row r="246" s="3" customFormat="1" x14ac:dyDescent="0.25"/>
    <row r="247" s="3" customFormat="1" x14ac:dyDescent="0.25"/>
    <row r="248" s="3" customFormat="1" x14ac:dyDescent="0.25"/>
    <row r="249" s="3" customFormat="1" x14ac:dyDescent="0.25"/>
    <row r="250" s="3" customFormat="1" x14ac:dyDescent="0.25"/>
    <row r="251" s="3" customFormat="1" x14ac:dyDescent="0.25"/>
    <row r="252" s="3" customFormat="1" x14ac:dyDescent="0.25"/>
    <row r="253" s="3" customFormat="1" x14ac:dyDescent="0.25"/>
    <row r="254" s="3" customFormat="1" x14ac:dyDescent="0.25"/>
    <row r="255" s="3" customFormat="1" x14ac:dyDescent="0.25"/>
    <row r="256" s="3" customFormat="1" x14ac:dyDescent="0.25"/>
    <row r="257" s="3" customFormat="1" x14ac:dyDescent="0.25"/>
    <row r="258" s="3" customFormat="1" x14ac:dyDescent="0.25"/>
    <row r="259" s="3" customFormat="1" x14ac:dyDescent="0.25"/>
    <row r="260" s="3" customFormat="1" x14ac:dyDescent="0.25"/>
    <row r="261" s="3" customFormat="1" x14ac:dyDescent="0.25"/>
    <row r="262" s="3" customFormat="1" x14ac:dyDescent="0.25"/>
    <row r="263" s="3" customFormat="1" x14ac:dyDescent="0.25"/>
    <row r="264" s="3" customFormat="1" x14ac:dyDescent="0.25"/>
    <row r="265" s="3" customFormat="1" x14ac:dyDescent="0.25"/>
    <row r="266" s="3" customFormat="1" x14ac:dyDescent="0.25"/>
    <row r="267" s="3" customFormat="1" x14ac:dyDescent="0.25"/>
    <row r="268" s="3" customFormat="1" x14ac:dyDescent="0.25"/>
    <row r="269" s="3" customFormat="1" x14ac:dyDescent="0.25"/>
    <row r="270" s="3" customFormat="1" x14ac:dyDescent="0.25"/>
    <row r="271" s="3" customFormat="1" x14ac:dyDescent="0.25"/>
    <row r="272" s="3" customFormat="1" x14ac:dyDescent="0.25"/>
    <row r="273" s="3" customFormat="1" x14ac:dyDescent="0.25"/>
    <row r="274" s="3" customFormat="1" x14ac:dyDescent="0.25"/>
    <row r="275" s="3" customFormat="1" x14ac:dyDescent="0.25"/>
    <row r="276" s="3" customFormat="1" x14ac:dyDescent="0.25"/>
    <row r="277" s="3" customFormat="1" x14ac:dyDescent="0.25"/>
    <row r="278" s="3" customFormat="1" x14ac:dyDescent="0.25"/>
    <row r="279" s="3" customFormat="1" x14ac:dyDescent="0.25"/>
    <row r="280" s="3" customFormat="1" x14ac:dyDescent="0.25"/>
    <row r="281" s="3" customFormat="1" x14ac:dyDescent="0.25"/>
    <row r="282" s="3" customFormat="1" x14ac:dyDescent="0.25"/>
    <row r="283" s="3" customFormat="1" x14ac:dyDescent="0.25"/>
    <row r="284" s="3" customFormat="1" x14ac:dyDescent="0.25"/>
    <row r="285" s="3" customFormat="1" x14ac:dyDescent="0.25"/>
    <row r="286" s="3" customFormat="1" x14ac:dyDescent="0.25"/>
    <row r="287" s="3" customFormat="1" x14ac:dyDescent="0.25"/>
    <row r="288" s="3" customFormat="1" x14ac:dyDescent="0.25"/>
    <row r="289" s="3" customFormat="1" x14ac:dyDescent="0.25"/>
    <row r="290" s="3" customFormat="1" x14ac:dyDescent="0.25"/>
    <row r="291" s="3" customFormat="1" x14ac:dyDescent="0.25"/>
    <row r="292" s="3" customFormat="1" x14ac:dyDescent="0.25"/>
    <row r="293" s="3" customFormat="1" x14ac:dyDescent="0.25"/>
    <row r="294" s="3" customFormat="1" x14ac:dyDescent="0.25"/>
    <row r="295" s="3" customFormat="1" x14ac:dyDescent="0.25"/>
    <row r="296" s="3" customFormat="1" x14ac:dyDescent="0.25"/>
    <row r="297" s="3" customFormat="1" x14ac:dyDescent="0.25"/>
    <row r="298" s="3" customFormat="1" x14ac:dyDescent="0.25"/>
    <row r="299" s="3" customFormat="1" x14ac:dyDescent="0.25"/>
    <row r="300" s="3" customFormat="1" x14ac:dyDescent="0.25"/>
    <row r="301" s="3" customFormat="1" x14ac:dyDescent="0.25"/>
    <row r="302" s="3" customFormat="1" x14ac:dyDescent="0.25"/>
    <row r="303" s="3" customFormat="1" x14ac:dyDescent="0.25"/>
    <row r="304" s="3" customFormat="1" x14ac:dyDescent="0.25"/>
    <row r="305" s="3" customFormat="1" x14ac:dyDescent="0.25"/>
    <row r="306" s="3" customFormat="1" x14ac:dyDescent="0.25"/>
    <row r="307" s="3" customFormat="1" x14ac:dyDescent="0.25"/>
    <row r="308" s="3" customFormat="1" x14ac:dyDescent="0.25"/>
    <row r="309" s="3" customFormat="1" x14ac:dyDescent="0.25"/>
    <row r="310" s="3" customFormat="1" x14ac:dyDescent="0.25"/>
    <row r="311" s="3" customFormat="1" x14ac:dyDescent="0.25"/>
    <row r="312" s="3" customFormat="1" x14ac:dyDescent="0.25"/>
    <row r="313" s="3" customFormat="1" x14ac:dyDescent="0.25"/>
    <row r="314" s="3" customFormat="1" x14ac:dyDescent="0.25"/>
    <row r="315" s="3" customFormat="1" x14ac:dyDescent="0.25"/>
    <row r="316" s="3" customFormat="1" x14ac:dyDescent="0.25"/>
    <row r="317" s="3" customFormat="1" x14ac:dyDescent="0.25"/>
    <row r="318" s="3" customFormat="1" x14ac:dyDescent="0.25"/>
    <row r="319" s="3" customFormat="1" x14ac:dyDescent="0.25"/>
    <row r="320" s="3" customFormat="1" x14ac:dyDescent="0.25"/>
    <row r="321" s="3" customFormat="1" x14ac:dyDescent="0.25"/>
    <row r="322" s="3" customFormat="1" x14ac:dyDescent="0.25"/>
    <row r="323" s="3" customFormat="1" x14ac:dyDescent="0.25"/>
    <row r="324" s="3" customFormat="1" x14ac:dyDescent="0.25"/>
    <row r="325" s="3" customFormat="1" x14ac:dyDescent="0.25"/>
    <row r="326" s="3" customFormat="1" x14ac:dyDescent="0.25"/>
    <row r="327" s="3" customFormat="1" x14ac:dyDescent="0.25"/>
    <row r="328" s="3" customFormat="1" x14ac:dyDescent="0.25"/>
    <row r="329" s="3" customFormat="1" x14ac:dyDescent="0.25"/>
    <row r="330" s="3" customFormat="1" x14ac:dyDescent="0.25"/>
    <row r="331" s="3" customFormat="1" x14ac:dyDescent="0.25"/>
    <row r="332" s="3" customFormat="1" x14ac:dyDescent="0.25"/>
    <row r="333" s="3" customFormat="1" x14ac:dyDescent="0.25"/>
    <row r="334" s="3" customFormat="1" x14ac:dyDescent="0.25"/>
    <row r="335" s="3" customFormat="1" x14ac:dyDescent="0.25"/>
    <row r="336" s="3" customFormat="1" x14ac:dyDescent="0.25"/>
    <row r="337" s="3" customFormat="1" x14ac:dyDescent="0.25"/>
    <row r="338" s="3" customFormat="1" x14ac:dyDescent="0.25"/>
    <row r="339" s="3" customFormat="1" x14ac:dyDescent="0.25"/>
    <row r="340" s="3" customFormat="1" x14ac:dyDescent="0.25"/>
    <row r="341" s="3" customFormat="1" x14ac:dyDescent="0.25"/>
    <row r="342" s="3" customFormat="1" x14ac:dyDescent="0.25"/>
    <row r="343" s="3" customFormat="1" x14ac:dyDescent="0.25"/>
    <row r="344" s="3" customFormat="1" x14ac:dyDescent="0.25"/>
    <row r="345" s="3" customFormat="1" x14ac:dyDescent="0.25"/>
    <row r="346" s="3" customFormat="1" x14ac:dyDescent="0.25"/>
    <row r="347" s="3" customFormat="1" x14ac:dyDescent="0.25"/>
    <row r="348" s="3" customFormat="1" x14ac:dyDescent="0.25"/>
    <row r="349" s="3" customFormat="1" x14ac:dyDescent="0.25"/>
    <row r="350" s="3" customFormat="1" x14ac:dyDescent="0.25"/>
    <row r="351" s="3" customFormat="1" x14ac:dyDescent="0.25"/>
    <row r="352" s="3" customFormat="1" x14ac:dyDescent="0.25"/>
    <row r="353" s="3" customFormat="1" x14ac:dyDescent="0.25"/>
    <row r="354" s="3" customFormat="1" x14ac:dyDescent="0.25"/>
    <row r="355" s="3" customFormat="1" x14ac:dyDescent="0.25"/>
    <row r="356" s="3" customFormat="1" x14ac:dyDescent="0.25"/>
    <row r="357" s="3" customFormat="1" x14ac:dyDescent="0.25"/>
    <row r="358" s="3" customFormat="1" x14ac:dyDescent="0.25"/>
    <row r="359" s="3" customFormat="1" x14ac:dyDescent="0.25"/>
    <row r="360" s="3" customFormat="1" x14ac:dyDescent="0.25"/>
    <row r="361" s="3" customFormat="1" x14ac:dyDescent="0.25"/>
    <row r="362" s="3" customFormat="1" x14ac:dyDescent="0.25"/>
    <row r="363" s="3" customFormat="1" x14ac:dyDescent="0.25"/>
    <row r="364" s="3" customFormat="1" x14ac:dyDescent="0.25"/>
    <row r="365" s="3" customFormat="1" x14ac:dyDescent="0.25"/>
    <row r="366" s="3" customFormat="1" x14ac:dyDescent="0.25"/>
    <row r="367" s="3" customFormat="1" x14ac:dyDescent="0.25"/>
    <row r="368" s="3" customFormat="1" x14ac:dyDescent="0.25"/>
    <row r="369" s="3" customFormat="1" x14ac:dyDescent="0.25"/>
    <row r="370" s="3" customFormat="1" x14ac:dyDescent="0.25"/>
    <row r="371" s="3" customFormat="1" x14ac:dyDescent="0.25"/>
    <row r="372" s="3" customFormat="1" x14ac:dyDescent="0.25"/>
    <row r="373" s="3" customFormat="1" x14ac:dyDescent="0.25"/>
    <row r="374" s="3" customFormat="1" x14ac:dyDescent="0.25"/>
    <row r="375" s="3" customFormat="1" x14ac:dyDescent="0.25"/>
    <row r="376" s="3" customFormat="1" x14ac:dyDescent="0.25"/>
    <row r="377" s="3" customFormat="1" x14ac:dyDescent="0.25"/>
    <row r="378" s="3" customFormat="1" x14ac:dyDescent="0.25"/>
    <row r="379" s="3" customFormat="1" x14ac:dyDescent="0.25"/>
    <row r="380" s="3" customFormat="1" x14ac:dyDescent="0.25"/>
    <row r="381" s="3" customFormat="1" x14ac:dyDescent="0.25"/>
    <row r="382" s="3" customFormat="1" x14ac:dyDescent="0.25"/>
    <row r="383" s="3" customFormat="1" x14ac:dyDescent="0.25"/>
    <row r="384" s="3" customFormat="1" x14ac:dyDescent="0.25"/>
    <row r="385" s="3" customFormat="1" x14ac:dyDescent="0.25"/>
    <row r="386" s="3" customFormat="1" x14ac:dyDescent="0.25"/>
    <row r="387" s="3" customFormat="1" x14ac:dyDescent="0.25"/>
    <row r="388" s="3" customFormat="1" x14ac:dyDescent="0.25"/>
    <row r="389" s="3" customFormat="1" x14ac:dyDescent="0.25"/>
    <row r="390" s="3" customFormat="1" x14ac:dyDescent="0.25"/>
    <row r="391" s="3" customFormat="1" x14ac:dyDescent="0.25"/>
    <row r="392" s="3" customFormat="1" x14ac:dyDescent="0.25"/>
    <row r="393" s="3" customFormat="1" x14ac:dyDescent="0.25"/>
    <row r="394" s="3" customFormat="1" x14ac:dyDescent="0.25"/>
    <row r="395" s="3" customFormat="1" x14ac:dyDescent="0.25"/>
    <row r="396" s="3" customFormat="1" x14ac:dyDescent="0.25"/>
    <row r="397" s="3" customFormat="1" x14ac:dyDescent="0.25"/>
    <row r="398" s="3" customFormat="1" x14ac:dyDescent="0.25"/>
    <row r="399" s="3" customFormat="1" x14ac:dyDescent="0.25"/>
    <row r="400" s="3" customFormat="1" x14ac:dyDescent="0.25"/>
    <row r="401" s="3" customFormat="1" x14ac:dyDescent="0.25"/>
    <row r="402" s="3" customFormat="1" x14ac:dyDescent="0.25"/>
    <row r="403" s="3" customFormat="1" x14ac:dyDescent="0.25"/>
    <row r="404" s="3" customFormat="1" x14ac:dyDescent="0.25"/>
    <row r="405" s="3" customFormat="1" x14ac:dyDescent="0.25"/>
    <row r="406" s="3" customFormat="1" x14ac:dyDescent="0.25"/>
    <row r="407" s="3" customFormat="1" x14ac:dyDescent="0.25"/>
    <row r="408" s="3" customFormat="1" x14ac:dyDescent="0.25"/>
    <row r="409" s="3" customFormat="1" x14ac:dyDescent="0.25"/>
    <row r="410" s="3" customFormat="1" x14ac:dyDescent="0.25"/>
    <row r="411" s="3" customFormat="1" x14ac:dyDescent="0.25"/>
    <row r="412" s="3" customFormat="1" x14ac:dyDescent="0.25"/>
    <row r="413" s="3" customFormat="1" x14ac:dyDescent="0.25"/>
    <row r="414" s="3" customFormat="1" x14ac:dyDescent="0.25"/>
    <row r="415" s="3" customFormat="1" x14ac:dyDescent="0.25"/>
    <row r="416" s="3" customFormat="1" x14ac:dyDescent="0.25"/>
    <row r="417" s="3" customFormat="1" x14ac:dyDescent="0.25"/>
    <row r="418" s="3" customFormat="1" x14ac:dyDescent="0.25"/>
    <row r="419" s="3" customFormat="1" x14ac:dyDescent="0.25"/>
    <row r="420" s="3" customFormat="1" x14ac:dyDescent="0.25"/>
    <row r="421" s="3" customFormat="1" x14ac:dyDescent="0.25"/>
    <row r="422" s="3" customFormat="1" x14ac:dyDescent="0.25"/>
    <row r="423" s="3" customFormat="1" x14ac:dyDescent="0.25"/>
    <row r="424" s="3" customFormat="1" x14ac:dyDescent="0.25"/>
    <row r="425" s="3" customFormat="1" x14ac:dyDescent="0.25"/>
    <row r="426" s="3" customFormat="1" x14ac:dyDescent="0.25"/>
    <row r="427" s="3" customFormat="1" x14ac:dyDescent="0.25"/>
    <row r="428" s="3" customFormat="1" x14ac:dyDescent="0.25"/>
    <row r="429" s="3" customFormat="1" x14ac:dyDescent="0.25"/>
    <row r="430" s="3" customFormat="1" x14ac:dyDescent="0.25"/>
    <row r="431" s="3" customFormat="1" x14ac:dyDescent="0.25"/>
    <row r="432" s="3" customFormat="1" x14ac:dyDescent="0.25"/>
    <row r="433" s="3" customFormat="1" x14ac:dyDescent="0.25"/>
    <row r="434" s="3" customFormat="1" x14ac:dyDescent="0.25"/>
    <row r="435" s="3" customFormat="1" x14ac:dyDescent="0.25"/>
    <row r="436" s="3" customFormat="1" x14ac:dyDescent="0.25"/>
    <row r="437" s="3" customFormat="1" x14ac:dyDescent="0.25"/>
    <row r="438" s="3" customFormat="1" x14ac:dyDescent="0.25"/>
    <row r="439" s="3" customFormat="1" x14ac:dyDescent="0.25"/>
    <row r="440" s="3" customFormat="1" x14ac:dyDescent="0.25"/>
    <row r="441" s="3" customFormat="1" x14ac:dyDescent="0.25"/>
    <row r="442" s="3" customFormat="1" x14ac:dyDescent="0.25"/>
    <row r="443" s="3" customFormat="1" x14ac:dyDescent="0.25"/>
    <row r="444" s="3" customFormat="1" x14ac:dyDescent="0.25"/>
    <row r="445" s="3" customFormat="1" x14ac:dyDescent="0.25"/>
    <row r="446" s="3" customFormat="1" x14ac:dyDescent="0.25"/>
    <row r="447" s="3" customFormat="1" x14ac:dyDescent="0.25"/>
    <row r="448" s="3" customFormat="1" x14ac:dyDescent="0.25"/>
    <row r="449" s="3" customFormat="1" x14ac:dyDescent="0.25"/>
    <row r="450" s="3" customFormat="1" x14ac:dyDescent="0.25"/>
    <row r="451" s="3" customFormat="1" x14ac:dyDescent="0.25"/>
    <row r="452" s="3" customFormat="1" x14ac:dyDescent="0.25"/>
    <row r="453" s="3" customFormat="1" x14ac:dyDescent="0.25"/>
    <row r="454" s="3" customFormat="1" x14ac:dyDescent="0.25"/>
    <row r="455" s="3" customFormat="1" x14ac:dyDescent="0.25"/>
    <row r="456" s="3" customFormat="1" x14ac:dyDescent="0.25"/>
    <row r="457" s="3" customFormat="1" x14ac:dyDescent="0.25"/>
    <row r="458" s="3" customFormat="1" x14ac:dyDescent="0.25"/>
    <row r="459" s="3" customFormat="1" x14ac:dyDescent="0.25"/>
    <row r="460" s="3" customFormat="1" x14ac:dyDescent="0.25"/>
    <row r="461" s="3" customFormat="1" x14ac:dyDescent="0.25"/>
    <row r="462" s="3" customFormat="1" x14ac:dyDescent="0.25"/>
    <row r="463" s="3" customFormat="1" x14ac:dyDescent="0.25"/>
    <row r="464" s="3" customFormat="1" x14ac:dyDescent="0.25"/>
    <row r="465" s="3" customFormat="1" x14ac:dyDescent="0.25"/>
    <row r="466" s="3" customFormat="1" x14ac:dyDescent="0.25"/>
    <row r="467" s="3" customFormat="1" x14ac:dyDescent="0.25"/>
    <row r="468" s="3" customFormat="1" x14ac:dyDescent="0.25"/>
    <row r="469" s="3" customFormat="1" x14ac:dyDescent="0.25"/>
    <row r="470" s="3" customFormat="1" x14ac:dyDescent="0.25"/>
    <row r="471" s="3" customFormat="1" x14ac:dyDescent="0.25"/>
    <row r="472" s="3" customFormat="1" x14ac:dyDescent="0.25"/>
    <row r="473" s="3" customFormat="1" x14ac:dyDescent="0.25"/>
    <row r="474" s="3" customFormat="1" x14ac:dyDescent="0.25"/>
    <row r="475" s="3" customFormat="1" x14ac:dyDescent="0.25"/>
    <row r="476" s="3" customFormat="1" x14ac:dyDescent="0.25"/>
    <row r="477" s="3" customFormat="1" x14ac:dyDescent="0.25"/>
    <row r="478" s="3" customFormat="1" x14ac:dyDescent="0.25"/>
    <row r="479" s="3" customFormat="1" x14ac:dyDescent="0.25"/>
  </sheetData>
  <mergeCells count="1">
    <mergeCell ref="C1:C2"/>
  </mergeCells>
  <hyperlinks>
    <hyperlink ref="C132:C136" location="'Evolución Matrícula Postítulo'!A43" display="Evolución de Matrícula Total de Postítulo por tipo de institución" xr:uid="{00000000-0004-0000-0000-000007000000}"/>
    <hyperlink ref="C132" location="'Evolución Matrícula Postítulo'!A4" display="Evolución de Matrícula Total de Postítulo por tipo de institución" xr:uid="{00000000-0004-0000-0000-000070000000}"/>
    <hyperlink ref="C133" location="'Evolución Matrícula Postítulo'!A11" display="Evolución de Matrícula Total de Postítulo por tipo de institución 2" xr:uid="{00000000-0004-0000-0000-000071000000}"/>
    <hyperlink ref="C134" location="'Evolución Matrícula Postítulo'!A23" display="Evolución de Matrícula Total de Postítulo por tipo de programa" xr:uid="{00000000-0004-0000-0000-000072000000}"/>
    <hyperlink ref="C135" location="'Evolución Matrícula Postítulo'!A30" display="Evolución de Matrícula Total de Postítulo por tipo de institución y programa" xr:uid="{00000000-0004-0000-0000-000073000000}"/>
    <hyperlink ref="C136" location="'Evolución Matrícula Postítulo'!A43" display="Evolución de Matrícula Total de Postítulo por tipo de programa y jornada" xr:uid="{00000000-0004-0000-0000-000074000000}"/>
    <hyperlink ref="C8:C14" location="'Matrícula Total 2025'!A1" display="Matrícula Total 2025 por tipo de institución y nivel de formación" xr:uid="{A8898AE2-4E2A-450B-A587-8579D741F3A4}"/>
    <hyperlink ref="C17:C25" location="'Evolución Matrícula Pregrado'!A1" display="Evolución de Matrícula Total por nivel de formación" xr:uid="{02645522-4337-4E96-92B1-6ED32E55A6CA}"/>
    <hyperlink ref="C28:C40" location="'Matrícula Pregrado 2025'!A1" display="Matrícula Total 2025 de Pregrado por sexo y tipo de institución " xr:uid="{3F18633F-1395-4F3B-8A2F-161B35D4F237}"/>
    <hyperlink ref="C43:C98" location="'Evolución Matrícula Pregrado'!A1" display="Evolución de Matrícula Total de Pregrado por tipo de institución" xr:uid="{699440CC-CBAD-4FF7-90BA-A1556261D477}"/>
    <hyperlink ref="C102:C110" location="'Matrícula Posgrado 2025'!A1" display="Matrícula Total 2025 de Posgrado por tipo de universidad y programa " xr:uid="{E1D9AE27-9C41-4E0C-823E-FF4B9747CDAA}"/>
    <hyperlink ref="C113:C120" location="'Evolución Matrícula Posgrado'!A1" display="Evolución de Matrícula Total de Posgrado por tipo de universidad " xr:uid="{E449388B-2BDD-4128-8D32-F7D1168B5F59}"/>
    <hyperlink ref="C123:C129" location="'Matrícula Postitulo 2025'!A1" display="Matrícula Total 2025 de Postítulo por tipo de institución y tipo de programa " xr:uid="{15D9883A-5CB4-4B3B-A609-69927D5E7CFD}"/>
    <hyperlink ref="C168:C183" location="'Matrícula con Discapacidad'!A1" display="Matricula Total 2025 de personas con discapacidad por tipo de discapacidad y nivel de formación" xr:uid="{6A958C58-AA5A-44B7-8FF4-CE524881ECF8}"/>
    <hyperlink ref="C139:C165" location="'Matrícula PPOO'!A1" display="Matrícula Total 2025 de pueblos originarios y nivel global" xr:uid="{90F7AEBB-017E-4BBD-B27D-0EBF933EE194}"/>
    <hyperlink ref="C173" location="'Matrícula con Discapacidad'!A1" display="Matricula Total 2025 de personas con discapacidad por tipo de discapacidad y nivel de formación" xr:uid="{07594F4F-586D-4850-A868-D4675C661FC2}"/>
    <hyperlink ref="C186" location="'Listado de instituciones 2025'!A1" display="Listado instituciones con datos Matrícula 2025" xr:uid="{4E204814-387A-4C63-8AF1-B6FDE6642A1B}"/>
  </hyperlinks>
  <pageMargins left="0.70866141732283472" right="0.70866141732283472" top="0.74803149606299213" bottom="0.74803149606299213" header="0.31496062992125984" footer="0.31496062992125984"/>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G493"/>
  <sheetViews>
    <sheetView showGridLines="0" zoomScaleNormal="100" workbookViewId="0">
      <pane ySplit="2" topLeftCell="A3" activePane="bottomLeft" state="frozen"/>
      <selection pane="bottomLeft"/>
    </sheetView>
  </sheetViews>
  <sheetFormatPr baseColWidth="10" defaultColWidth="10.85546875" defaultRowHeight="15" x14ac:dyDescent="0.25"/>
  <cols>
    <col min="1" max="1" width="42.140625" style="15" customWidth="1"/>
    <col min="2" max="5" width="17.5703125" style="15" customWidth="1"/>
    <col min="6" max="6" width="15.42578125" style="3" customWidth="1"/>
    <col min="7" max="16384" width="10.85546875" style="3"/>
  </cols>
  <sheetData>
    <row r="1" spans="1:5" ht="21" x14ac:dyDescent="0.25">
      <c r="A1" s="64" t="s">
        <v>495</v>
      </c>
      <c r="B1" s="3"/>
      <c r="C1" s="3"/>
      <c r="D1" s="3"/>
      <c r="E1" s="3"/>
    </row>
    <row r="2" spans="1:5" ht="32.25" customHeight="1" x14ac:dyDescent="0.25">
      <c r="A2" s="3" t="s">
        <v>284</v>
      </c>
      <c r="B2" s="3"/>
      <c r="C2" s="3"/>
      <c r="D2" s="3"/>
      <c r="E2" s="3"/>
    </row>
    <row r="3" spans="1:5" x14ac:dyDescent="0.25">
      <c r="A3" s="3"/>
      <c r="B3" s="3"/>
      <c r="C3" s="3"/>
      <c r="D3" s="3"/>
      <c r="E3" s="3"/>
    </row>
    <row r="4" spans="1:5" ht="15.75" x14ac:dyDescent="0.25">
      <c r="A4" s="22" t="s">
        <v>540</v>
      </c>
      <c r="B4" s="3"/>
      <c r="C4" s="3"/>
      <c r="D4" s="3"/>
      <c r="E4" s="3"/>
    </row>
    <row r="5" spans="1:5" x14ac:dyDescent="0.25">
      <c r="A5" s="126" t="s">
        <v>81</v>
      </c>
      <c r="B5" s="105" t="s">
        <v>68</v>
      </c>
      <c r="C5" s="105" t="s">
        <v>35</v>
      </c>
      <c r="D5" s="105" t="s">
        <v>34</v>
      </c>
      <c r="E5" s="106" t="s">
        <v>55</v>
      </c>
    </row>
    <row r="6" spans="1:5" x14ac:dyDescent="0.25">
      <c r="A6" s="63" t="s">
        <v>2</v>
      </c>
      <c r="B6" s="20">
        <v>152439</v>
      </c>
      <c r="C6" s="20">
        <v>0</v>
      </c>
      <c r="D6" s="20">
        <v>106</v>
      </c>
      <c r="E6" s="20">
        <v>152545</v>
      </c>
    </row>
    <row r="7" spans="1:5" x14ac:dyDescent="0.25">
      <c r="A7" s="65" t="s">
        <v>3</v>
      </c>
      <c r="B7" s="20">
        <v>442924</v>
      </c>
      <c r="C7" s="20">
        <v>0</v>
      </c>
      <c r="D7" s="20">
        <v>1130</v>
      </c>
      <c r="E7" s="20">
        <v>444054</v>
      </c>
    </row>
    <row r="8" spans="1:5" x14ac:dyDescent="0.25">
      <c r="A8" s="65" t="s">
        <v>4</v>
      </c>
      <c r="B8" s="20">
        <v>731981</v>
      </c>
      <c r="C8" s="20">
        <v>54696</v>
      </c>
      <c r="D8" s="20">
        <v>72363</v>
      </c>
      <c r="E8" s="20">
        <v>859040</v>
      </c>
    </row>
    <row r="9" spans="1:5" x14ac:dyDescent="0.25">
      <c r="A9" s="66" t="s">
        <v>0</v>
      </c>
      <c r="B9" s="21">
        <v>1327344</v>
      </c>
      <c r="C9" s="21">
        <v>54696</v>
      </c>
      <c r="D9" s="21">
        <v>73599</v>
      </c>
      <c r="E9" s="21">
        <v>1455639</v>
      </c>
    </row>
    <row r="10" spans="1:5" x14ac:dyDescent="0.25">
      <c r="A10" s="3"/>
      <c r="B10" s="3"/>
      <c r="C10" s="3"/>
      <c r="D10" s="3"/>
      <c r="E10" s="3"/>
    </row>
    <row r="11" spans="1:5" ht="15.75" x14ac:dyDescent="0.25">
      <c r="A11" s="54" t="s">
        <v>541</v>
      </c>
    </row>
    <row r="12" spans="1:5" ht="25.5" x14ac:dyDescent="0.25">
      <c r="A12" s="126" t="s">
        <v>81</v>
      </c>
      <c r="B12" s="106" t="s">
        <v>133</v>
      </c>
      <c r="C12" s="106" t="s">
        <v>134</v>
      </c>
      <c r="D12" s="106" t="s">
        <v>599</v>
      </c>
      <c r="E12" s="106" t="s">
        <v>55</v>
      </c>
    </row>
    <row r="13" spans="1:5" x14ac:dyDescent="0.25">
      <c r="A13" s="65" t="s">
        <v>2</v>
      </c>
      <c r="B13" s="95">
        <v>89438</v>
      </c>
      <c r="C13" s="95">
        <v>63106</v>
      </c>
      <c r="D13" s="95">
        <v>1</v>
      </c>
      <c r="E13" s="95">
        <v>152545</v>
      </c>
    </row>
    <row r="14" spans="1:5" x14ac:dyDescent="0.25">
      <c r="A14" s="65" t="s">
        <v>3</v>
      </c>
      <c r="B14" s="95">
        <v>207959</v>
      </c>
      <c r="C14" s="95">
        <v>236093</v>
      </c>
      <c r="D14" s="95">
        <v>2</v>
      </c>
      <c r="E14" s="95">
        <v>444054</v>
      </c>
    </row>
    <row r="15" spans="1:5" x14ac:dyDescent="0.25">
      <c r="A15" s="65" t="s">
        <v>4</v>
      </c>
      <c r="B15" s="95">
        <v>478226</v>
      </c>
      <c r="C15" s="95">
        <v>380790</v>
      </c>
      <c r="D15" s="95">
        <v>24</v>
      </c>
      <c r="E15" s="95">
        <v>859040</v>
      </c>
    </row>
    <row r="16" spans="1:5" x14ac:dyDescent="0.25">
      <c r="A16" s="66" t="s">
        <v>0</v>
      </c>
      <c r="B16" s="21">
        <v>775623</v>
      </c>
      <c r="C16" s="21">
        <v>679989</v>
      </c>
      <c r="D16" s="21">
        <v>27</v>
      </c>
      <c r="E16" s="21">
        <v>1455639</v>
      </c>
    </row>
    <row r="17" spans="1:5" x14ac:dyDescent="0.25">
      <c r="A17" s="3"/>
      <c r="B17" s="3"/>
      <c r="C17" s="3"/>
      <c r="D17" s="3"/>
      <c r="E17" s="3"/>
    </row>
    <row r="18" spans="1:5" ht="15.75" x14ac:dyDescent="0.25">
      <c r="A18" s="22" t="s">
        <v>542</v>
      </c>
      <c r="B18" s="3"/>
      <c r="C18" s="3"/>
      <c r="D18" s="3"/>
      <c r="E18" s="3"/>
    </row>
    <row r="19" spans="1:5" x14ac:dyDescent="0.25">
      <c r="A19" s="126" t="s">
        <v>81</v>
      </c>
      <c r="B19" s="105" t="s">
        <v>68</v>
      </c>
      <c r="C19" s="105" t="s">
        <v>35</v>
      </c>
      <c r="D19" s="105" t="s">
        <v>34</v>
      </c>
      <c r="E19" s="106" t="s">
        <v>55</v>
      </c>
    </row>
    <row r="20" spans="1:5" x14ac:dyDescent="0.25">
      <c r="A20" s="84" t="s">
        <v>490</v>
      </c>
      <c r="B20" s="20">
        <v>133963</v>
      </c>
      <c r="C20" s="20">
        <v>0</v>
      </c>
      <c r="D20" s="20">
        <v>49</v>
      </c>
      <c r="E20" s="20">
        <v>134012</v>
      </c>
    </row>
    <row r="21" spans="1:5" x14ac:dyDescent="0.25">
      <c r="A21" s="84" t="s">
        <v>356</v>
      </c>
      <c r="B21" s="20">
        <v>18476</v>
      </c>
      <c r="C21" s="20">
        <v>0</v>
      </c>
      <c r="D21" s="20">
        <v>57</v>
      </c>
      <c r="E21" s="20">
        <v>18533</v>
      </c>
    </row>
    <row r="22" spans="1:5" x14ac:dyDescent="0.25">
      <c r="A22" s="65" t="s">
        <v>3</v>
      </c>
      <c r="B22" s="20">
        <v>442924</v>
      </c>
      <c r="C22" s="20">
        <v>0</v>
      </c>
      <c r="D22" s="20">
        <v>1130</v>
      </c>
      <c r="E22" s="20">
        <v>444054</v>
      </c>
    </row>
    <row r="23" spans="1:5" x14ac:dyDescent="0.25">
      <c r="A23" s="84" t="s">
        <v>282</v>
      </c>
      <c r="B23" s="20">
        <v>196224</v>
      </c>
      <c r="C23" s="20">
        <v>13047</v>
      </c>
      <c r="D23" s="20">
        <v>13053</v>
      </c>
      <c r="E23" s="20">
        <v>222324</v>
      </c>
    </row>
    <row r="24" spans="1:5" x14ac:dyDescent="0.25">
      <c r="A24" s="84" t="s">
        <v>283</v>
      </c>
      <c r="B24" s="20">
        <v>203382</v>
      </c>
      <c r="C24" s="20">
        <v>17533</v>
      </c>
      <c r="D24" s="20">
        <v>30501</v>
      </c>
      <c r="E24" s="20">
        <v>251416</v>
      </c>
    </row>
    <row r="25" spans="1:5" x14ac:dyDescent="0.25">
      <c r="A25" s="68" t="s">
        <v>247</v>
      </c>
      <c r="B25" s="20">
        <v>332349</v>
      </c>
      <c r="C25" s="20">
        <v>24116</v>
      </c>
      <c r="D25" s="20">
        <v>28809</v>
      </c>
      <c r="E25" s="20">
        <v>385274</v>
      </c>
    </row>
    <row r="26" spans="1:5" x14ac:dyDescent="0.25">
      <c r="A26" s="84" t="s">
        <v>295</v>
      </c>
      <c r="B26" s="20">
        <v>26</v>
      </c>
      <c r="C26" s="20">
        <v>0</v>
      </c>
      <c r="D26" s="20">
        <v>0</v>
      </c>
      <c r="E26" s="20">
        <v>26</v>
      </c>
    </row>
    <row r="27" spans="1:5" x14ac:dyDescent="0.25">
      <c r="A27" s="66" t="s">
        <v>0</v>
      </c>
      <c r="B27" s="21">
        <v>1327344</v>
      </c>
      <c r="C27" s="21">
        <v>54696</v>
      </c>
      <c r="D27" s="21">
        <v>73599</v>
      </c>
      <c r="E27" s="21">
        <v>1455639</v>
      </c>
    </row>
    <row r="28" spans="1:5" x14ac:dyDescent="0.25">
      <c r="A28" s="114" t="s">
        <v>317</v>
      </c>
      <c r="B28" s="48"/>
      <c r="C28" s="48"/>
      <c r="D28" s="48"/>
      <c r="E28" s="48"/>
    </row>
    <row r="29" spans="1:5" x14ac:dyDescent="0.25">
      <c r="A29" s="3"/>
      <c r="B29" s="3"/>
      <c r="C29" s="3"/>
      <c r="D29" s="3"/>
      <c r="E29" s="3"/>
    </row>
    <row r="30" spans="1:5" ht="15.75" x14ac:dyDescent="0.25">
      <c r="A30" s="54" t="s">
        <v>543</v>
      </c>
    </row>
    <row r="31" spans="1:5" ht="25.5" x14ac:dyDescent="0.25">
      <c r="A31" s="126" t="s">
        <v>81</v>
      </c>
      <c r="B31" s="106" t="s">
        <v>133</v>
      </c>
      <c r="C31" s="106" t="s">
        <v>134</v>
      </c>
      <c r="D31" s="106" t="s">
        <v>599</v>
      </c>
      <c r="E31" s="106" t="s">
        <v>55</v>
      </c>
    </row>
    <row r="32" spans="1:5" x14ac:dyDescent="0.25">
      <c r="A32" s="65" t="s">
        <v>490</v>
      </c>
      <c r="B32" s="20">
        <v>77412</v>
      </c>
      <c r="C32" s="20">
        <v>56599</v>
      </c>
      <c r="D32" s="20">
        <v>1</v>
      </c>
      <c r="E32" s="20">
        <v>134012</v>
      </c>
    </row>
    <row r="33" spans="1:6" x14ac:dyDescent="0.25">
      <c r="A33" s="84" t="s">
        <v>356</v>
      </c>
      <c r="B33" s="20">
        <v>12026</v>
      </c>
      <c r="C33" s="20">
        <v>6507</v>
      </c>
      <c r="D33" s="20">
        <v>0</v>
      </c>
      <c r="E33" s="20">
        <v>18533</v>
      </c>
    </row>
    <row r="34" spans="1:6" x14ac:dyDescent="0.25">
      <c r="A34" s="65" t="s">
        <v>3</v>
      </c>
      <c r="B34" s="20">
        <v>207959</v>
      </c>
      <c r="C34" s="20">
        <v>236093</v>
      </c>
      <c r="D34" s="20">
        <v>2</v>
      </c>
      <c r="E34" s="20">
        <v>444054</v>
      </c>
    </row>
    <row r="35" spans="1:6" x14ac:dyDescent="0.25">
      <c r="A35" s="84" t="s">
        <v>282</v>
      </c>
      <c r="B35" s="20">
        <v>118016</v>
      </c>
      <c r="C35" s="20">
        <v>104301</v>
      </c>
      <c r="D35" s="20">
        <v>7</v>
      </c>
      <c r="E35" s="20">
        <v>222324</v>
      </c>
    </row>
    <row r="36" spans="1:6" x14ac:dyDescent="0.25">
      <c r="A36" s="84" t="s">
        <v>283</v>
      </c>
      <c r="B36" s="20">
        <v>128950</v>
      </c>
      <c r="C36" s="20">
        <v>122461</v>
      </c>
      <c r="D36" s="20">
        <v>5</v>
      </c>
      <c r="E36" s="20">
        <v>251416</v>
      </c>
    </row>
    <row r="37" spans="1:6" x14ac:dyDescent="0.25">
      <c r="A37" s="68" t="s">
        <v>247</v>
      </c>
      <c r="B37" s="20">
        <v>231236</v>
      </c>
      <c r="C37" s="20">
        <v>154026</v>
      </c>
      <c r="D37" s="20">
        <v>12</v>
      </c>
      <c r="E37" s="20">
        <v>385274</v>
      </c>
    </row>
    <row r="38" spans="1:6" x14ac:dyDescent="0.25">
      <c r="A38" s="84" t="s">
        <v>295</v>
      </c>
      <c r="B38" s="20">
        <v>24</v>
      </c>
      <c r="C38" s="20">
        <v>2</v>
      </c>
      <c r="D38" s="20">
        <v>0</v>
      </c>
      <c r="E38" s="20">
        <v>26</v>
      </c>
    </row>
    <row r="39" spans="1:6" x14ac:dyDescent="0.25">
      <c r="A39" s="66" t="s">
        <v>0</v>
      </c>
      <c r="B39" s="21">
        <v>775623</v>
      </c>
      <c r="C39" s="21">
        <v>679989</v>
      </c>
      <c r="D39" s="21">
        <v>27</v>
      </c>
      <c r="E39" s="21">
        <v>1455639</v>
      </c>
    </row>
    <row r="40" spans="1:6" x14ac:dyDescent="0.25">
      <c r="A40" s="114" t="s">
        <v>317</v>
      </c>
      <c r="B40" s="48"/>
      <c r="C40" s="48"/>
      <c r="D40" s="48"/>
      <c r="E40" s="48"/>
      <c r="F40" s="48"/>
    </row>
    <row r="41" spans="1:6" x14ac:dyDescent="0.25">
      <c r="A41" s="3"/>
      <c r="B41" s="3"/>
      <c r="C41" s="3"/>
      <c r="D41" s="3"/>
      <c r="E41" s="3"/>
    </row>
    <row r="42" spans="1:6" ht="15.75" x14ac:dyDescent="0.25">
      <c r="A42" s="54" t="s">
        <v>544</v>
      </c>
    </row>
    <row r="43" spans="1:6" ht="25.5" x14ac:dyDescent="0.25">
      <c r="A43" s="126" t="s">
        <v>44</v>
      </c>
      <c r="B43" s="106" t="s">
        <v>133</v>
      </c>
      <c r="C43" s="106" t="s">
        <v>134</v>
      </c>
      <c r="D43" s="106" t="s">
        <v>599</v>
      </c>
      <c r="E43" s="106" t="s">
        <v>55</v>
      </c>
    </row>
    <row r="44" spans="1:6" x14ac:dyDescent="0.25">
      <c r="A44" s="68" t="s">
        <v>229</v>
      </c>
      <c r="B44" s="20">
        <v>9777</v>
      </c>
      <c r="C44" s="20">
        <v>7776</v>
      </c>
      <c r="D44" s="20">
        <v>0</v>
      </c>
      <c r="E44" s="20">
        <v>17553</v>
      </c>
    </row>
    <row r="45" spans="1:6" x14ac:dyDescent="0.25">
      <c r="A45" s="68" t="s">
        <v>230</v>
      </c>
      <c r="B45" s="20">
        <v>11514</v>
      </c>
      <c r="C45" s="20">
        <v>8750</v>
      </c>
      <c r="D45" s="20">
        <v>0</v>
      </c>
      <c r="E45" s="20">
        <v>20264</v>
      </c>
    </row>
    <row r="46" spans="1:6" x14ac:dyDescent="0.25">
      <c r="A46" s="68" t="s">
        <v>231</v>
      </c>
      <c r="B46" s="20">
        <v>19752</v>
      </c>
      <c r="C46" s="20">
        <v>18369</v>
      </c>
      <c r="D46" s="20">
        <v>0</v>
      </c>
      <c r="E46" s="20">
        <v>38121</v>
      </c>
    </row>
    <row r="47" spans="1:6" x14ac:dyDescent="0.25">
      <c r="A47" s="68" t="s">
        <v>232</v>
      </c>
      <c r="B47" s="20">
        <v>6904</v>
      </c>
      <c r="C47" s="20">
        <v>6003</v>
      </c>
      <c r="D47" s="20">
        <v>0</v>
      </c>
      <c r="E47" s="20">
        <v>12907</v>
      </c>
    </row>
    <row r="48" spans="1:6" x14ac:dyDescent="0.25">
      <c r="A48" s="68" t="s">
        <v>233</v>
      </c>
      <c r="B48" s="20">
        <v>25640</v>
      </c>
      <c r="C48" s="20">
        <v>21866</v>
      </c>
      <c r="D48" s="20">
        <v>2</v>
      </c>
      <c r="E48" s="20">
        <v>47508</v>
      </c>
    </row>
    <row r="49" spans="1:7" x14ac:dyDescent="0.25">
      <c r="A49" s="68" t="s">
        <v>234</v>
      </c>
      <c r="B49" s="20">
        <v>73389</v>
      </c>
      <c r="C49" s="20">
        <v>62253</v>
      </c>
      <c r="D49" s="20">
        <v>1</v>
      </c>
      <c r="E49" s="20">
        <v>135643</v>
      </c>
    </row>
    <row r="50" spans="1:7" x14ac:dyDescent="0.25">
      <c r="A50" s="68" t="s">
        <v>235</v>
      </c>
      <c r="B50" s="20">
        <v>403903</v>
      </c>
      <c r="C50" s="20">
        <v>371064</v>
      </c>
      <c r="D50" s="20">
        <v>19</v>
      </c>
      <c r="E50" s="20">
        <v>774986</v>
      </c>
    </row>
    <row r="51" spans="1:7" x14ac:dyDescent="0.25">
      <c r="A51" s="84" t="s">
        <v>325</v>
      </c>
      <c r="B51" s="20">
        <v>16774</v>
      </c>
      <c r="C51" s="20">
        <v>14494</v>
      </c>
      <c r="D51" s="20">
        <v>1</v>
      </c>
      <c r="E51" s="20">
        <v>31269</v>
      </c>
    </row>
    <row r="52" spans="1:7" x14ac:dyDescent="0.25">
      <c r="A52" s="68" t="s">
        <v>236</v>
      </c>
      <c r="B52" s="20">
        <v>35259</v>
      </c>
      <c r="C52" s="20">
        <v>27986</v>
      </c>
      <c r="D52" s="20">
        <v>0</v>
      </c>
      <c r="E52" s="20">
        <v>63245</v>
      </c>
    </row>
    <row r="53" spans="1:7" x14ac:dyDescent="0.25">
      <c r="A53" s="68" t="s">
        <v>293</v>
      </c>
      <c r="B53" s="20">
        <v>12985</v>
      </c>
      <c r="C53" s="20">
        <v>10622</v>
      </c>
      <c r="D53" s="20">
        <v>1</v>
      </c>
      <c r="E53" s="20">
        <v>23608</v>
      </c>
    </row>
    <row r="54" spans="1:7" x14ac:dyDescent="0.25">
      <c r="A54" s="68" t="s">
        <v>242</v>
      </c>
      <c r="B54" s="20">
        <v>71114</v>
      </c>
      <c r="C54" s="20">
        <v>61913</v>
      </c>
      <c r="D54" s="20">
        <v>1</v>
      </c>
      <c r="E54" s="20">
        <v>133028</v>
      </c>
    </row>
    <row r="55" spans="1:7" x14ac:dyDescent="0.25">
      <c r="A55" s="68" t="s">
        <v>244</v>
      </c>
      <c r="B55" s="20">
        <v>40886</v>
      </c>
      <c r="C55" s="20">
        <v>30624</v>
      </c>
      <c r="D55" s="20">
        <v>1</v>
      </c>
      <c r="E55" s="20">
        <v>71511</v>
      </c>
    </row>
    <row r="56" spans="1:7" x14ac:dyDescent="0.25">
      <c r="A56" s="68" t="s">
        <v>238</v>
      </c>
      <c r="B56" s="20">
        <v>16176</v>
      </c>
      <c r="C56" s="20">
        <v>13141</v>
      </c>
      <c r="D56" s="20">
        <v>1</v>
      </c>
      <c r="E56" s="20">
        <v>29318</v>
      </c>
    </row>
    <row r="57" spans="1:7" x14ac:dyDescent="0.25">
      <c r="A57" s="68" t="s">
        <v>239</v>
      </c>
      <c r="B57" s="20">
        <v>25890</v>
      </c>
      <c r="C57" s="20">
        <v>20181</v>
      </c>
      <c r="D57" s="20">
        <v>0</v>
      </c>
      <c r="E57" s="20">
        <v>46071</v>
      </c>
    </row>
    <row r="58" spans="1:7" x14ac:dyDescent="0.25">
      <c r="A58" s="68" t="s">
        <v>240</v>
      </c>
      <c r="B58" s="20">
        <v>1534</v>
      </c>
      <c r="C58" s="20">
        <v>1265</v>
      </c>
      <c r="D58" s="20">
        <v>0</v>
      </c>
      <c r="E58" s="20">
        <v>2799</v>
      </c>
    </row>
    <row r="59" spans="1:7" x14ac:dyDescent="0.25">
      <c r="A59" s="68" t="s">
        <v>241</v>
      </c>
      <c r="B59" s="20">
        <v>4126</v>
      </c>
      <c r="C59" s="20">
        <v>3682</v>
      </c>
      <c r="D59" s="20">
        <v>0</v>
      </c>
      <c r="E59" s="20">
        <v>7808</v>
      </c>
    </row>
    <row r="60" spans="1:7" s="42" customFormat="1" x14ac:dyDescent="0.25">
      <c r="A60" s="66" t="s">
        <v>0</v>
      </c>
      <c r="B60" s="21">
        <v>775623</v>
      </c>
      <c r="C60" s="21">
        <v>679989</v>
      </c>
      <c r="D60" s="21">
        <v>27</v>
      </c>
      <c r="E60" s="21">
        <v>1455639</v>
      </c>
      <c r="F60" s="3"/>
      <c r="G60" s="3"/>
    </row>
    <row r="61" spans="1:7" x14ac:dyDescent="0.25">
      <c r="A61" s="3"/>
      <c r="B61" s="38"/>
      <c r="C61" s="38"/>
      <c r="D61" s="38"/>
      <c r="E61" s="38"/>
    </row>
    <row r="62" spans="1:7" ht="15.75" x14ac:dyDescent="0.25">
      <c r="A62" s="54" t="s">
        <v>545</v>
      </c>
    </row>
    <row r="63" spans="1:7" ht="25.5" x14ac:dyDescent="0.25">
      <c r="A63" s="126" t="s">
        <v>54</v>
      </c>
      <c r="B63" s="106" t="s">
        <v>133</v>
      </c>
      <c r="C63" s="106" t="s">
        <v>134</v>
      </c>
      <c r="D63" s="106" t="s">
        <v>599</v>
      </c>
      <c r="E63" s="106" t="s">
        <v>55</v>
      </c>
    </row>
    <row r="64" spans="1:7" x14ac:dyDescent="0.25">
      <c r="A64" s="65" t="s">
        <v>45</v>
      </c>
      <c r="B64" s="32">
        <v>149038</v>
      </c>
      <c r="C64" s="32">
        <v>125319</v>
      </c>
      <c r="D64" s="32">
        <v>2</v>
      </c>
      <c r="E64" s="32">
        <v>274359</v>
      </c>
    </row>
    <row r="65" spans="1:5" x14ac:dyDescent="0.25">
      <c r="A65" s="65" t="s">
        <v>46</v>
      </c>
      <c r="B65" s="32">
        <v>28963</v>
      </c>
      <c r="C65" s="32">
        <v>17047</v>
      </c>
      <c r="D65" s="32">
        <v>0</v>
      </c>
      <c r="E65" s="32">
        <v>46010</v>
      </c>
    </row>
    <row r="66" spans="1:5" x14ac:dyDescent="0.25">
      <c r="A66" s="65" t="s">
        <v>47</v>
      </c>
      <c r="B66" s="32">
        <v>48100</v>
      </c>
      <c r="C66" s="32">
        <v>28279</v>
      </c>
      <c r="D66" s="32">
        <v>7</v>
      </c>
      <c r="E66" s="32">
        <v>76386</v>
      </c>
    </row>
    <row r="67" spans="1:5" x14ac:dyDescent="0.25">
      <c r="A67" s="65" t="s">
        <v>48</v>
      </c>
      <c r="B67" s="32">
        <v>13373</v>
      </c>
      <c r="C67" s="32">
        <v>18744</v>
      </c>
      <c r="D67" s="32">
        <v>2</v>
      </c>
      <c r="E67" s="32">
        <v>32119</v>
      </c>
    </row>
    <row r="68" spans="1:5" x14ac:dyDescent="0.25">
      <c r="A68" s="65" t="s">
        <v>49</v>
      </c>
      <c r="B68" s="32">
        <v>112012</v>
      </c>
      <c r="C68" s="32">
        <v>48170</v>
      </c>
      <c r="D68" s="32">
        <v>8</v>
      </c>
      <c r="E68" s="32">
        <v>160190</v>
      </c>
    </row>
    <row r="69" spans="1:5" x14ac:dyDescent="0.25">
      <c r="A69" s="65" t="s">
        <v>7</v>
      </c>
      <c r="B69" s="32">
        <v>35281</v>
      </c>
      <c r="C69" s="32">
        <v>26377</v>
      </c>
      <c r="D69" s="32">
        <v>1</v>
      </c>
      <c r="E69" s="32">
        <v>61659</v>
      </c>
    </row>
    <row r="70" spans="1:5" x14ac:dyDescent="0.25">
      <c r="A70" s="65" t="s">
        <v>50</v>
      </c>
      <c r="B70" s="32">
        <v>102659</v>
      </c>
      <c r="C70" s="32">
        <v>34083</v>
      </c>
      <c r="D70" s="32">
        <v>3</v>
      </c>
      <c r="E70" s="32">
        <v>136745</v>
      </c>
    </row>
    <row r="71" spans="1:5" x14ac:dyDescent="0.25">
      <c r="A71" s="65" t="s">
        <v>51</v>
      </c>
      <c r="B71" s="32">
        <v>7005</v>
      </c>
      <c r="C71" s="32">
        <v>4460</v>
      </c>
      <c r="D71" s="32">
        <v>0</v>
      </c>
      <c r="E71" s="32">
        <v>11465</v>
      </c>
    </row>
    <row r="72" spans="1:5" x14ac:dyDescent="0.25">
      <c r="A72" s="65" t="s">
        <v>52</v>
      </c>
      <c r="B72" s="32">
        <v>200937</v>
      </c>
      <c r="C72" s="32">
        <v>72527</v>
      </c>
      <c r="D72" s="32">
        <v>2</v>
      </c>
      <c r="E72" s="32">
        <v>273466</v>
      </c>
    </row>
    <row r="73" spans="1:5" x14ac:dyDescent="0.25">
      <c r="A73" s="65" t="s">
        <v>53</v>
      </c>
      <c r="B73" s="32">
        <v>78255</v>
      </c>
      <c r="C73" s="32">
        <v>304983</v>
      </c>
      <c r="D73" s="32">
        <v>2</v>
      </c>
      <c r="E73" s="32">
        <v>383240</v>
      </c>
    </row>
    <row r="74" spans="1:5" x14ac:dyDescent="0.25">
      <c r="A74" s="66" t="s">
        <v>0</v>
      </c>
      <c r="B74" s="90">
        <v>775623</v>
      </c>
      <c r="C74" s="90">
        <v>679989</v>
      </c>
      <c r="D74" s="90">
        <v>27</v>
      </c>
      <c r="E74" s="90">
        <v>1455639</v>
      </c>
    </row>
    <row r="75" spans="1:5" x14ac:dyDescent="0.25">
      <c r="A75" s="174"/>
      <c r="B75" s="205"/>
      <c r="C75" s="205"/>
      <c r="D75" s="205"/>
      <c r="E75" s="205"/>
    </row>
    <row r="76" spans="1:5" ht="15.75" x14ac:dyDescent="0.25">
      <c r="A76" s="54" t="s">
        <v>551</v>
      </c>
    </row>
    <row r="77" spans="1:5" ht="25.5" x14ac:dyDescent="0.25">
      <c r="A77" s="126" t="s">
        <v>54</v>
      </c>
      <c r="B77" s="106" t="s">
        <v>133</v>
      </c>
      <c r="C77" s="106" t="s">
        <v>134</v>
      </c>
      <c r="D77" s="106" t="s">
        <v>599</v>
      </c>
      <c r="E77" s="106" t="s">
        <v>55</v>
      </c>
    </row>
    <row r="78" spans="1:5" x14ac:dyDescent="0.25">
      <c r="A78" s="65" t="s">
        <v>552</v>
      </c>
      <c r="B78" s="32">
        <v>182789</v>
      </c>
      <c r="C78" s="32">
        <v>145739</v>
      </c>
      <c r="D78" s="32">
        <v>5</v>
      </c>
      <c r="E78" s="32">
        <v>328533</v>
      </c>
    </row>
    <row r="79" spans="1:5" x14ac:dyDescent="0.25">
      <c r="A79" s="65" t="s">
        <v>553</v>
      </c>
      <c r="B79" s="32">
        <v>28936</v>
      </c>
      <c r="C79" s="32">
        <v>17067</v>
      </c>
      <c r="D79" s="32">
        <v>0</v>
      </c>
      <c r="E79" s="32">
        <v>46003</v>
      </c>
    </row>
    <row r="80" spans="1:5" x14ac:dyDescent="0.25">
      <c r="A80" s="65" t="s">
        <v>554</v>
      </c>
      <c r="B80" s="32">
        <v>35228</v>
      </c>
      <c r="C80" s="32">
        <v>25566</v>
      </c>
      <c r="D80" s="32">
        <v>7</v>
      </c>
      <c r="E80" s="32">
        <v>60801</v>
      </c>
    </row>
    <row r="81" spans="1:6" x14ac:dyDescent="0.25">
      <c r="A81" s="65" t="s">
        <v>555</v>
      </c>
      <c r="B81" s="32">
        <v>15507</v>
      </c>
      <c r="C81" s="32">
        <v>20907</v>
      </c>
      <c r="D81" s="32">
        <v>3</v>
      </c>
      <c r="E81" s="32">
        <v>36417</v>
      </c>
    </row>
    <row r="82" spans="1:6" x14ac:dyDescent="0.25">
      <c r="A82" s="65" t="s">
        <v>556</v>
      </c>
      <c r="B82" s="32">
        <v>57629</v>
      </c>
      <c r="C82" s="32">
        <v>28785</v>
      </c>
      <c r="D82" s="32">
        <v>4</v>
      </c>
      <c r="E82" s="32">
        <v>86418</v>
      </c>
    </row>
    <row r="83" spans="1:6" x14ac:dyDescent="0.25">
      <c r="A83" s="65" t="s">
        <v>50</v>
      </c>
      <c r="B83" s="32">
        <v>99830</v>
      </c>
      <c r="C83" s="32">
        <v>23856</v>
      </c>
      <c r="D83" s="32">
        <v>2</v>
      </c>
      <c r="E83" s="32">
        <v>123688</v>
      </c>
    </row>
    <row r="84" spans="1:6" x14ac:dyDescent="0.25">
      <c r="A84" s="65" t="s">
        <v>557</v>
      </c>
      <c r="B84" s="32">
        <v>65037</v>
      </c>
      <c r="C84" s="32">
        <v>231030</v>
      </c>
      <c r="D84" s="32">
        <v>1</v>
      </c>
      <c r="E84" s="32">
        <v>296068</v>
      </c>
    </row>
    <row r="85" spans="1:6" x14ac:dyDescent="0.25">
      <c r="A85" s="65" t="s">
        <v>558</v>
      </c>
      <c r="B85" s="32">
        <v>237401</v>
      </c>
      <c r="C85" s="32">
        <v>79949</v>
      </c>
      <c r="D85" s="32">
        <v>3</v>
      </c>
      <c r="E85" s="32">
        <v>317353</v>
      </c>
    </row>
    <row r="86" spans="1:6" x14ac:dyDescent="0.25">
      <c r="A86" s="65" t="s">
        <v>559</v>
      </c>
      <c r="B86" s="32">
        <v>41199</v>
      </c>
      <c r="C86" s="32">
        <v>36506</v>
      </c>
      <c r="D86" s="32">
        <v>1</v>
      </c>
      <c r="E86" s="32">
        <v>77706</v>
      </c>
    </row>
    <row r="87" spans="1:6" x14ac:dyDescent="0.25">
      <c r="A87" s="65" t="s">
        <v>560</v>
      </c>
      <c r="B87" s="32">
        <v>12067</v>
      </c>
      <c r="C87" s="32">
        <v>70584</v>
      </c>
      <c r="D87" s="32">
        <v>1</v>
      </c>
      <c r="E87" s="32">
        <v>82652</v>
      </c>
    </row>
    <row r="88" spans="1:6" x14ac:dyDescent="0.25">
      <c r="A88" s="66" t="s">
        <v>0</v>
      </c>
      <c r="B88" s="90">
        <v>775623</v>
      </c>
      <c r="C88" s="90">
        <v>679989</v>
      </c>
      <c r="D88" s="90">
        <v>27</v>
      </c>
      <c r="E88" s="90">
        <v>1455639</v>
      </c>
    </row>
    <row r="89" spans="1:6" s="42" customFormat="1" x14ac:dyDescent="0.25">
      <c r="A89" s="3"/>
      <c r="B89" s="3"/>
      <c r="C89" s="3"/>
      <c r="D89" s="3"/>
      <c r="F89" s="3"/>
    </row>
    <row r="90" spans="1:6" x14ac:dyDescent="0.25">
      <c r="A90" s="83" t="s">
        <v>254</v>
      </c>
      <c r="B90" s="3"/>
      <c r="C90" s="3"/>
      <c r="D90" s="3"/>
      <c r="E90" s="3"/>
    </row>
    <row r="91" spans="1:6" x14ac:dyDescent="0.25">
      <c r="A91" s="41" t="s">
        <v>243</v>
      </c>
      <c r="B91" s="3"/>
      <c r="C91" s="3"/>
      <c r="D91" s="3"/>
      <c r="E91" s="3"/>
    </row>
    <row r="92" spans="1:6" x14ac:dyDescent="0.25">
      <c r="A92" s="3"/>
      <c r="B92" s="3"/>
      <c r="C92" s="3"/>
      <c r="D92" s="3"/>
      <c r="E92" s="3"/>
    </row>
    <row r="93" spans="1:6" x14ac:dyDescent="0.25">
      <c r="A93" s="3"/>
      <c r="B93" s="3"/>
      <c r="C93" s="3"/>
      <c r="D93" s="3"/>
      <c r="E93" s="3"/>
    </row>
    <row r="94" spans="1:6" x14ac:dyDescent="0.25">
      <c r="A94" s="3"/>
      <c r="B94" s="3"/>
      <c r="C94" s="3"/>
      <c r="D94" s="3"/>
      <c r="E94" s="3"/>
    </row>
    <row r="95" spans="1:6" x14ac:dyDescent="0.25">
      <c r="A95" s="3"/>
      <c r="B95" s="3"/>
      <c r="C95" s="3"/>
      <c r="D95" s="3"/>
      <c r="E95" s="3"/>
    </row>
    <row r="96" spans="1:6" x14ac:dyDescent="0.25">
      <c r="A96" s="3"/>
      <c r="B96" s="3"/>
      <c r="C96" s="3"/>
      <c r="D96" s="3"/>
      <c r="E96" s="3"/>
    </row>
    <row r="97" s="3" customFormat="1" x14ac:dyDescent="0.25"/>
    <row r="98" s="3" customFormat="1" x14ac:dyDescent="0.25"/>
    <row r="99" s="3" customFormat="1" x14ac:dyDescent="0.25"/>
    <row r="100" s="3" customFormat="1" x14ac:dyDescent="0.25"/>
    <row r="101" s="3" customFormat="1" x14ac:dyDescent="0.25"/>
    <row r="102" s="3" customFormat="1" x14ac:dyDescent="0.25"/>
    <row r="103" s="3" customFormat="1" x14ac:dyDescent="0.25"/>
    <row r="104" s="3" customFormat="1" x14ac:dyDescent="0.25"/>
    <row r="105" s="3" customFormat="1" x14ac:dyDescent="0.25"/>
    <row r="106" s="3" customFormat="1" x14ac:dyDescent="0.25"/>
    <row r="107" s="3" customFormat="1" x14ac:dyDescent="0.25"/>
    <row r="108" s="3" customFormat="1" x14ac:dyDescent="0.25"/>
    <row r="109" s="3" customFormat="1" x14ac:dyDescent="0.25"/>
    <row r="110" s="3" customFormat="1" x14ac:dyDescent="0.25"/>
    <row r="111" s="3" customFormat="1" x14ac:dyDescent="0.25"/>
    <row r="112" s="3" customFormat="1" x14ac:dyDescent="0.25"/>
    <row r="113" s="3" customFormat="1" x14ac:dyDescent="0.25"/>
    <row r="114" s="3" customFormat="1" x14ac:dyDescent="0.25"/>
    <row r="115" s="3" customFormat="1" x14ac:dyDescent="0.25"/>
    <row r="116" s="3" customFormat="1" x14ac:dyDescent="0.25"/>
    <row r="117" s="3" customFormat="1" x14ac:dyDescent="0.25"/>
    <row r="118" s="3" customFormat="1" x14ac:dyDescent="0.25"/>
    <row r="119" s="3" customFormat="1" x14ac:dyDescent="0.25"/>
    <row r="120" s="3" customFormat="1" x14ac:dyDescent="0.25"/>
    <row r="121" s="3" customFormat="1" x14ac:dyDescent="0.25"/>
    <row r="122" s="3" customFormat="1" x14ac:dyDescent="0.25"/>
    <row r="123" s="3" customFormat="1" x14ac:dyDescent="0.25"/>
    <row r="124" s="3" customFormat="1" x14ac:dyDescent="0.25"/>
    <row r="125" s="3" customFormat="1" x14ac:dyDescent="0.25"/>
    <row r="126" s="3" customFormat="1" x14ac:dyDescent="0.25"/>
    <row r="127" s="3" customFormat="1" x14ac:dyDescent="0.25"/>
    <row r="128" s="3" customFormat="1" x14ac:dyDescent="0.25"/>
    <row r="129" s="3" customFormat="1" x14ac:dyDescent="0.25"/>
    <row r="130" s="3" customFormat="1" x14ac:dyDescent="0.25"/>
    <row r="131" s="3" customFormat="1" x14ac:dyDescent="0.25"/>
    <row r="132" s="3" customFormat="1" x14ac:dyDescent="0.25"/>
    <row r="133" s="3" customFormat="1" x14ac:dyDescent="0.25"/>
    <row r="134" s="3" customFormat="1" x14ac:dyDescent="0.25"/>
    <row r="135" s="3" customFormat="1" x14ac:dyDescent="0.25"/>
    <row r="136" s="3" customFormat="1" x14ac:dyDescent="0.25"/>
    <row r="137" s="3" customFormat="1" x14ac:dyDescent="0.25"/>
    <row r="138" s="3" customFormat="1" x14ac:dyDescent="0.25"/>
    <row r="139" s="3" customFormat="1" x14ac:dyDescent="0.25"/>
    <row r="140" s="3" customFormat="1" x14ac:dyDescent="0.25"/>
    <row r="141" s="3" customFormat="1" x14ac:dyDescent="0.25"/>
    <row r="142" s="3" customFormat="1" x14ac:dyDescent="0.25"/>
    <row r="143" s="3" customFormat="1" x14ac:dyDescent="0.25"/>
    <row r="144" s="3" customFormat="1" x14ac:dyDescent="0.25"/>
    <row r="145" s="3" customFormat="1" x14ac:dyDescent="0.25"/>
    <row r="146" s="3" customFormat="1" x14ac:dyDescent="0.25"/>
    <row r="147" s="3" customFormat="1" x14ac:dyDescent="0.25"/>
    <row r="148" s="3" customFormat="1" x14ac:dyDescent="0.25"/>
    <row r="149" s="3" customFormat="1" x14ac:dyDescent="0.25"/>
    <row r="150" s="3" customFormat="1" x14ac:dyDescent="0.25"/>
    <row r="151" s="3" customFormat="1" x14ac:dyDescent="0.25"/>
    <row r="152" s="3" customFormat="1" x14ac:dyDescent="0.25"/>
    <row r="153" s="3" customFormat="1" x14ac:dyDescent="0.25"/>
    <row r="154" s="3" customFormat="1" x14ac:dyDescent="0.25"/>
    <row r="155" s="3" customFormat="1" x14ac:dyDescent="0.25"/>
    <row r="156" s="3" customFormat="1" x14ac:dyDescent="0.25"/>
    <row r="157" s="3" customFormat="1" x14ac:dyDescent="0.25"/>
    <row r="158" s="3" customFormat="1" x14ac:dyDescent="0.25"/>
    <row r="159" s="3" customFormat="1" x14ac:dyDescent="0.25"/>
    <row r="160" s="3" customFormat="1" x14ac:dyDescent="0.25"/>
    <row r="161" s="3" customFormat="1" x14ac:dyDescent="0.25"/>
    <row r="162" s="3" customFormat="1" x14ac:dyDescent="0.25"/>
    <row r="163" s="3" customFormat="1" x14ac:dyDescent="0.25"/>
    <row r="164" s="3" customFormat="1" x14ac:dyDescent="0.25"/>
    <row r="165" s="3" customFormat="1" x14ac:dyDescent="0.25"/>
    <row r="166" s="3" customFormat="1" x14ac:dyDescent="0.25"/>
    <row r="167" s="3" customFormat="1" x14ac:dyDescent="0.25"/>
    <row r="168" s="3" customFormat="1" x14ac:dyDescent="0.25"/>
    <row r="169" s="3" customFormat="1" x14ac:dyDescent="0.25"/>
    <row r="170" s="3" customFormat="1" x14ac:dyDescent="0.25"/>
    <row r="171" s="3" customFormat="1" x14ac:dyDescent="0.25"/>
    <row r="172" s="3" customFormat="1" x14ac:dyDescent="0.25"/>
    <row r="173" s="3" customFormat="1" x14ac:dyDescent="0.25"/>
    <row r="174" s="3" customFormat="1" x14ac:dyDescent="0.25"/>
    <row r="175" s="3" customFormat="1" x14ac:dyDescent="0.25"/>
    <row r="176" s="3" customFormat="1" x14ac:dyDescent="0.25"/>
    <row r="177" s="3" customFormat="1" x14ac:dyDescent="0.25"/>
    <row r="178" s="3" customFormat="1" x14ac:dyDescent="0.25"/>
    <row r="179" s="3" customFormat="1" x14ac:dyDescent="0.25"/>
    <row r="180" s="3" customFormat="1" x14ac:dyDescent="0.25"/>
    <row r="181" s="3" customFormat="1" x14ac:dyDescent="0.25"/>
    <row r="182" s="3" customFormat="1" x14ac:dyDescent="0.25"/>
    <row r="183" s="3" customFormat="1" x14ac:dyDescent="0.25"/>
    <row r="184" s="3" customFormat="1" x14ac:dyDescent="0.25"/>
    <row r="185" s="3" customFormat="1" x14ac:dyDescent="0.25"/>
    <row r="186" s="3" customFormat="1" x14ac:dyDescent="0.25"/>
    <row r="187" s="3" customFormat="1" x14ac:dyDescent="0.25"/>
    <row r="188" s="3" customFormat="1" x14ac:dyDescent="0.25"/>
    <row r="189" s="3" customFormat="1" x14ac:dyDescent="0.25"/>
    <row r="190" s="3" customFormat="1" x14ac:dyDescent="0.25"/>
    <row r="191" s="3" customFormat="1" x14ac:dyDescent="0.25"/>
    <row r="192" s="3" customFormat="1" x14ac:dyDescent="0.25"/>
    <row r="193" s="3" customFormat="1" x14ac:dyDescent="0.25"/>
    <row r="194" s="3" customFormat="1" x14ac:dyDescent="0.25"/>
    <row r="195" s="3" customFormat="1" x14ac:dyDescent="0.25"/>
    <row r="196" s="3" customFormat="1" x14ac:dyDescent="0.25"/>
    <row r="197" s="3" customFormat="1" x14ac:dyDescent="0.25"/>
    <row r="198" s="3" customFormat="1" x14ac:dyDescent="0.25"/>
    <row r="199" s="3" customFormat="1" x14ac:dyDescent="0.25"/>
    <row r="200" s="3" customFormat="1" x14ac:dyDescent="0.25"/>
    <row r="201" s="3" customFormat="1" x14ac:dyDescent="0.25"/>
    <row r="202" s="3" customFormat="1" x14ac:dyDescent="0.25"/>
    <row r="203" s="3" customFormat="1" x14ac:dyDescent="0.25"/>
    <row r="204" s="3" customFormat="1" x14ac:dyDescent="0.25"/>
    <row r="205" s="3" customFormat="1" x14ac:dyDescent="0.25"/>
    <row r="206" s="3" customFormat="1" x14ac:dyDescent="0.25"/>
    <row r="207" s="3" customFormat="1" x14ac:dyDescent="0.25"/>
    <row r="208" s="3" customFormat="1" x14ac:dyDescent="0.25"/>
    <row r="209" s="3" customFormat="1" x14ac:dyDescent="0.25"/>
    <row r="210" s="3" customFormat="1" x14ac:dyDescent="0.25"/>
    <row r="211" s="3" customFormat="1" x14ac:dyDescent="0.25"/>
    <row r="212" s="3" customFormat="1" x14ac:dyDescent="0.25"/>
    <row r="213" s="3" customFormat="1" x14ac:dyDescent="0.25"/>
    <row r="214" s="3" customFormat="1" x14ac:dyDescent="0.25"/>
    <row r="215" s="3" customFormat="1" x14ac:dyDescent="0.25"/>
    <row r="216" s="3" customFormat="1" x14ac:dyDescent="0.25"/>
    <row r="217" s="3" customFormat="1" x14ac:dyDescent="0.25"/>
    <row r="218" s="3" customFormat="1" x14ac:dyDescent="0.25"/>
    <row r="219" s="3" customFormat="1" x14ac:dyDescent="0.25"/>
    <row r="220" s="3" customFormat="1" x14ac:dyDescent="0.25"/>
    <row r="221" s="3" customFormat="1" x14ac:dyDescent="0.25"/>
    <row r="222" s="3" customFormat="1" x14ac:dyDescent="0.25"/>
    <row r="223" s="3" customFormat="1" x14ac:dyDescent="0.25"/>
    <row r="224" s="3" customFormat="1" x14ac:dyDescent="0.25"/>
    <row r="225" s="3" customFormat="1" x14ac:dyDescent="0.25"/>
    <row r="226" s="3" customFormat="1" x14ac:dyDescent="0.25"/>
    <row r="227" s="3" customFormat="1" x14ac:dyDescent="0.25"/>
    <row r="228" s="3" customFormat="1" x14ac:dyDescent="0.25"/>
    <row r="229" s="3" customFormat="1" x14ac:dyDescent="0.25"/>
    <row r="230" s="3" customFormat="1" x14ac:dyDescent="0.25"/>
    <row r="231" s="3" customFormat="1" x14ac:dyDescent="0.25"/>
    <row r="232" s="3" customFormat="1" x14ac:dyDescent="0.25"/>
    <row r="233" s="3" customFormat="1" x14ac:dyDescent="0.25"/>
    <row r="234" s="3" customFormat="1" x14ac:dyDescent="0.25"/>
    <row r="235" s="3" customFormat="1" x14ac:dyDescent="0.25"/>
    <row r="236" s="3" customFormat="1" x14ac:dyDescent="0.25"/>
    <row r="237" s="3" customFormat="1" x14ac:dyDescent="0.25"/>
    <row r="238" s="3" customFormat="1" x14ac:dyDescent="0.25"/>
    <row r="239" s="3" customFormat="1" x14ac:dyDescent="0.25"/>
    <row r="240" s="3" customFormat="1" x14ac:dyDescent="0.25"/>
    <row r="241" s="3" customFormat="1" x14ac:dyDescent="0.25"/>
    <row r="242" s="3" customFormat="1" x14ac:dyDescent="0.25"/>
    <row r="243" s="3" customFormat="1" x14ac:dyDescent="0.25"/>
    <row r="244" s="3" customFormat="1" x14ac:dyDescent="0.25"/>
    <row r="245" s="3" customFormat="1" x14ac:dyDescent="0.25"/>
    <row r="246" s="3" customFormat="1" x14ac:dyDescent="0.25"/>
    <row r="247" s="3" customFormat="1" x14ac:dyDescent="0.25"/>
    <row r="248" s="3" customFormat="1" x14ac:dyDescent="0.25"/>
    <row r="249" s="3" customFormat="1" x14ac:dyDescent="0.25"/>
    <row r="250" s="3" customFormat="1" x14ac:dyDescent="0.25"/>
    <row r="251" s="3" customFormat="1" x14ac:dyDescent="0.25"/>
    <row r="252" s="3" customFormat="1" x14ac:dyDescent="0.25"/>
    <row r="253" s="3" customFormat="1" x14ac:dyDescent="0.25"/>
    <row r="254" s="3" customFormat="1" x14ac:dyDescent="0.25"/>
    <row r="255" s="3" customFormat="1" x14ac:dyDescent="0.25"/>
    <row r="256" s="3" customFormat="1" x14ac:dyDescent="0.25"/>
    <row r="257" s="3" customFormat="1" x14ac:dyDescent="0.25"/>
    <row r="258" s="3" customFormat="1" x14ac:dyDescent="0.25"/>
    <row r="259" s="3" customFormat="1" x14ac:dyDescent="0.25"/>
    <row r="260" s="3" customFormat="1" x14ac:dyDescent="0.25"/>
    <row r="261" s="3" customFormat="1" x14ac:dyDescent="0.25"/>
    <row r="262" s="3" customFormat="1" x14ac:dyDescent="0.25"/>
    <row r="263" s="3" customFormat="1" x14ac:dyDescent="0.25"/>
    <row r="264" s="3" customFormat="1" x14ac:dyDescent="0.25"/>
    <row r="265" s="3" customFormat="1" x14ac:dyDescent="0.25"/>
    <row r="266" s="3" customFormat="1" x14ac:dyDescent="0.25"/>
    <row r="267" s="3" customFormat="1" x14ac:dyDescent="0.25"/>
    <row r="268" s="3" customFormat="1" x14ac:dyDescent="0.25"/>
    <row r="269" s="3" customFormat="1" x14ac:dyDescent="0.25"/>
    <row r="270" s="3" customFormat="1" x14ac:dyDescent="0.25"/>
    <row r="271" s="3" customFormat="1" x14ac:dyDescent="0.25"/>
    <row r="272" s="3" customFormat="1" x14ac:dyDescent="0.25"/>
    <row r="273" s="3" customFormat="1" x14ac:dyDescent="0.25"/>
    <row r="274" s="3" customFormat="1" x14ac:dyDescent="0.25"/>
    <row r="275" s="3" customFormat="1" x14ac:dyDescent="0.25"/>
    <row r="276" s="3" customFormat="1" x14ac:dyDescent="0.25"/>
    <row r="277" s="3" customFormat="1" x14ac:dyDescent="0.25"/>
    <row r="278" s="3" customFormat="1" x14ac:dyDescent="0.25"/>
    <row r="279" s="3" customFormat="1" x14ac:dyDescent="0.25"/>
    <row r="280" s="3" customFormat="1" x14ac:dyDescent="0.25"/>
    <row r="281" s="3" customFormat="1" x14ac:dyDescent="0.25"/>
    <row r="282" s="3" customFormat="1" x14ac:dyDescent="0.25"/>
    <row r="283" s="3" customFormat="1" x14ac:dyDescent="0.25"/>
    <row r="284" s="3" customFormat="1" x14ac:dyDescent="0.25"/>
    <row r="285" s="3" customFormat="1" x14ac:dyDescent="0.25"/>
    <row r="286" s="3" customFormat="1" x14ac:dyDescent="0.25"/>
    <row r="287" s="3" customFormat="1" x14ac:dyDescent="0.25"/>
    <row r="288" s="3" customFormat="1" x14ac:dyDescent="0.25"/>
    <row r="289" s="3" customFormat="1" x14ac:dyDescent="0.25"/>
    <row r="290" s="3" customFormat="1" x14ac:dyDescent="0.25"/>
    <row r="291" s="3" customFormat="1" x14ac:dyDescent="0.25"/>
    <row r="292" s="3" customFormat="1" x14ac:dyDescent="0.25"/>
    <row r="293" s="3" customFormat="1" x14ac:dyDescent="0.25"/>
    <row r="294" s="3" customFormat="1" x14ac:dyDescent="0.25"/>
    <row r="295" s="3" customFormat="1" x14ac:dyDescent="0.25"/>
    <row r="296" s="3" customFormat="1" x14ac:dyDescent="0.25"/>
    <row r="297" s="3" customFormat="1" x14ac:dyDescent="0.25"/>
    <row r="298" s="3" customFormat="1" x14ac:dyDescent="0.25"/>
    <row r="299" s="3" customFormat="1" x14ac:dyDescent="0.25"/>
    <row r="300" s="3" customFormat="1" x14ac:dyDescent="0.25"/>
    <row r="301" s="3" customFormat="1" x14ac:dyDescent="0.25"/>
    <row r="302" s="3" customFormat="1" x14ac:dyDescent="0.25"/>
    <row r="303" s="3" customFormat="1" x14ac:dyDescent="0.25"/>
    <row r="304" s="3" customFormat="1" x14ac:dyDescent="0.25"/>
    <row r="305" s="3" customFormat="1" x14ac:dyDescent="0.25"/>
    <row r="306" s="3" customFormat="1" x14ac:dyDescent="0.25"/>
    <row r="307" s="3" customFormat="1" x14ac:dyDescent="0.25"/>
    <row r="308" s="3" customFormat="1" x14ac:dyDescent="0.25"/>
    <row r="309" s="3" customFormat="1" x14ac:dyDescent="0.25"/>
    <row r="310" s="3" customFormat="1" x14ac:dyDescent="0.25"/>
    <row r="311" s="3" customFormat="1" x14ac:dyDescent="0.25"/>
    <row r="312" s="3" customFormat="1" x14ac:dyDescent="0.25"/>
    <row r="313" s="3" customFormat="1" x14ac:dyDescent="0.25"/>
    <row r="314" s="3" customFormat="1" x14ac:dyDescent="0.25"/>
    <row r="315" s="3" customFormat="1" x14ac:dyDescent="0.25"/>
    <row r="316" s="3" customFormat="1" x14ac:dyDescent="0.25"/>
    <row r="317" s="3" customFormat="1" x14ac:dyDescent="0.25"/>
    <row r="318" s="3" customFormat="1" x14ac:dyDescent="0.25"/>
    <row r="319" s="3" customFormat="1" x14ac:dyDescent="0.25"/>
    <row r="320" s="3" customFormat="1" x14ac:dyDescent="0.25"/>
    <row r="321" s="3" customFormat="1" x14ac:dyDescent="0.25"/>
    <row r="322" s="3" customFormat="1" x14ac:dyDescent="0.25"/>
    <row r="323" s="3" customFormat="1" x14ac:dyDescent="0.25"/>
    <row r="324" s="3" customFormat="1" x14ac:dyDescent="0.25"/>
    <row r="325" s="3" customFormat="1" x14ac:dyDescent="0.25"/>
    <row r="326" s="3" customFormat="1" x14ac:dyDescent="0.25"/>
    <row r="327" s="3" customFormat="1" x14ac:dyDescent="0.25"/>
    <row r="328" s="3" customFormat="1" x14ac:dyDescent="0.25"/>
    <row r="329" s="3" customFormat="1" x14ac:dyDescent="0.25"/>
    <row r="330" s="3" customFormat="1" x14ac:dyDescent="0.25"/>
    <row r="331" s="3" customFormat="1" x14ac:dyDescent="0.25"/>
    <row r="332" s="3" customFormat="1" x14ac:dyDescent="0.25"/>
    <row r="333" s="3" customFormat="1" x14ac:dyDescent="0.25"/>
    <row r="334" s="3" customFormat="1" x14ac:dyDescent="0.25"/>
    <row r="335" s="3" customFormat="1" x14ac:dyDescent="0.25"/>
    <row r="336" s="3" customFormat="1" x14ac:dyDescent="0.25"/>
    <row r="337" s="3" customFormat="1" x14ac:dyDescent="0.25"/>
    <row r="338" s="3" customFormat="1" x14ac:dyDescent="0.25"/>
    <row r="339" s="3" customFormat="1" x14ac:dyDescent="0.25"/>
    <row r="340" s="3" customFormat="1" x14ac:dyDescent="0.25"/>
    <row r="341" s="3" customFormat="1" x14ac:dyDescent="0.25"/>
    <row r="342" s="3" customFormat="1" x14ac:dyDescent="0.25"/>
    <row r="343" s="3" customFormat="1" x14ac:dyDescent="0.25"/>
    <row r="344" s="3" customFormat="1" x14ac:dyDescent="0.25"/>
    <row r="345" s="3" customFormat="1" x14ac:dyDescent="0.25"/>
    <row r="346" s="3" customFormat="1" x14ac:dyDescent="0.25"/>
    <row r="347" s="3" customFormat="1" x14ac:dyDescent="0.25"/>
    <row r="348" s="3" customFormat="1" x14ac:dyDescent="0.25"/>
    <row r="349" s="3" customFormat="1" x14ac:dyDescent="0.25"/>
    <row r="350" s="3" customFormat="1" x14ac:dyDescent="0.25"/>
    <row r="351" s="3" customFormat="1" x14ac:dyDescent="0.25"/>
    <row r="352" s="3" customFormat="1" x14ac:dyDescent="0.25"/>
    <row r="353" s="3" customFormat="1" x14ac:dyDescent="0.25"/>
    <row r="354" s="3" customFormat="1" x14ac:dyDescent="0.25"/>
    <row r="355" s="3" customFormat="1" x14ac:dyDescent="0.25"/>
    <row r="356" s="3" customFormat="1" x14ac:dyDescent="0.25"/>
    <row r="357" s="3" customFormat="1" x14ac:dyDescent="0.25"/>
    <row r="358" s="3" customFormat="1" x14ac:dyDescent="0.25"/>
    <row r="359" s="3" customFormat="1" x14ac:dyDescent="0.25"/>
    <row r="360" s="3" customFormat="1" x14ac:dyDescent="0.25"/>
    <row r="361" s="3" customFormat="1" x14ac:dyDescent="0.25"/>
    <row r="362" s="3" customFormat="1" x14ac:dyDescent="0.25"/>
    <row r="363" s="3" customFormat="1" x14ac:dyDescent="0.25"/>
    <row r="364" s="3" customFormat="1" x14ac:dyDescent="0.25"/>
    <row r="365" s="3" customFormat="1" x14ac:dyDescent="0.25"/>
    <row r="366" s="3" customFormat="1" x14ac:dyDescent="0.25"/>
    <row r="367" s="3" customFormat="1" x14ac:dyDescent="0.25"/>
    <row r="368" s="3" customFormat="1" x14ac:dyDescent="0.25"/>
    <row r="369" s="3" customFormat="1" x14ac:dyDescent="0.25"/>
    <row r="370" s="3" customFormat="1" x14ac:dyDescent="0.25"/>
    <row r="371" s="3" customFormat="1" x14ac:dyDescent="0.25"/>
    <row r="372" s="3" customFormat="1" x14ac:dyDescent="0.25"/>
    <row r="373" s="3" customFormat="1" x14ac:dyDescent="0.25"/>
    <row r="374" s="3" customFormat="1" x14ac:dyDescent="0.25"/>
    <row r="375" s="3" customFormat="1" x14ac:dyDescent="0.25"/>
    <row r="376" s="3" customFormat="1" x14ac:dyDescent="0.25"/>
    <row r="377" s="3" customFormat="1" x14ac:dyDescent="0.25"/>
    <row r="378" s="3" customFormat="1" x14ac:dyDescent="0.25"/>
    <row r="379" s="3" customFormat="1" x14ac:dyDescent="0.25"/>
    <row r="380" s="3" customFormat="1" x14ac:dyDescent="0.25"/>
    <row r="381" s="3" customFormat="1" x14ac:dyDescent="0.25"/>
    <row r="382" s="3" customFormat="1" x14ac:dyDescent="0.25"/>
    <row r="383" s="3" customFormat="1" x14ac:dyDescent="0.25"/>
    <row r="384" s="3" customFormat="1" x14ac:dyDescent="0.25"/>
    <row r="385" s="3" customFormat="1" x14ac:dyDescent="0.25"/>
    <row r="386" s="3" customFormat="1" x14ac:dyDescent="0.25"/>
    <row r="387" s="3" customFormat="1" x14ac:dyDescent="0.25"/>
    <row r="388" s="3" customFormat="1" x14ac:dyDescent="0.25"/>
    <row r="389" s="3" customFormat="1" x14ac:dyDescent="0.25"/>
    <row r="390" s="3" customFormat="1" x14ac:dyDescent="0.25"/>
    <row r="391" s="3" customFormat="1" x14ac:dyDescent="0.25"/>
    <row r="392" s="3" customFormat="1" x14ac:dyDescent="0.25"/>
    <row r="393" s="3" customFormat="1" x14ac:dyDescent="0.25"/>
    <row r="394" s="3" customFormat="1" x14ac:dyDescent="0.25"/>
    <row r="395" s="3" customFormat="1" x14ac:dyDescent="0.25"/>
    <row r="396" s="3" customFormat="1" x14ac:dyDescent="0.25"/>
    <row r="397" s="3" customFormat="1" x14ac:dyDescent="0.25"/>
    <row r="398" s="3" customFormat="1" x14ac:dyDescent="0.25"/>
    <row r="399" s="3" customFormat="1" x14ac:dyDescent="0.25"/>
    <row r="400" s="3" customFormat="1" x14ac:dyDescent="0.25"/>
    <row r="401" s="3" customFormat="1" x14ac:dyDescent="0.25"/>
    <row r="402" s="3" customFormat="1" x14ac:dyDescent="0.25"/>
    <row r="403" s="3" customFormat="1" x14ac:dyDescent="0.25"/>
    <row r="404" s="3" customFormat="1" x14ac:dyDescent="0.25"/>
    <row r="405" s="3" customFormat="1" x14ac:dyDescent="0.25"/>
    <row r="406" s="3" customFormat="1" x14ac:dyDescent="0.25"/>
    <row r="407" s="3" customFormat="1" x14ac:dyDescent="0.25"/>
    <row r="408" s="3" customFormat="1" x14ac:dyDescent="0.25"/>
    <row r="409" s="3" customFormat="1" x14ac:dyDescent="0.25"/>
    <row r="410" s="3" customFormat="1" x14ac:dyDescent="0.25"/>
    <row r="411" s="3" customFormat="1" x14ac:dyDescent="0.25"/>
    <row r="412" s="3" customFormat="1" x14ac:dyDescent="0.25"/>
    <row r="413" s="3" customFormat="1" x14ac:dyDescent="0.25"/>
    <row r="414" s="3" customFormat="1" x14ac:dyDescent="0.25"/>
    <row r="415" s="3" customFormat="1" x14ac:dyDescent="0.25"/>
    <row r="416" s="3" customFormat="1" x14ac:dyDescent="0.25"/>
    <row r="417" s="3" customFormat="1" x14ac:dyDescent="0.25"/>
    <row r="418" s="3" customFormat="1" x14ac:dyDescent="0.25"/>
    <row r="419" s="3" customFormat="1" x14ac:dyDescent="0.25"/>
    <row r="420" s="3" customFormat="1" x14ac:dyDescent="0.25"/>
    <row r="421" s="3" customFormat="1" x14ac:dyDescent="0.25"/>
    <row r="422" s="3" customFormat="1" x14ac:dyDescent="0.25"/>
    <row r="423" s="3" customFormat="1" x14ac:dyDescent="0.25"/>
    <row r="424" s="3" customFormat="1" x14ac:dyDescent="0.25"/>
    <row r="425" s="3" customFormat="1" x14ac:dyDescent="0.25"/>
    <row r="426" s="3" customFormat="1" x14ac:dyDescent="0.25"/>
    <row r="427" s="3" customFormat="1" x14ac:dyDescent="0.25"/>
    <row r="428" s="3" customFormat="1" x14ac:dyDescent="0.25"/>
    <row r="429" s="3" customFormat="1" x14ac:dyDescent="0.25"/>
    <row r="430" s="3" customFormat="1" x14ac:dyDescent="0.25"/>
    <row r="431" s="3" customFormat="1" x14ac:dyDescent="0.25"/>
    <row r="432" s="3" customFormat="1" x14ac:dyDescent="0.25"/>
    <row r="433" s="3" customFormat="1" x14ac:dyDescent="0.25"/>
    <row r="434" s="3" customFormat="1" x14ac:dyDescent="0.25"/>
    <row r="435" s="3" customFormat="1" x14ac:dyDescent="0.25"/>
    <row r="436" s="3" customFormat="1" x14ac:dyDescent="0.25"/>
    <row r="437" s="3" customFormat="1" x14ac:dyDescent="0.25"/>
    <row r="438" s="3" customFormat="1" x14ac:dyDescent="0.25"/>
    <row r="439" s="3" customFormat="1" x14ac:dyDescent="0.25"/>
    <row r="440" s="3" customFormat="1" x14ac:dyDescent="0.25"/>
    <row r="441" s="3" customFormat="1" x14ac:dyDescent="0.25"/>
    <row r="442" s="3" customFormat="1" x14ac:dyDescent="0.25"/>
    <row r="443" s="3" customFormat="1" x14ac:dyDescent="0.25"/>
    <row r="444" s="3" customFormat="1" x14ac:dyDescent="0.25"/>
    <row r="445" s="3" customFormat="1" x14ac:dyDescent="0.25"/>
    <row r="446" s="3" customFormat="1" x14ac:dyDescent="0.25"/>
    <row r="447" s="3" customFormat="1" x14ac:dyDescent="0.25"/>
    <row r="448" s="3" customFormat="1" x14ac:dyDescent="0.25"/>
    <row r="449" s="3" customFormat="1" x14ac:dyDescent="0.25"/>
    <row r="450" s="3" customFormat="1" x14ac:dyDescent="0.25"/>
    <row r="451" s="3" customFormat="1" x14ac:dyDescent="0.25"/>
    <row r="452" s="3" customFormat="1" x14ac:dyDescent="0.25"/>
    <row r="453" s="3" customFormat="1" x14ac:dyDescent="0.25"/>
    <row r="454" s="3" customFormat="1" x14ac:dyDescent="0.25"/>
    <row r="455" s="3" customFormat="1" x14ac:dyDescent="0.25"/>
    <row r="456" s="3" customFormat="1" x14ac:dyDescent="0.25"/>
    <row r="457" s="3" customFormat="1" x14ac:dyDescent="0.25"/>
    <row r="458" s="3" customFormat="1" x14ac:dyDescent="0.25"/>
    <row r="459" s="3" customFormat="1" x14ac:dyDescent="0.25"/>
    <row r="460" s="3" customFormat="1" x14ac:dyDescent="0.25"/>
    <row r="461" s="3" customFormat="1" x14ac:dyDescent="0.25"/>
    <row r="462" s="3" customFormat="1" x14ac:dyDescent="0.25"/>
    <row r="463" s="3" customFormat="1" x14ac:dyDescent="0.25"/>
    <row r="464" s="3" customFormat="1" x14ac:dyDescent="0.25"/>
    <row r="465" s="3" customFormat="1" x14ac:dyDescent="0.25"/>
    <row r="466" s="3" customFormat="1" x14ac:dyDescent="0.25"/>
    <row r="467" s="3" customFormat="1" x14ac:dyDescent="0.25"/>
    <row r="468" s="3" customFormat="1" x14ac:dyDescent="0.25"/>
    <row r="469" s="3" customFormat="1" x14ac:dyDescent="0.25"/>
    <row r="470" s="3" customFormat="1" x14ac:dyDescent="0.25"/>
    <row r="471" s="3" customFormat="1" x14ac:dyDescent="0.25"/>
    <row r="472" s="3" customFormat="1" x14ac:dyDescent="0.25"/>
    <row r="473" s="3" customFormat="1" x14ac:dyDescent="0.25"/>
    <row r="474" s="3" customFormat="1" x14ac:dyDescent="0.25"/>
    <row r="475" s="3" customFormat="1" x14ac:dyDescent="0.25"/>
    <row r="476" s="3" customFormat="1" x14ac:dyDescent="0.25"/>
    <row r="477" s="3" customFormat="1" x14ac:dyDescent="0.25"/>
    <row r="478" s="3" customFormat="1" x14ac:dyDescent="0.25"/>
    <row r="479" s="3" customFormat="1" x14ac:dyDescent="0.25"/>
    <row r="480" s="3" customFormat="1" x14ac:dyDescent="0.25"/>
    <row r="481" spans="1:5" x14ac:dyDescent="0.25">
      <c r="A481" s="3"/>
      <c r="B481" s="3"/>
      <c r="C481" s="3"/>
      <c r="D481" s="3"/>
      <c r="E481" s="3"/>
    </row>
    <row r="482" spans="1:5" x14ac:dyDescent="0.25">
      <c r="A482" s="3"/>
      <c r="B482" s="3"/>
      <c r="C482" s="3"/>
      <c r="D482" s="3"/>
      <c r="E482" s="3"/>
    </row>
    <row r="483" spans="1:5" x14ac:dyDescent="0.25">
      <c r="A483" s="3"/>
      <c r="B483" s="3"/>
      <c r="C483" s="3"/>
      <c r="D483" s="3"/>
      <c r="E483" s="3"/>
    </row>
    <row r="484" spans="1:5" x14ac:dyDescent="0.25">
      <c r="A484" s="3"/>
      <c r="B484" s="3"/>
      <c r="C484" s="3"/>
      <c r="D484" s="3"/>
      <c r="E484" s="3"/>
    </row>
    <row r="485" spans="1:5" x14ac:dyDescent="0.25">
      <c r="A485" s="3"/>
      <c r="B485" s="3"/>
      <c r="C485" s="3"/>
      <c r="D485" s="3"/>
      <c r="E485" s="3"/>
    </row>
    <row r="486" spans="1:5" x14ac:dyDescent="0.25">
      <c r="A486" s="3"/>
      <c r="B486" s="3"/>
      <c r="C486" s="3"/>
      <c r="D486" s="3"/>
      <c r="E486" s="3"/>
    </row>
    <row r="487" spans="1:5" x14ac:dyDescent="0.25">
      <c r="A487" s="3"/>
      <c r="B487" s="3"/>
      <c r="C487" s="3"/>
      <c r="D487" s="3"/>
      <c r="E487" s="3"/>
    </row>
    <row r="488" spans="1:5" x14ac:dyDescent="0.25">
      <c r="A488" s="3"/>
      <c r="B488" s="3"/>
      <c r="C488" s="3"/>
      <c r="D488" s="3"/>
      <c r="E488" s="3"/>
    </row>
    <row r="489" spans="1:5" x14ac:dyDescent="0.25">
      <c r="A489" s="3"/>
      <c r="B489" s="3"/>
      <c r="C489" s="3"/>
      <c r="D489" s="3"/>
      <c r="E489" s="3"/>
    </row>
    <row r="490" spans="1:5" x14ac:dyDescent="0.25">
      <c r="A490" s="3"/>
      <c r="B490" s="3"/>
      <c r="C490" s="3"/>
      <c r="D490" s="3"/>
      <c r="E490" s="3"/>
    </row>
    <row r="491" spans="1:5" x14ac:dyDescent="0.25">
      <c r="A491" s="3"/>
      <c r="B491" s="3"/>
      <c r="C491" s="3"/>
      <c r="D491" s="3"/>
      <c r="E491" s="3"/>
    </row>
    <row r="492" spans="1:5" x14ac:dyDescent="0.25">
      <c r="A492" s="3"/>
      <c r="B492" s="3"/>
      <c r="C492" s="3"/>
      <c r="D492" s="3"/>
      <c r="E492" s="3"/>
    </row>
    <row r="493" spans="1:5" x14ac:dyDescent="0.25">
      <c r="E493" s="3"/>
    </row>
  </sheetData>
  <hyperlinks>
    <hyperlink ref="A91" location="Índice!A1" display="Volver al índic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WPS379"/>
  <sheetViews>
    <sheetView showGridLines="0" zoomScale="95" zoomScaleNormal="95" workbookViewId="0">
      <pane xSplit="1" ySplit="2" topLeftCell="B3" activePane="bottomRight" state="frozen"/>
      <selection pane="topRight" activeCell="B1" sqref="B1"/>
      <selection pane="bottomLeft" activeCell="A3" sqref="A3"/>
      <selection pane="bottomRight"/>
    </sheetView>
  </sheetViews>
  <sheetFormatPr baseColWidth="10" defaultColWidth="11.42578125" defaultRowHeight="15" x14ac:dyDescent="0.25"/>
  <cols>
    <col min="1" max="1" width="25.42578125" style="119" customWidth="1"/>
    <col min="2" max="12" width="13.42578125" style="15" customWidth="1"/>
    <col min="13" max="13" width="13.42578125" style="3" customWidth="1"/>
    <col min="14" max="14" width="13.42578125" style="15" customWidth="1"/>
    <col min="15" max="20" width="13.42578125" style="16" customWidth="1"/>
    <col min="21" max="23" width="11.7109375" style="16" customWidth="1"/>
    <col min="24" max="25" width="14.85546875" style="3" customWidth="1"/>
    <col min="26" max="16384" width="11.42578125" style="3"/>
  </cols>
  <sheetData>
    <row r="1" spans="1:25" ht="21" x14ac:dyDescent="0.25">
      <c r="A1" s="70" t="s">
        <v>502</v>
      </c>
      <c r="B1" s="64"/>
      <c r="C1" s="64"/>
      <c r="D1" s="18"/>
      <c r="E1" s="18"/>
      <c r="F1" s="18"/>
      <c r="G1" s="18"/>
      <c r="H1" s="18"/>
      <c r="I1" s="18"/>
      <c r="J1" s="18"/>
      <c r="K1" s="4"/>
      <c r="L1" s="4"/>
      <c r="M1" s="4"/>
      <c r="N1" s="4"/>
      <c r="O1" s="5"/>
      <c r="P1" s="5"/>
      <c r="Q1" s="5"/>
      <c r="R1" s="5"/>
      <c r="S1" s="5"/>
      <c r="T1" s="5"/>
      <c r="U1" s="5"/>
      <c r="V1" s="5"/>
      <c r="W1" s="5"/>
      <c r="X1" s="4"/>
      <c r="Y1" s="4"/>
    </row>
    <row r="2" spans="1:25" ht="33.75" customHeight="1" x14ac:dyDescent="0.2">
      <c r="A2" s="141" t="s">
        <v>460</v>
      </c>
      <c r="B2" s="3"/>
      <c r="C2" s="3"/>
      <c r="D2" s="140"/>
      <c r="E2" s="4"/>
      <c r="F2" s="4"/>
      <c r="G2" s="18"/>
      <c r="H2" s="18"/>
      <c r="I2" s="4"/>
      <c r="J2" s="4"/>
      <c r="K2" s="4"/>
      <c r="L2" s="4"/>
      <c r="M2" s="4"/>
      <c r="N2" s="4"/>
      <c r="O2" s="5"/>
      <c r="P2" s="5"/>
      <c r="Q2" s="5"/>
      <c r="R2" s="5"/>
      <c r="S2" s="5"/>
      <c r="T2" s="5"/>
      <c r="U2" s="5"/>
      <c r="V2" s="5"/>
      <c r="W2" s="5"/>
      <c r="X2" s="4"/>
      <c r="Y2" s="4"/>
    </row>
    <row r="3" spans="1:25" x14ac:dyDescent="0.25">
      <c r="A3" s="109"/>
      <c r="B3" s="4"/>
      <c r="C3" s="4"/>
      <c r="D3" s="4"/>
      <c r="E3" s="4"/>
      <c r="F3" s="4"/>
      <c r="G3" s="4"/>
      <c r="H3" s="4"/>
      <c r="I3" s="4"/>
      <c r="J3" s="4"/>
      <c r="K3" s="4"/>
      <c r="L3" s="4"/>
      <c r="M3" s="4"/>
      <c r="N3" s="4"/>
      <c r="O3" s="5"/>
      <c r="P3" s="5"/>
      <c r="Q3" s="5"/>
      <c r="R3" s="5"/>
      <c r="S3" s="5"/>
      <c r="T3" s="5"/>
      <c r="U3" s="5"/>
      <c r="V3" s="5"/>
      <c r="W3" s="5"/>
      <c r="X3" s="4"/>
      <c r="Y3" s="4"/>
    </row>
    <row r="4" spans="1:25" ht="15.75" x14ac:dyDescent="0.25">
      <c r="A4" s="110" t="s">
        <v>128</v>
      </c>
      <c r="B4" s="19"/>
      <c r="C4" s="19"/>
      <c r="D4" s="19"/>
      <c r="E4" s="19"/>
      <c r="F4" s="19"/>
      <c r="G4" s="19"/>
      <c r="H4" s="17"/>
      <c r="I4" s="17"/>
      <c r="J4" s="17"/>
      <c r="K4" s="17"/>
      <c r="L4" s="17"/>
      <c r="M4" s="203"/>
      <c r="N4" s="17"/>
      <c r="O4" s="14"/>
      <c r="P4" s="14"/>
      <c r="Q4" s="14"/>
      <c r="R4" s="14"/>
      <c r="S4" s="14"/>
      <c r="T4" s="14"/>
      <c r="U4" s="14"/>
      <c r="V4" s="14"/>
      <c r="W4" s="14"/>
      <c r="X4" s="4"/>
      <c r="Y4" s="4"/>
    </row>
    <row r="5" spans="1:25" ht="25.5" x14ac:dyDescent="0.25">
      <c r="A5" s="111" t="s">
        <v>113</v>
      </c>
      <c r="B5" s="105">
        <v>2007</v>
      </c>
      <c r="C5" s="105">
        <v>2008</v>
      </c>
      <c r="D5" s="105">
        <v>2009</v>
      </c>
      <c r="E5" s="105">
        <v>2010</v>
      </c>
      <c r="F5" s="105">
        <v>2011</v>
      </c>
      <c r="G5" s="105">
        <v>2012</v>
      </c>
      <c r="H5" s="105">
        <v>2013</v>
      </c>
      <c r="I5" s="105">
        <v>2014</v>
      </c>
      <c r="J5" s="105">
        <v>2015</v>
      </c>
      <c r="K5" s="105">
        <v>2016</v>
      </c>
      <c r="L5" s="105">
        <v>2017</v>
      </c>
      <c r="M5" s="132">
        <v>2018</v>
      </c>
      <c r="N5" s="105">
        <v>2019</v>
      </c>
      <c r="O5" s="105">
        <v>2020</v>
      </c>
      <c r="P5" s="105">
        <v>2021</v>
      </c>
      <c r="Q5" s="105">
        <v>2022</v>
      </c>
      <c r="R5" s="105">
        <v>2023</v>
      </c>
      <c r="S5" s="105">
        <v>2024</v>
      </c>
      <c r="T5" s="105">
        <v>2025</v>
      </c>
      <c r="U5" s="106" t="s">
        <v>546</v>
      </c>
      <c r="V5" s="106" t="s">
        <v>547</v>
      </c>
      <c r="W5" s="106" t="s">
        <v>548</v>
      </c>
      <c r="X5" s="106" t="s">
        <v>549</v>
      </c>
      <c r="Y5" s="216" t="s">
        <v>563</v>
      </c>
    </row>
    <row r="6" spans="1:25" x14ac:dyDescent="0.25">
      <c r="A6" s="67" t="s">
        <v>68</v>
      </c>
      <c r="B6" s="95">
        <v>748344</v>
      </c>
      <c r="C6" s="95">
        <v>783349</v>
      </c>
      <c r="D6" s="95">
        <v>849340</v>
      </c>
      <c r="E6" s="95">
        <v>938258</v>
      </c>
      <c r="F6" s="95">
        <v>1015077</v>
      </c>
      <c r="G6" s="95">
        <v>1064816</v>
      </c>
      <c r="H6" s="95">
        <v>1114277</v>
      </c>
      <c r="I6" s="95">
        <v>1144381</v>
      </c>
      <c r="J6" s="95">
        <v>1165906</v>
      </c>
      <c r="K6" s="95">
        <v>1178480</v>
      </c>
      <c r="L6" s="95">
        <v>1177292</v>
      </c>
      <c r="M6" s="121">
        <v>1188045</v>
      </c>
      <c r="N6" s="95">
        <v>1194459</v>
      </c>
      <c r="O6" s="95">
        <v>1151834</v>
      </c>
      <c r="P6" s="95">
        <v>1204376</v>
      </c>
      <c r="Q6" s="95">
        <v>1214011</v>
      </c>
      <c r="R6" s="95">
        <v>1249419</v>
      </c>
      <c r="S6" s="95">
        <v>1277611</v>
      </c>
      <c r="T6" s="95">
        <v>1327344</v>
      </c>
      <c r="U6" s="149">
        <f>(T6-K6)/K6</f>
        <v>0.1263186477496436</v>
      </c>
      <c r="V6" s="149">
        <f>(T6-P6)/P6</f>
        <v>0.10210100500176025</v>
      </c>
      <c r="W6" s="149">
        <f>(T6-S6)/S6</f>
        <v>3.8926559023051616E-2</v>
      </c>
      <c r="X6" s="218">
        <f>T6/T$9</f>
        <v>0.91186344966025235</v>
      </c>
      <c r="Y6" s="219">
        <f>T6-S6</f>
        <v>49733</v>
      </c>
    </row>
    <row r="7" spans="1:25" x14ac:dyDescent="0.25">
      <c r="A7" s="67" t="s">
        <v>35</v>
      </c>
      <c r="B7" s="107">
        <v>20693</v>
      </c>
      <c r="C7" s="107">
        <v>26074</v>
      </c>
      <c r="D7" s="107">
        <v>28357</v>
      </c>
      <c r="E7" s="107">
        <v>33398</v>
      </c>
      <c r="F7" s="107">
        <v>34480</v>
      </c>
      <c r="G7" s="107">
        <v>41201</v>
      </c>
      <c r="H7" s="107">
        <v>46726</v>
      </c>
      <c r="I7" s="95">
        <v>46806</v>
      </c>
      <c r="J7" s="95">
        <v>45116</v>
      </c>
      <c r="K7" s="95">
        <v>47584</v>
      </c>
      <c r="L7" s="95">
        <v>48698</v>
      </c>
      <c r="M7" s="121">
        <v>46875</v>
      </c>
      <c r="N7" s="95">
        <v>48391</v>
      </c>
      <c r="O7" s="95">
        <v>45483</v>
      </c>
      <c r="P7" s="95">
        <v>53247</v>
      </c>
      <c r="Q7" s="95">
        <v>54585</v>
      </c>
      <c r="R7" s="95">
        <v>52303</v>
      </c>
      <c r="S7" s="95">
        <v>52061</v>
      </c>
      <c r="T7" s="95">
        <v>54696</v>
      </c>
      <c r="U7" s="149">
        <f>(T7-K7)/K7</f>
        <v>0.14946200403496973</v>
      </c>
      <c r="V7" s="149">
        <f>(T7-P7)/P7</f>
        <v>2.7212800721167388E-2</v>
      </c>
      <c r="W7" s="149">
        <f>(T7-S7)/S7</f>
        <v>5.0613703155913257E-2</v>
      </c>
      <c r="X7" s="218">
        <f>T7/T$9</f>
        <v>3.7575250457015784E-2</v>
      </c>
      <c r="Y7" s="219">
        <f>T7-S7</f>
        <v>2635</v>
      </c>
    </row>
    <row r="8" spans="1:25" x14ac:dyDescent="0.25">
      <c r="A8" s="67" t="s">
        <v>34</v>
      </c>
      <c r="B8" s="107">
        <v>7801</v>
      </c>
      <c r="C8" s="107">
        <v>10374</v>
      </c>
      <c r="D8" s="107">
        <v>14022</v>
      </c>
      <c r="E8" s="107">
        <v>13962</v>
      </c>
      <c r="F8" s="107">
        <v>19542</v>
      </c>
      <c r="G8" s="107">
        <v>20903</v>
      </c>
      <c r="H8" s="107">
        <v>23368</v>
      </c>
      <c r="I8" s="95">
        <v>23943</v>
      </c>
      <c r="J8" s="95">
        <v>22021</v>
      </c>
      <c r="K8" s="95">
        <v>21114</v>
      </c>
      <c r="L8" s="95">
        <v>22303</v>
      </c>
      <c r="M8" s="121">
        <v>27414</v>
      </c>
      <c r="N8" s="95">
        <v>25633</v>
      </c>
      <c r="O8" s="95">
        <v>23581</v>
      </c>
      <c r="P8" s="95">
        <v>37078</v>
      </c>
      <c r="Q8" s="95">
        <v>35551</v>
      </c>
      <c r="R8" s="95">
        <v>39726</v>
      </c>
      <c r="S8" s="95">
        <v>56427</v>
      </c>
      <c r="T8" s="95">
        <v>73599</v>
      </c>
      <c r="U8" s="149">
        <f>(T8-K8)/K8</f>
        <v>2.4857914180164817</v>
      </c>
      <c r="V8" s="149">
        <f>(T8-P8)/P8</f>
        <v>0.98497761475807755</v>
      </c>
      <c r="W8" s="149">
        <f>(T8-S8)/S8</f>
        <v>0.30432239885161361</v>
      </c>
      <c r="X8" s="218">
        <f>T8/T$9</f>
        <v>5.0561299882731912E-2</v>
      </c>
      <c r="Y8" s="219">
        <f>T8-S8</f>
        <v>17172</v>
      </c>
    </row>
    <row r="9" spans="1:25" x14ac:dyDescent="0.25">
      <c r="A9" s="71" t="s">
        <v>0</v>
      </c>
      <c r="B9" s="2">
        <v>776838</v>
      </c>
      <c r="C9" s="2">
        <v>819797</v>
      </c>
      <c r="D9" s="2">
        <v>891719</v>
      </c>
      <c r="E9" s="2">
        <v>985618</v>
      </c>
      <c r="F9" s="2">
        <v>1069099</v>
      </c>
      <c r="G9" s="2">
        <v>1126920</v>
      </c>
      <c r="H9" s="2">
        <v>1184371</v>
      </c>
      <c r="I9" s="108">
        <v>1215130</v>
      </c>
      <c r="J9" s="108">
        <v>1233043</v>
      </c>
      <c r="K9" s="108">
        <v>1247178</v>
      </c>
      <c r="L9" s="108">
        <v>1248293</v>
      </c>
      <c r="M9" s="90">
        <v>1262334</v>
      </c>
      <c r="N9" s="108">
        <v>1268483</v>
      </c>
      <c r="O9" s="108">
        <v>1220898</v>
      </c>
      <c r="P9" s="108">
        <v>1294701</v>
      </c>
      <c r="Q9" s="108">
        <v>1304147</v>
      </c>
      <c r="R9" s="108">
        <v>1341448</v>
      </c>
      <c r="S9" s="108">
        <v>1386099</v>
      </c>
      <c r="T9" s="108">
        <v>1455639</v>
      </c>
      <c r="U9" s="150">
        <f>(T9-K9)/K9</f>
        <v>0.16714614914631271</v>
      </c>
      <c r="V9" s="150">
        <f>(T9-P9)/P9</f>
        <v>0.12430514844740215</v>
      </c>
      <c r="W9" s="150">
        <f>(T9-S9)/S9</f>
        <v>5.0169576631972176E-2</v>
      </c>
      <c r="X9" s="150">
        <f>T9/T$9</f>
        <v>1</v>
      </c>
      <c r="Y9" s="221">
        <f>T9-S9</f>
        <v>69540</v>
      </c>
    </row>
    <row r="10" spans="1:25" x14ac:dyDescent="0.25">
      <c r="A10" s="17"/>
      <c r="B10" s="17"/>
      <c r="C10" s="17"/>
      <c r="D10" s="17"/>
      <c r="E10" s="17"/>
      <c r="F10" s="202"/>
      <c r="G10" s="202"/>
      <c r="H10" s="202"/>
      <c r="I10" s="202"/>
      <c r="J10" s="202"/>
      <c r="K10" s="202"/>
      <c r="L10" s="202"/>
      <c r="M10" s="204"/>
      <c r="N10" s="202"/>
      <c r="O10" s="202"/>
      <c r="P10" s="202"/>
      <c r="Q10" s="202"/>
      <c r="R10" s="202"/>
      <c r="S10" s="202"/>
      <c r="T10" s="202"/>
      <c r="U10" s="202"/>
      <c r="V10" s="202"/>
      <c r="W10" s="202"/>
      <c r="X10" s="4"/>
      <c r="Y10" s="4"/>
    </row>
    <row r="11" spans="1:25" ht="15.75" x14ac:dyDescent="0.25">
      <c r="A11" s="35" t="s">
        <v>223</v>
      </c>
      <c r="B11" s="22"/>
      <c r="C11" s="22"/>
      <c r="D11" s="22"/>
      <c r="E11" s="22"/>
      <c r="F11" s="17"/>
      <c r="G11" s="17"/>
      <c r="H11" s="17"/>
      <c r="I11" s="17"/>
      <c r="J11" s="17"/>
      <c r="K11" s="17"/>
      <c r="L11" s="17"/>
      <c r="M11" s="203"/>
      <c r="N11" s="17"/>
      <c r="O11" s="17"/>
      <c r="P11" s="17"/>
      <c r="Q11" s="17"/>
      <c r="R11" s="17"/>
      <c r="S11" s="17"/>
      <c r="T11" s="17"/>
      <c r="U11" s="17"/>
      <c r="V11" s="17"/>
      <c r="W11" s="17"/>
      <c r="X11" s="4"/>
      <c r="Y11" s="4"/>
    </row>
    <row r="12" spans="1:25" ht="25.5" x14ac:dyDescent="0.25">
      <c r="A12" s="111" t="s">
        <v>81</v>
      </c>
      <c r="B12" s="105">
        <v>2007</v>
      </c>
      <c r="C12" s="105">
        <v>2008</v>
      </c>
      <c r="D12" s="105">
        <v>2009</v>
      </c>
      <c r="E12" s="105">
        <v>2010</v>
      </c>
      <c r="F12" s="105">
        <v>2011</v>
      </c>
      <c r="G12" s="105">
        <v>2012</v>
      </c>
      <c r="H12" s="105">
        <v>2013</v>
      </c>
      <c r="I12" s="105">
        <v>2014</v>
      </c>
      <c r="J12" s="105">
        <v>2015</v>
      </c>
      <c r="K12" s="105">
        <v>2016</v>
      </c>
      <c r="L12" s="105">
        <v>2017</v>
      </c>
      <c r="M12" s="132">
        <v>2018</v>
      </c>
      <c r="N12" s="105">
        <v>2019</v>
      </c>
      <c r="O12" s="105">
        <v>2020</v>
      </c>
      <c r="P12" s="105">
        <v>2021</v>
      </c>
      <c r="Q12" s="105">
        <v>2022</v>
      </c>
      <c r="R12" s="105">
        <v>2023</v>
      </c>
      <c r="S12" s="105">
        <v>2024</v>
      </c>
      <c r="T12" s="105">
        <v>2025</v>
      </c>
      <c r="U12" s="106" t="s">
        <v>546</v>
      </c>
      <c r="V12" s="106" t="s">
        <v>547</v>
      </c>
      <c r="W12" s="106" t="s">
        <v>548</v>
      </c>
      <c r="X12" s="106" t="s">
        <v>549</v>
      </c>
      <c r="Y12" s="216" t="s">
        <v>563</v>
      </c>
    </row>
    <row r="13" spans="1:25" x14ac:dyDescent="0.25">
      <c r="A13" s="67" t="s">
        <v>2</v>
      </c>
      <c r="B13" s="95">
        <v>86838</v>
      </c>
      <c r="C13" s="95">
        <v>95903</v>
      </c>
      <c r="D13" s="95">
        <v>110021</v>
      </c>
      <c r="E13" s="95">
        <v>128571</v>
      </c>
      <c r="F13" s="95">
        <v>138635</v>
      </c>
      <c r="G13" s="95">
        <v>140048</v>
      </c>
      <c r="H13" s="95">
        <v>144383</v>
      </c>
      <c r="I13" s="95">
        <v>148012</v>
      </c>
      <c r="J13" s="95">
        <v>146546</v>
      </c>
      <c r="K13" s="95">
        <v>141720</v>
      </c>
      <c r="L13" s="95">
        <v>136789</v>
      </c>
      <c r="M13" s="121">
        <v>136739</v>
      </c>
      <c r="N13" s="95">
        <v>137928</v>
      </c>
      <c r="O13" s="95">
        <v>130346</v>
      </c>
      <c r="P13" s="95">
        <v>134477</v>
      </c>
      <c r="Q13" s="95">
        <v>131754</v>
      </c>
      <c r="R13" s="95">
        <v>136752</v>
      </c>
      <c r="S13" s="95">
        <v>145304</v>
      </c>
      <c r="T13" s="95">
        <v>152545</v>
      </c>
      <c r="U13" s="149">
        <f>(T13-K13)/K13</f>
        <v>7.6383008749647194E-2</v>
      </c>
      <c r="V13" s="149">
        <f>(T13-P13)/P13</f>
        <v>0.13435754813090714</v>
      </c>
      <c r="W13" s="149">
        <f>(T13-S13)/S13</f>
        <v>4.9833452623465287E-2</v>
      </c>
      <c r="X13" s="218">
        <f>T13/T$9</f>
        <v>0.10479590063195614</v>
      </c>
      <c r="Y13" s="219">
        <f>T13-S13</f>
        <v>7241</v>
      </c>
    </row>
    <row r="14" spans="1:25" x14ac:dyDescent="0.25">
      <c r="A14" s="67" t="s">
        <v>3</v>
      </c>
      <c r="B14" s="107">
        <v>156124</v>
      </c>
      <c r="C14" s="107">
        <v>162870</v>
      </c>
      <c r="D14" s="107">
        <v>189622</v>
      </c>
      <c r="E14" s="107">
        <v>224339</v>
      </c>
      <c r="F14" s="107">
        <v>267766</v>
      </c>
      <c r="G14" s="107">
        <v>301156</v>
      </c>
      <c r="H14" s="107">
        <v>332147</v>
      </c>
      <c r="I14" s="95">
        <v>357395</v>
      </c>
      <c r="J14" s="95">
        <v>378802</v>
      </c>
      <c r="K14" s="95">
        <v>384667</v>
      </c>
      <c r="L14" s="95">
        <v>377353</v>
      </c>
      <c r="M14" s="121">
        <v>374897</v>
      </c>
      <c r="N14" s="95">
        <v>381412</v>
      </c>
      <c r="O14" s="95">
        <v>362030</v>
      </c>
      <c r="P14" s="95">
        <v>379838</v>
      </c>
      <c r="Q14" s="95">
        <v>397705</v>
      </c>
      <c r="R14" s="95">
        <v>419432</v>
      </c>
      <c r="S14" s="95">
        <v>426533</v>
      </c>
      <c r="T14" s="95">
        <v>444054</v>
      </c>
      <c r="U14" s="149">
        <f>(T14-K14)/K14</f>
        <v>0.15438548146838693</v>
      </c>
      <c r="V14" s="149">
        <f>(T14-P14)/P14</f>
        <v>0.16906154729121362</v>
      </c>
      <c r="W14" s="149">
        <f>(T14-S14)/S14</f>
        <v>4.107771262715898E-2</v>
      </c>
      <c r="X14" s="218">
        <f>T14/T$9</f>
        <v>0.30505777874871448</v>
      </c>
      <c r="Y14" s="219">
        <f>T14-S14</f>
        <v>17521</v>
      </c>
    </row>
    <row r="15" spans="1:25" x14ac:dyDescent="0.25">
      <c r="A15" s="67" t="s">
        <v>4</v>
      </c>
      <c r="B15" s="107">
        <v>533876</v>
      </c>
      <c r="C15" s="107">
        <v>561024</v>
      </c>
      <c r="D15" s="107">
        <v>592076</v>
      </c>
      <c r="E15" s="107">
        <v>632708</v>
      </c>
      <c r="F15" s="107">
        <v>662698</v>
      </c>
      <c r="G15" s="107">
        <v>685716</v>
      </c>
      <c r="H15" s="107">
        <v>707841</v>
      </c>
      <c r="I15" s="95">
        <v>709723</v>
      </c>
      <c r="J15" s="95">
        <v>707695</v>
      </c>
      <c r="K15" s="95">
        <v>720791</v>
      </c>
      <c r="L15" s="95">
        <v>734151</v>
      </c>
      <c r="M15" s="121">
        <v>750698</v>
      </c>
      <c r="N15" s="95">
        <v>749143</v>
      </c>
      <c r="O15" s="95">
        <v>728522</v>
      </c>
      <c r="P15" s="95">
        <v>780386</v>
      </c>
      <c r="Q15" s="95">
        <v>774688</v>
      </c>
      <c r="R15" s="95">
        <v>785264</v>
      </c>
      <c r="S15" s="95">
        <v>814262</v>
      </c>
      <c r="T15" s="95">
        <v>859040</v>
      </c>
      <c r="U15" s="149">
        <f>(T15-K15)/K15</f>
        <v>0.19180178442849591</v>
      </c>
      <c r="V15" s="149">
        <f>(T15-P15)/P15</f>
        <v>0.10078858411093997</v>
      </c>
      <c r="W15" s="149">
        <f>(T15-S15)/S15</f>
        <v>5.4992127840916068E-2</v>
      </c>
      <c r="X15" s="218">
        <f>T15/T$9</f>
        <v>0.59014632061932937</v>
      </c>
      <c r="Y15" s="219">
        <f>T15-S15</f>
        <v>44778</v>
      </c>
    </row>
    <row r="16" spans="1:25" x14ac:dyDescent="0.25">
      <c r="A16" s="71" t="s">
        <v>0</v>
      </c>
      <c r="B16" s="2">
        <v>776838</v>
      </c>
      <c r="C16" s="2">
        <v>819797</v>
      </c>
      <c r="D16" s="2">
        <v>891719</v>
      </c>
      <c r="E16" s="2">
        <v>985618</v>
      </c>
      <c r="F16" s="2">
        <v>1069099</v>
      </c>
      <c r="G16" s="2">
        <v>1126920</v>
      </c>
      <c r="H16" s="2">
        <v>1184371</v>
      </c>
      <c r="I16" s="108">
        <v>1215130</v>
      </c>
      <c r="J16" s="108">
        <v>1233043</v>
      </c>
      <c r="K16" s="108">
        <v>1247178</v>
      </c>
      <c r="L16" s="108">
        <v>1248293</v>
      </c>
      <c r="M16" s="90">
        <v>1262334</v>
      </c>
      <c r="N16" s="108">
        <v>1268483</v>
      </c>
      <c r="O16" s="108">
        <v>1220898</v>
      </c>
      <c r="P16" s="108">
        <v>1294701</v>
      </c>
      <c r="Q16" s="108">
        <v>1304147</v>
      </c>
      <c r="R16" s="108">
        <v>1341448</v>
      </c>
      <c r="S16" s="108">
        <v>1386099</v>
      </c>
      <c r="T16" s="108">
        <v>1455639</v>
      </c>
      <c r="U16" s="150">
        <f>(T16-K16)/K16</f>
        <v>0.16714614914631271</v>
      </c>
      <c r="V16" s="150">
        <f>(T16-P16)/P16</f>
        <v>0.12430514844740215</v>
      </c>
      <c r="W16" s="150">
        <f>(T16-S16)/S16</f>
        <v>5.0169576631972176E-2</v>
      </c>
      <c r="X16" s="150">
        <f>T16/T$9</f>
        <v>1</v>
      </c>
      <c r="Y16" s="221">
        <f>T16-S16</f>
        <v>69540</v>
      </c>
    </row>
    <row r="17" spans="1:25" x14ac:dyDescent="0.25">
      <c r="A17" s="112"/>
      <c r="B17" s="17"/>
      <c r="C17" s="17"/>
      <c r="D17" s="17"/>
      <c r="E17" s="17"/>
      <c r="F17" s="17"/>
      <c r="G17" s="17"/>
      <c r="H17" s="17"/>
      <c r="I17" s="17"/>
      <c r="J17" s="17"/>
      <c r="K17" s="17"/>
      <c r="L17" s="17"/>
      <c r="M17" s="203"/>
      <c r="N17" s="17"/>
      <c r="O17" s="14"/>
      <c r="P17" s="14"/>
      <c r="Q17" s="14"/>
      <c r="R17" s="14"/>
      <c r="S17" s="14"/>
      <c r="T17" s="14"/>
      <c r="U17" s="14"/>
      <c r="V17" s="14"/>
      <c r="W17" s="14"/>
      <c r="X17" s="4"/>
      <c r="Y17" s="4"/>
    </row>
    <row r="18" spans="1:25" ht="15.75" x14ac:dyDescent="0.25">
      <c r="A18" s="35" t="s">
        <v>129</v>
      </c>
      <c r="B18" s="22"/>
      <c r="C18" s="22"/>
      <c r="D18" s="22"/>
      <c r="E18" s="22"/>
      <c r="F18" s="22"/>
      <c r="G18" s="22"/>
      <c r="H18" s="17"/>
      <c r="I18" s="17"/>
      <c r="J18" s="17"/>
      <c r="K18" s="17"/>
      <c r="L18" s="17"/>
      <c r="M18" s="203"/>
      <c r="N18" s="17"/>
      <c r="O18" s="14"/>
      <c r="P18" s="14"/>
      <c r="Q18" s="14"/>
      <c r="R18" s="14"/>
      <c r="S18" s="14"/>
      <c r="T18" s="14"/>
      <c r="U18" s="14"/>
      <c r="V18" s="14"/>
      <c r="W18" s="14"/>
      <c r="X18" s="4"/>
      <c r="Y18" s="4"/>
    </row>
    <row r="19" spans="1:25" ht="25.5" x14ac:dyDescent="0.25">
      <c r="A19" s="111" t="s">
        <v>81</v>
      </c>
      <c r="B19" s="105">
        <v>2007</v>
      </c>
      <c r="C19" s="105">
        <v>2008</v>
      </c>
      <c r="D19" s="105">
        <v>2009</v>
      </c>
      <c r="E19" s="105">
        <v>2010</v>
      </c>
      <c r="F19" s="105">
        <v>2011</v>
      </c>
      <c r="G19" s="105">
        <v>2012</v>
      </c>
      <c r="H19" s="105">
        <v>2013</v>
      </c>
      <c r="I19" s="105">
        <v>2014</v>
      </c>
      <c r="J19" s="105">
        <v>2015</v>
      </c>
      <c r="K19" s="105">
        <v>2016</v>
      </c>
      <c r="L19" s="105">
        <v>2017</v>
      </c>
      <c r="M19" s="132">
        <v>2018</v>
      </c>
      <c r="N19" s="105">
        <v>2019</v>
      </c>
      <c r="O19" s="105">
        <v>2020</v>
      </c>
      <c r="P19" s="105">
        <v>2021</v>
      </c>
      <c r="Q19" s="105">
        <v>2022</v>
      </c>
      <c r="R19" s="105">
        <v>2023</v>
      </c>
      <c r="S19" s="105">
        <v>2024</v>
      </c>
      <c r="T19" s="105">
        <v>2025</v>
      </c>
      <c r="U19" s="106" t="s">
        <v>546</v>
      </c>
      <c r="V19" s="106" t="s">
        <v>547</v>
      </c>
      <c r="W19" s="106" t="s">
        <v>548</v>
      </c>
      <c r="X19" s="106" t="s">
        <v>549</v>
      </c>
      <c r="Y19" s="216" t="s">
        <v>563</v>
      </c>
    </row>
    <row r="20" spans="1:25" x14ac:dyDescent="0.25">
      <c r="A20" s="71" t="s">
        <v>2</v>
      </c>
      <c r="B20" s="94">
        <v>86838</v>
      </c>
      <c r="C20" s="94">
        <v>95903</v>
      </c>
      <c r="D20" s="21">
        <v>110021</v>
      </c>
      <c r="E20" s="21">
        <v>128571</v>
      </c>
      <c r="F20" s="21">
        <v>138635</v>
      </c>
      <c r="G20" s="21">
        <v>140048</v>
      </c>
      <c r="H20" s="21">
        <v>144383</v>
      </c>
      <c r="I20" s="21">
        <v>148012</v>
      </c>
      <c r="J20" s="21">
        <v>146546</v>
      </c>
      <c r="K20" s="21">
        <v>141720</v>
      </c>
      <c r="L20" s="21">
        <v>136789</v>
      </c>
      <c r="M20" s="90">
        <v>136739</v>
      </c>
      <c r="N20" s="21">
        <v>137928</v>
      </c>
      <c r="O20" s="21">
        <v>130346</v>
      </c>
      <c r="P20" s="21">
        <v>134477</v>
      </c>
      <c r="Q20" s="21">
        <v>131754</v>
      </c>
      <c r="R20" s="21">
        <v>136752</v>
      </c>
      <c r="S20" s="21">
        <v>145304</v>
      </c>
      <c r="T20" s="21">
        <v>152545</v>
      </c>
      <c r="U20" s="150">
        <f t="shared" ref="U20:U30" si="0">(T20-K20)/K20</f>
        <v>7.6383008749647194E-2</v>
      </c>
      <c r="V20" s="150">
        <f t="shared" ref="V20:V30" si="1">(T20-P20)/P20</f>
        <v>0.13435754813090714</v>
      </c>
      <c r="W20" s="150">
        <f t="shared" ref="W20:W30" si="2">(T20-S20)/S20</f>
        <v>4.9833452623465287E-2</v>
      </c>
      <c r="X20" s="220">
        <f t="shared" ref="X20:X30" si="3">T20/T$9</f>
        <v>0.10479590063195614</v>
      </c>
      <c r="Y20" s="221">
        <f t="shared" ref="Y20:Y30" si="4">T20-S20</f>
        <v>7241</v>
      </c>
    </row>
    <row r="21" spans="1:25" x14ac:dyDescent="0.25">
      <c r="A21" s="142" t="s">
        <v>68</v>
      </c>
      <c r="B21" s="125">
        <v>86838</v>
      </c>
      <c r="C21" s="125">
        <v>95891</v>
      </c>
      <c r="D21" s="30">
        <v>110007</v>
      </c>
      <c r="E21" s="30">
        <v>128566</v>
      </c>
      <c r="F21" s="30">
        <v>138574</v>
      </c>
      <c r="G21" s="30">
        <v>140031</v>
      </c>
      <c r="H21" s="20">
        <v>144365</v>
      </c>
      <c r="I21" s="20">
        <v>148010</v>
      </c>
      <c r="J21" s="20">
        <v>146540</v>
      </c>
      <c r="K21" s="20">
        <v>141711</v>
      </c>
      <c r="L21" s="20">
        <v>136777</v>
      </c>
      <c r="M21" s="32">
        <v>136728</v>
      </c>
      <c r="N21" s="20">
        <v>137919</v>
      </c>
      <c r="O21" s="20">
        <v>130338</v>
      </c>
      <c r="P21" s="20">
        <v>134463</v>
      </c>
      <c r="Q21" s="20">
        <v>131747</v>
      </c>
      <c r="R21" s="20">
        <v>136743</v>
      </c>
      <c r="S21" s="20">
        <v>145299</v>
      </c>
      <c r="T21" s="20">
        <v>152439</v>
      </c>
      <c r="U21" s="149">
        <f t="shared" si="0"/>
        <v>7.5703368122446393E-2</v>
      </c>
      <c r="V21" s="149">
        <f t="shared" si="1"/>
        <v>0.13368733406215835</v>
      </c>
      <c r="W21" s="149">
        <f t="shared" si="2"/>
        <v>4.9140049140049137E-2</v>
      </c>
      <c r="X21" s="218">
        <f t="shared" si="3"/>
        <v>0.10472308037913246</v>
      </c>
      <c r="Y21" s="219">
        <f t="shared" si="4"/>
        <v>7140</v>
      </c>
    </row>
    <row r="22" spans="1:25" x14ac:dyDescent="0.25">
      <c r="A22" s="142" t="s">
        <v>101</v>
      </c>
      <c r="B22" s="125">
        <v>0</v>
      </c>
      <c r="C22" s="125">
        <v>12</v>
      </c>
      <c r="D22" s="30">
        <v>14</v>
      </c>
      <c r="E22" s="30">
        <v>5</v>
      </c>
      <c r="F22" s="30">
        <v>61</v>
      </c>
      <c r="G22" s="30">
        <v>17</v>
      </c>
      <c r="H22" s="20">
        <v>18</v>
      </c>
      <c r="I22" s="20">
        <v>2</v>
      </c>
      <c r="J22" s="20">
        <v>6</v>
      </c>
      <c r="K22" s="20">
        <v>9</v>
      </c>
      <c r="L22" s="20">
        <v>12</v>
      </c>
      <c r="M22" s="32">
        <v>11</v>
      </c>
      <c r="N22" s="20">
        <v>9</v>
      </c>
      <c r="O22" s="20">
        <v>8</v>
      </c>
      <c r="P22" s="20">
        <v>14</v>
      </c>
      <c r="Q22" s="20">
        <v>7</v>
      </c>
      <c r="R22" s="20">
        <v>9</v>
      </c>
      <c r="S22" s="20">
        <v>5</v>
      </c>
      <c r="T22" s="20">
        <v>106</v>
      </c>
      <c r="U22" s="149">
        <f t="shared" si="0"/>
        <v>10.777777777777779</v>
      </c>
      <c r="V22" s="149">
        <f t="shared" si="1"/>
        <v>6.5714285714285712</v>
      </c>
      <c r="W22" s="149">
        <f t="shared" si="2"/>
        <v>20.2</v>
      </c>
      <c r="X22" s="218">
        <f t="shared" si="3"/>
        <v>7.2820252823674008E-5</v>
      </c>
      <c r="Y22" s="219">
        <f t="shared" si="4"/>
        <v>101</v>
      </c>
    </row>
    <row r="23" spans="1:25" x14ac:dyDescent="0.25">
      <c r="A23" s="71" t="s">
        <v>245</v>
      </c>
      <c r="B23" s="94">
        <v>156124</v>
      </c>
      <c r="C23" s="94">
        <v>162870</v>
      </c>
      <c r="D23" s="21">
        <v>189622</v>
      </c>
      <c r="E23" s="21">
        <v>224339</v>
      </c>
      <c r="F23" s="21">
        <v>267766</v>
      </c>
      <c r="G23" s="21">
        <v>301156</v>
      </c>
      <c r="H23" s="21">
        <v>332147</v>
      </c>
      <c r="I23" s="21">
        <v>357395</v>
      </c>
      <c r="J23" s="21">
        <v>378802</v>
      </c>
      <c r="K23" s="21">
        <v>384667</v>
      </c>
      <c r="L23" s="21">
        <v>377353</v>
      </c>
      <c r="M23" s="90">
        <v>374897</v>
      </c>
      <c r="N23" s="21">
        <v>381412</v>
      </c>
      <c r="O23" s="21">
        <v>362030</v>
      </c>
      <c r="P23" s="21">
        <v>379838</v>
      </c>
      <c r="Q23" s="21">
        <v>397705</v>
      </c>
      <c r="R23" s="21">
        <v>419432</v>
      </c>
      <c r="S23" s="21">
        <v>426533</v>
      </c>
      <c r="T23" s="21">
        <v>444054</v>
      </c>
      <c r="U23" s="150">
        <f t="shared" si="0"/>
        <v>0.15438548146838693</v>
      </c>
      <c r="V23" s="150">
        <f t="shared" si="1"/>
        <v>0.16906154729121362</v>
      </c>
      <c r="W23" s="150">
        <f t="shared" si="2"/>
        <v>4.107771262715898E-2</v>
      </c>
      <c r="X23" s="220">
        <f t="shared" si="3"/>
        <v>0.30505777874871448</v>
      </c>
      <c r="Y23" s="221">
        <f t="shared" si="4"/>
        <v>17521</v>
      </c>
    </row>
    <row r="24" spans="1:25" x14ac:dyDescent="0.25">
      <c r="A24" s="142" t="s">
        <v>68</v>
      </c>
      <c r="B24" s="30">
        <v>156124</v>
      </c>
      <c r="C24" s="125">
        <v>162848</v>
      </c>
      <c r="D24" s="30">
        <v>189597</v>
      </c>
      <c r="E24" s="30">
        <v>224301</v>
      </c>
      <c r="F24" s="30">
        <v>260692</v>
      </c>
      <c r="G24" s="30">
        <v>293519</v>
      </c>
      <c r="H24" s="20">
        <v>324579</v>
      </c>
      <c r="I24" s="20">
        <v>351004</v>
      </c>
      <c r="J24" s="20">
        <v>373171</v>
      </c>
      <c r="K24" s="20">
        <v>380988</v>
      </c>
      <c r="L24" s="20">
        <v>374709</v>
      </c>
      <c r="M24" s="32">
        <v>373104</v>
      </c>
      <c r="N24" s="20">
        <v>379456</v>
      </c>
      <c r="O24" s="20">
        <v>361387</v>
      </c>
      <c r="P24" s="20">
        <v>378538</v>
      </c>
      <c r="Q24" s="20">
        <v>396829</v>
      </c>
      <c r="R24" s="20">
        <v>419014</v>
      </c>
      <c r="S24" s="20">
        <v>426272</v>
      </c>
      <c r="T24" s="20">
        <v>442924</v>
      </c>
      <c r="U24" s="149">
        <f t="shared" si="0"/>
        <v>0.1625668000041996</v>
      </c>
      <c r="V24" s="149">
        <f t="shared" si="1"/>
        <v>0.17009124579302473</v>
      </c>
      <c r="W24" s="149">
        <f t="shared" si="2"/>
        <v>3.9064259439981985E-2</v>
      </c>
      <c r="X24" s="218">
        <f t="shared" si="3"/>
        <v>0.30428148737427341</v>
      </c>
      <c r="Y24" s="219">
        <f t="shared" si="4"/>
        <v>16652</v>
      </c>
    </row>
    <row r="25" spans="1:25" x14ac:dyDescent="0.25">
      <c r="A25" s="142" t="s">
        <v>101</v>
      </c>
      <c r="B25" s="125">
        <v>0</v>
      </c>
      <c r="C25" s="125">
        <v>22</v>
      </c>
      <c r="D25" s="30">
        <v>25</v>
      </c>
      <c r="E25" s="30">
        <v>38</v>
      </c>
      <c r="F25" s="30">
        <v>7074</v>
      </c>
      <c r="G25" s="30">
        <v>7637</v>
      </c>
      <c r="H25" s="20">
        <v>7568</v>
      </c>
      <c r="I25" s="20">
        <v>6391</v>
      </c>
      <c r="J25" s="20">
        <v>5631</v>
      </c>
      <c r="K25" s="20">
        <v>3679</v>
      </c>
      <c r="L25" s="20">
        <v>2644</v>
      </c>
      <c r="M25" s="32">
        <v>1793</v>
      </c>
      <c r="N25" s="20">
        <v>1956</v>
      </c>
      <c r="O25" s="20">
        <v>643</v>
      </c>
      <c r="P25" s="20">
        <v>1300</v>
      </c>
      <c r="Q25" s="20">
        <v>876</v>
      </c>
      <c r="R25" s="20">
        <v>418</v>
      </c>
      <c r="S25" s="20">
        <v>261</v>
      </c>
      <c r="T25" s="20">
        <v>1130</v>
      </c>
      <c r="U25" s="149">
        <f t="shared" si="0"/>
        <v>-0.69285131829301438</v>
      </c>
      <c r="V25" s="149">
        <f t="shared" si="1"/>
        <v>-0.13076923076923078</v>
      </c>
      <c r="W25" s="149">
        <f t="shared" si="2"/>
        <v>3.3295019157088124</v>
      </c>
      <c r="X25" s="218">
        <f t="shared" si="3"/>
        <v>7.7629137444105306E-4</v>
      </c>
      <c r="Y25" s="219">
        <f t="shared" si="4"/>
        <v>869</v>
      </c>
    </row>
    <row r="26" spans="1:25" x14ac:dyDescent="0.25">
      <c r="A26" s="71" t="s">
        <v>4</v>
      </c>
      <c r="B26" s="94">
        <v>533876</v>
      </c>
      <c r="C26" s="94">
        <v>561024</v>
      </c>
      <c r="D26" s="21">
        <v>592076</v>
      </c>
      <c r="E26" s="21">
        <v>632708</v>
      </c>
      <c r="F26" s="21">
        <v>662698</v>
      </c>
      <c r="G26" s="21">
        <v>685716</v>
      </c>
      <c r="H26" s="21">
        <v>707841</v>
      </c>
      <c r="I26" s="21">
        <v>709723</v>
      </c>
      <c r="J26" s="21">
        <v>707695</v>
      </c>
      <c r="K26" s="21">
        <v>720791</v>
      </c>
      <c r="L26" s="21">
        <v>734151</v>
      </c>
      <c r="M26" s="90">
        <v>750698</v>
      </c>
      <c r="N26" s="21">
        <v>749143</v>
      </c>
      <c r="O26" s="21">
        <v>728522</v>
      </c>
      <c r="P26" s="21">
        <v>780386</v>
      </c>
      <c r="Q26" s="21">
        <v>774688</v>
      </c>
      <c r="R26" s="21">
        <v>785264</v>
      </c>
      <c r="S26" s="21">
        <v>814262</v>
      </c>
      <c r="T26" s="21">
        <v>859040</v>
      </c>
      <c r="U26" s="150">
        <f t="shared" si="0"/>
        <v>0.19180178442849591</v>
      </c>
      <c r="V26" s="150">
        <f t="shared" si="1"/>
        <v>0.10078858411093997</v>
      </c>
      <c r="W26" s="150">
        <f t="shared" si="2"/>
        <v>5.4992127840916068E-2</v>
      </c>
      <c r="X26" s="220">
        <f t="shared" si="3"/>
        <v>0.59014632061932937</v>
      </c>
      <c r="Y26" s="221">
        <f t="shared" si="4"/>
        <v>44778</v>
      </c>
    </row>
    <row r="27" spans="1:25" x14ac:dyDescent="0.25">
      <c r="A27" s="142" t="s">
        <v>68</v>
      </c>
      <c r="B27" s="125">
        <v>505382</v>
      </c>
      <c r="C27" s="125">
        <v>524610</v>
      </c>
      <c r="D27" s="20">
        <v>549736</v>
      </c>
      <c r="E27" s="20">
        <v>585391</v>
      </c>
      <c r="F27" s="20">
        <v>615811</v>
      </c>
      <c r="G27" s="20">
        <v>631266</v>
      </c>
      <c r="H27" s="20">
        <v>645333</v>
      </c>
      <c r="I27" s="20">
        <v>645367</v>
      </c>
      <c r="J27" s="20">
        <v>646195</v>
      </c>
      <c r="K27" s="20">
        <v>655781</v>
      </c>
      <c r="L27" s="20">
        <v>665806</v>
      </c>
      <c r="M27" s="32">
        <v>678213</v>
      </c>
      <c r="N27" s="20">
        <v>677084</v>
      </c>
      <c r="O27" s="20">
        <v>660109</v>
      </c>
      <c r="P27" s="20">
        <v>691375</v>
      </c>
      <c r="Q27" s="20">
        <v>685435</v>
      </c>
      <c r="R27" s="20">
        <v>693662</v>
      </c>
      <c r="S27" s="20">
        <v>706040</v>
      </c>
      <c r="T27" s="20">
        <v>731981</v>
      </c>
      <c r="U27" s="149">
        <f t="shared" si="0"/>
        <v>0.11619732807141409</v>
      </c>
      <c r="V27" s="149">
        <f t="shared" si="1"/>
        <v>5.873223648526487E-2</v>
      </c>
      <c r="W27" s="149">
        <f t="shared" si="2"/>
        <v>3.6741544388419922E-2</v>
      </c>
      <c r="X27" s="218">
        <f t="shared" si="3"/>
        <v>0.50285888190684636</v>
      </c>
      <c r="Y27" s="219">
        <f t="shared" si="4"/>
        <v>25941</v>
      </c>
    </row>
    <row r="28" spans="1:25" x14ac:dyDescent="0.25">
      <c r="A28" s="142" t="s">
        <v>35</v>
      </c>
      <c r="B28" s="125">
        <v>20693</v>
      </c>
      <c r="C28" s="125">
        <v>26074</v>
      </c>
      <c r="D28" s="20">
        <v>28357</v>
      </c>
      <c r="E28" s="20">
        <v>33398</v>
      </c>
      <c r="F28" s="20">
        <v>34480</v>
      </c>
      <c r="G28" s="20">
        <v>41201</v>
      </c>
      <c r="H28" s="20">
        <v>46726</v>
      </c>
      <c r="I28" s="20">
        <v>46806</v>
      </c>
      <c r="J28" s="20">
        <v>45116</v>
      </c>
      <c r="K28" s="20">
        <v>47584</v>
      </c>
      <c r="L28" s="20">
        <v>48698</v>
      </c>
      <c r="M28" s="32">
        <v>46875</v>
      </c>
      <c r="N28" s="20">
        <v>48391</v>
      </c>
      <c r="O28" s="20">
        <v>45483</v>
      </c>
      <c r="P28" s="20">
        <v>53247</v>
      </c>
      <c r="Q28" s="20">
        <v>54585</v>
      </c>
      <c r="R28" s="20">
        <v>52303</v>
      </c>
      <c r="S28" s="20">
        <v>52061</v>
      </c>
      <c r="T28" s="20">
        <v>54696</v>
      </c>
      <c r="U28" s="149">
        <f t="shared" si="0"/>
        <v>0.14946200403496973</v>
      </c>
      <c r="V28" s="149">
        <f t="shared" si="1"/>
        <v>2.7212800721167388E-2</v>
      </c>
      <c r="W28" s="149">
        <f t="shared" si="2"/>
        <v>5.0613703155913257E-2</v>
      </c>
      <c r="X28" s="218">
        <f t="shared" si="3"/>
        <v>3.7575250457015784E-2</v>
      </c>
      <c r="Y28" s="219">
        <f t="shared" si="4"/>
        <v>2635</v>
      </c>
    </row>
    <row r="29" spans="1:25" x14ac:dyDescent="0.25">
      <c r="A29" s="142" t="s">
        <v>101</v>
      </c>
      <c r="B29" s="125">
        <v>7801</v>
      </c>
      <c r="C29" s="125">
        <v>10340</v>
      </c>
      <c r="D29" s="20">
        <v>13983</v>
      </c>
      <c r="E29" s="20">
        <v>13919</v>
      </c>
      <c r="F29" s="20">
        <v>12407</v>
      </c>
      <c r="G29" s="20">
        <v>13249</v>
      </c>
      <c r="H29" s="20">
        <v>15782</v>
      </c>
      <c r="I29" s="20">
        <v>17550</v>
      </c>
      <c r="J29" s="20">
        <v>16384</v>
      </c>
      <c r="K29" s="20">
        <v>17426</v>
      </c>
      <c r="L29" s="20">
        <v>19647</v>
      </c>
      <c r="M29" s="32">
        <v>25610</v>
      </c>
      <c r="N29" s="20">
        <v>23668</v>
      </c>
      <c r="O29" s="20">
        <v>22930</v>
      </c>
      <c r="P29" s="20">
        <v>35764</v>
      </c>
      <c r="Q29" s="20">
        <v>34668</v>
      </c>
      <c r="R29" s="20">
        <v>39299</v>
      </c>
      <c r="S29" s="20">
        <v>56161</v>
      </c>
      <c r="T29" s="20">
        <v>72363</v>
      </c>
      <c r="U29" s="149">
        <f t="shared" si="0"/>
        <v>3.1525880867669001</v>
      </c>
      <c r="V29" s="149">
        <f t="shared" si="1"/>
        <v>1.0233475002796109</v>
      </c>
      <c r="W29" s="149">
        <f t="shared" si="2"/>
        <v>0.28849201403108921</v>
      </c>
      <c r="X29" s="218">
        <f t="shared" si="3"/>
        <v>4.9712188255467187E-2</v>
      </c>
      <c r="Y29" s="219">
        <f t="shared" si="4"/>
        <v>16202</v>
      </c>
    </row>
    <row r="30" spans="1:25" x14ac:dyDescent="0.25">
      <c r="A30" s="71" t="s">
        <v>0</v>
      </c>
      <c r="B30" s="94">
        <v>776838</v>
      </c>
      <c r="C30" s="94">
        <v>819797</v>
      </c>
      <c r="D30" s="21">
        <v>891719</v>
      </c>
      <c r="E30" s="21">
        <v>985618</v>
      </c>
      <c r="F30" s="21">
        <v>1069099</v>
      </c>
      <c r="G30" s="21">
        <v>1126920</v>
      </c>
      <c r="H30" s="21">
        <v>1184371</v>
      </c>
      <c r="I30" s="21">
        <v>1215130</v>
      </c>
      <c r="J30" s="21">
        <v>1233043</v>
      </c>
      <c r="K30" s="21">
        <v>1247178</v>
      </c>
      <c r="L30" s="21">
        <v>1248293</v>
      </c>
      <c r="M30" s="90">
        <v>1262334</v>
      </c>
      <c r="N30" s="21">
        <v>1268483</v>
      </c>
      <c r="O30" s="21">
        <v>1220898</v>
      </c>
      <c r="P30" s="21">
        <v>1294701</v>
      </c>
      <c r="Q30" s="21">
        <v>1304147</v>
      </c>
      <c r="R30" s="21">
        <v>1341448</v>
      </c>
      <c r="S30" s="21">
        <v>1386099</v>
      </c>
      <c r="T30" s="21">
        <v>1455639</v>
      </c>
      <c r="U30" s="150">
        <f t="shared" si="0"/>
        <v>0.16714614914631271</v>
      </c>
      <c r="V30" s="150">
        <f t="shared" si="1"/>
        <v>0.12430514844740215</v>
      </c>
      <c r="W30" s="150">
        <f t="shared" si="2"/>
        <v>5.0169576631972176E-2</v>
      </c>
      <c r="X30" s="150">
        <f t="shared" si="3"/>
        <v>1</v>
      </c>
      <c r="Y30" s="221">
        <f t="shared" si="4"/>
        <v>69540</v>
      </c>
    </row>
    <row r="31" spans="1:25" x14ac:dyDescent="0.25">
      <c r="A31" s="113"/>
      <c r="B31" s="47"/>
      <c r="C31" s="47"/>
      <c r="D31" s="48"/>
      <c r="E31" s="48"/>
      <c r="F31" s="48"/>
      <c r="G31" s="48"/>
      <c r="H31" s="48"/>
      <c r="I31" s="48"/>
      <c r="J31" s="48"/>
      <c r="K31" s="48"/>
      <c r="L31" s="48"/>
      <c r="M31" s="205"/>
      <c r="N31" s="48"/>
      <c r="O31" s="49"/>
      <c r="P31" s="49"/>
      <c r="Q31" s="49"/>
      <c r="R31" s="49"/>
      <c r="S31" s="49"/>
      <c r="T31" s="49"/>
      <c r="U31" s="49"/>
      <c r="V31" s="49"/>
      <c r="W31" s="14"/>
      <c r="X31" s="4"/>
      <c r="Y31" s="4"/>
    </row>
    <row r="32" spans="1:25" ht="15.75" x14ac:dyDescent="0.25">
      <c r="A32" s="35" t="s">
        <v>274</v>
      </c>
      <c r="B32" s="22"/>
      <c r="C32" s="22"/>
      <c r="D32" s="22"/>
      <c r="E32" s="22"/>
      <c r="F32" s="22"/>
      <c r="G32" s="22"/>
      <c r="H32" s="4"/>
      <c r="I32" s="4"/>
      <c r="J32" s="4"/>
      <c r="K32" s="4"/>
      <c r="L32" s="4"/>
      <c r="M32" s="4"/>
      <c r="N32" s="4"/>
      <c r="O32" s="5"/>
      <c r="P32" s="5"/>
      <c r="Q32" s="5"/>
      <c r="R32" s="5"/>
      <c r="S32" s="5"/>
      <c r="T32" s="5"/>
      <c r="U32" s="5"/>
      <c r="V32" s="5"/>
      <c r="W32" s="5"/>
      <c r="X32" s="4"/>
      <c r="Y32" s="4"/>
    </row>
    <row r="33" spans="1:25" ht="25.5" x14ac:dyDescent="0.25">
      <c r="A33" s="111" t="s">
        <v>81</v>
      </c>
      <c r="B33" s="105">
        <v>2007</v>
      </c>
      <c r="C33" s="105">
        <v>2008</v>
      </c>
      <c r="D33" s="105">
        <v>2009</v>
      </c>
      <c r="E33" s="105">
        <v>2010</v>
      </c>
      <c r="F33" s="105">
        <v>2011</v>
      </c>
      <c r="G33" s="105">
        <v>2012</v>
      </c>
      <c r="H33" s="105">
        <v>2013</v>
      </c>
      <c r="I33" s="105">
        <v>2014</v>
      </c>
      <c r="J33" s="105">
        <v>2015</v>
      </c>
      <c r="K33" s="105">
        <v>2016</v>
      </c>
      <c r="L33" s="105">
        <v>2017</v>
      </c>
      <c r="M33" s="132">
        <v>2018</v>
      </c>
      <c r="N33" s="105">
        <v>2019</v>
      </c>
      <c r="O33" s="105">
        <v>2020</v>
      </c>
      <c r="P33" s="105">
        <v>2021</v>
      </c>
      <c r="Q33" s="105">
        <v>2022</v>
      </c>
      <c r="R33" s="105">
        <v>2023</v>
      </c>
      <c r="S33" s="105">
        <v>2024</v>
      </c>
      <c r="T33" s="105">
        <v>2025</v>
      </c>
      <c r="U33" s="106" t="s">
        <v>546</v>
      </c>
      <c r="V33" s="106" t="s">
        <v>547</v>
      </c>
      <c r="W33" s="106" t="s">
        <v>548</v>
      </c>
      <c r="X33" s="106" t="s">
        <v>549</v>
      </c>
      <c r="Y33" s="216" t="s">
        <v>563</v>
      </c>
    </row>
    <row r="34" spans="1:25" x14ac:dyDescent="0.25">
      <c r="A34" s="67" t="s">
        <v>2</v>
      </c>
      <c r="B34" s="20">
        <v>86838</v>
      </c>
      <c r="C34" s="20">
        <v>95903</v>
      </c>
      <c r="D34" s="20">
        <v>110021</v>
      </c>
      <c r="E34" s="20">
        <v>128571</v>
      </c>
      <c r="F34" s="20">
        <v>138635</v>
      </c>
      <c r="G34" s="20">
        <v>140048</v>
      </c>
      <c r="H34" s="20">
        <v>144383</v>
      </c>
      <c r="I34" s="20">
        <v>148012</v>
      </c>
      <c r="J34" s="20">
        <v>146546</v>
      </c>
      <c r="K34" s="20">
        <v>141720</v>
      </c>
      <c r="L34" s="20">
        <v>136789</v>
      </c>
      <c r="M34" s="32">
        <v>136530</v>
      </c>
      <c r="N34" s="20">
        <v>136854</v>
      </c>
      <c r="O34" s="20">
        <v>127187</v>
      </c>
      <c r="P34" s="20">
        <v>127537</v>
      </c>
      <c r="Q34" s="20">
        <v>123319</v>
      </c>
      <c r="R34" s="20">
        <v>125305</v>
      </c>
      <c r="S34" s="20">
        <v>130263</v>
      </c>
      <c r="T34" s="20">
        <v>134012</v>
      </c>
      <c r="U34" s="149">
        <f t="shared" ref="U34:U41" si="5">(T34-K34)/K34</f>
        <v>-5.4388935930002824E-2</v>
      </c>
      <c r="V34" s="149">
        <f t="shared" ref="V34:V41" si="6">(T34-P34)/P34</f>
        <v>5.0769580592298705E-2</v>
      </c>
      <c r="W34" s="149">
        <f t="shared" ref="W34:W41" si="7">(T34-S34)/S34</f>
        <v>2.8780236905337663E-2</v>
      </c>
      <c r="X34" s="218">
        <f t="shared" ref="X34:X41" si="8">T34/T$9</f>
        <v>9.2064035107605663E-2</v>
      </c>
      <c r="Y34" s="219">
        <f t="shared" ref="Y34:Y41" si="9">T34-S34</f>
        <v>3749</v>
      </c>
    </row>
    <row r="35" spans="1:25" x14ac:dyDescent="0.25">
      <c r="A35" s="91" t="s">
        <v>356</v>
      </c>
      <c r="B35" s="95">
        <v>0</v>
      </c>
      <c r="C35" s="95">
        <v>0</v>
      </c>
      <c r="D35" s="20">
        <v>0</v>
      </c>
      <c r="E35" s="20">
        <v>0</v>
      </c>
      <c r="F35" s="20">
        <v>0</v>
      </c>
      <c r="G35" s="20">
        <v>0</v>
      </c>
      <c r="H35" s="20">
        <v>0</v>
      </c>
      <c r="I35" s="20">
        <v>0</v>
      </c>
      <c r="J35" s="20">
        <v>0</v>
      </c>
      <c r="K35" s="20">
        <v>0</v>
      </c>
      <c r="L35" s="20">
        <v>0</v>
      </c>
      <c r="M35" s="32">
        <v>209</v>
      </c>
      <c r="N35" s="20">
        <v>1074</v>
      </c>
      <c r="O35" s="20">
        <v>3159</v>
      </c>
      <c r="P35" s="20">
        <v>6940</v>
      </c>
      <c r="Q35" s="20">
        <v>8435</v>
      </c>
      <c r="R35" s="20">
        <v>11447</v>
      </c>
      <c r="S35" s="20">
        <v>15041</v>
      </c>
      <c r="T35" s="20">
        <v>18533</v>
      </c>
      <c r="U35" s="149" t="s">
        <v>130</v>
      </c>
      <c r="V35" s="149">
        <f t="shared" si="6"/>
        <v>1.6704610951008645</v>
      </c>
      <c r="W35" s="149">
        <f t="shared" si="7"/>
        <v>0.23216541453360814</v>
      </c>
      <c r="X35" s="218">
        <f t="shared" si="8"/>
        <v>1.2731865524350475E-2</v>
      </c>
      <c r="Y35" s="219">
        <f t="shared" si="9"/>
        <v>3492</v>
      </c>
    </row>
    <row r="36" spans="1:25" x14ac:dyDescent="0.25">
      <c r="A36" s="67" t="s">
        <v>3</v>
      </c>
      <c r="B36" s="20">
        <v>156124</v>
      </c>
      <c r="C36" s="20">
        <v>162870</v>
      </c>
      <c r="D36" s="20">
        <v>189622</v>
      </c>
      <c r="E36" s="20">
        <v>224339</v>
      </c>
      <c r="F36" s="20">
        <v>267766</v>
      </c>
      <c r="G36" s="20">
        <v>301156</v>
      </c>
      <c r="H36" s="20">
        <v>332147</v>
      </c>
      <c r="I36" s="20">
        <v>357395</v>
      </c>
      <c r="J36" s="20">
        <v>378802</v>
      </c>
      <c r="K36" s="20">
        <v>384667</v>
      </c>
      <c r="L36" s="20">
        <v>377353</v>
      </c>
      <c r="M36" s="32">
        <v>374897</v>
      </c>
      <c r="N36" s="20">
        <v>381412</v>
      </c>
      <c r="O36" s="20">
        <v>362030</v>
      </c>
      <c r="P36" s="20">
        <v>379838</v>
      </c>
      <c r="Q36" s="20">
        <v>397705</v>
      </c>
      <c r="R36" s="20">
        <v>419432</v>
      </c>
      <c r="S36" s="20">
        <v>426533</v>
      </c>
      <c r="T36" s="20">
        <v>444054</v>
      </c>
      <c r="U36" s="149">
        <f t="shared" si="5"/>
        <v>0.15438548146838693</v>
      </c>
      <c r="V36" s="149">
        <f t="shared" si="6"/>
        <v>0.16906154729121362</v>
      </c>
      <c r="W36" s="149">
        <f t="shared" si="7"/>
        <v>4.107771262715898E-2</v>
      </c>
      <c r="X36" s="218">
        <f t="shared" si="8"/>
        <v>0.30505777874871448</v>
      </c>
      <c r="Y36" s="219">
        <f t="shared" si="9"/>
        <v>17521</v>
      </c>
    </row>
    <row r="37" spans="1:25" x14ac:dyDescent="0.25">
      <c r="A37" s="151" t="s">
        <v>282</v>
      </c>
      <c r="B37" s="121">
        <v>175004</v>
      </c>
      <c r="C37" s="121">
        <v>177210</v>
      </c>
      <c r="D37" s="32">
        <v>177826</v>
      </c>
      <c r="E37" s="32">
        <v>178541</v>
      </c>
      <c r="F37" s="32">
        <v>173901</v>
      </c>
      <c r="G37" s="32">
        <v>175586</v>
      </c>
      <c r="H37" s="32">
        <v>184477</v>
      </c>
      <c r="I37" s="32">
        <v>188565</v>
      </c>
      <c r="J37" s="32">
        <v>188804</v>
      </c>
      <c r="K37" s="32">
        <v>191847</v>
      </c>
      <c r="L37" s="32">
        <v>194841</v>
      </c>
      <c r="M37" s="32">
        <v>201231</v>
      </c>
      <c r="N37" s="32">
        <v>201606</v>
      </c>
      <c r="O37" s="32">
        <v>193217</v>
      </c>
      <c r="P37" s="32">
        <v>208978</v>
      </c>
      <c r="Q37" s="32">
        <v>204950</v>
      </c>
      <c r="R37" s="32">
        <v>206703</v>
      </c>
      <c r="S37" s="32">
        <v>207969</v>
      </c>
      <c r="T37" s="32">
        <v>222324</v>
      </c>
      <c r="U37" s="149">
        <f t="shared" si="5"/>
        <v>0.15886096733334376</v>
      </c>
      <c r="V37" s="149">
        <f t="shared" si="6"/>
        <v>6.3863181770329888E-2</v>
      </c>
      <c r="W37" s="149">
        <f t="shared" si="7"/>
        <v>6.902471041357125E-2</v>
      </c>
      <c r="X37" s="218">
        <f t="shared" si="8"/>
        <v>0.15273292347896697</v>
      </c>
      <c r="Y37" s="219">
        <f t="shared" si="9"/>
        <v>14355</v>
      </c>
    </row>
    <row r="38" spans="1:25" x14ac:dyDescent="0.25">
      <c r="A38" s="151" t="s">
        <v>283</v>
      </c>
      <c r="B38" s="121">
        <v>110980</v>
      </c>
      <c r="C38" s="121">
        <v>117948</v>
      </c>
      <c r="D38" s="32">
        <v>125301</v>
      </c>
      <c r="E38" s="32">
        <v>132349</v>
      </c>
      <c r="F38" s="32">
        <v>135432</v>
      </c>
      <c r="G38" s="32">
        <v>136189</v>
      </c>
      <c r="H38" s="32">
        <v>141563</v>
      </c>
      <c r="I38" s="32">
        <v>144984</v>
      </c>
      <c r="J38" s="32">
        <v>147903</v>
      </c>
      <c r="K38" s="32">
        <v>154017</v>
      </c>
      <c r="L38" s="32">
        <v>155756</v>
      </c>
      <c r="M38" s="32">
        <v>165314</v>
      </c>
      <c r="N38" s="32">
        <v>194985</v>
      </c>
      <c r="O38" s="32">
        <v>211403</v>
      </c>
      <c r="P38" s="32">
        <v>228064</v>
      </c>
      <c r="Q38" s="32">
        <v>226511</v>
      </c>
      <c r="R38" s="32">
        <v>231695</v>
      </c>
      <c r="S38" s="32">
        <v>249634</v>
      </c>
      <c r="T38" s="32">
        <v>251416</v>
      </c>
      <c r="U38" s="149">
        <f t="shared" si="5"/>
        <v>0.63239122953959626</v>
      </c>
      <c r="V38" s="149">
        <f t="shared" si="6"/>
        <v>0.10239231093026518</v>
      </c>
      <c r="W38" s="149">
        <f t="shared" si="7"/>
        <v>7.1384506918128138E-3</v>
      </c>
      <c r="X38" s="218">
        <f t="shared" si="8"/>
        <v>0.17271864796147945</v>
      </c>
      <c r="Y38" s="219">
        <f t="shared" si="9"/>
        <v>1782</v>
      </c>
    </row>
    <row r="39" spans="1:25" x14ac:dyDescent="0.25">
      <c r="A39" s="116" t="s">
        <v>247</v>
      </c>
      <c r="B39" s="178">
        <v>247892</v>
      </c>
      <c r="C39" s="178">
        <v>265866</v>
      </c>
      <c r="D39" s="32">
        <v>288949</v>
      </c>
      <c r="E39" s="32">
        <v>321818</v>
      </c>
      <c r="F39" s="32">
        <v>353365</v>
      </c>
      <c r="G39" s="32">
        <v>373941</v>
      </c>
      <c r="H39" s="32">
        <v>381801</v>
      </c>
      <c r="I39" s="32">
        <v>376174</v>
      </c>
      <c r="J39" s="32">
        <v>370988</v>
      </c>
      <c r="K39" s="32">
        <v>374927</v>
      </c>
      <c r="L39" s="32">
        <v>383554</v>
      </c>
      <c r="M39" s="32">
        <v>384153</v>
      </c>
      <c r="N39" s="32">
        <v>350403</v>
      </c>
      <c r="O39" s="32">
        <v>321543</v>
      </c>
      <c r="P39" s="32">
        <v>341463</v>
      </c>
      <c r="Q39" s="32">
        <v>342071</v>
      </c>
      <c r="R39" s="32">
        <v>346395</v>
      </c>
      <c r="S39" s="32">
        <v>356544</v>
      </c>
      <c r="T39" s="32">
        <v>385274</v>
      </c>
      <c r="U39" s="149">
        <f t="shared" si="5"/>
        <v>2.7597372288472154E-2</v>
      </c>
      <c r="V39" s="149">
        <f t="shared" si="6"/>
        <v>0.12830379865461264</v>
      </c>
      <c r="W39" s="149">
        <f t="shared" si="7"/>
        <v>8.0579115060132836E-2</v>
      </c>
      <c r="X39" s="218">
        <f t="shared" si="8"/>
        <v>0.26467688760743563</v>
      </c>
      <c r="Y39" s="219">
        <f t="shared" si="9"/>
        <v>28730</v>
      </c>
    </row>
    <row r="40" spans="1:25" x14ac:dyDescent="0.25">
      <c r="A40" s="91" t="s">
        <v>295</v>
      </c>
      <c r="B40" s="62">
        <v>0</v>
      </c>
      <c r="C40" s="62">
        <v>0</v>
      </c>
      <c r="D40" s="20">
        <v>0</v>
      </c>
      <c r="E40" s="20">
        <v>0</v>
      </c>
      <c r="F40" s="20">
        <v>0</v>
      </c>
      <c r="G40" s="20">
        <v>0</v>
      </c>
      <c r="H40" s="20">
        <v>0</v>
      </c>
      <c r="I40" s="20">
        <v>0</v>
      </c>
      <c r="J40" s="20">
        <v>0</v>
      </c>
      <c r="K40" s="20">
        <v>0</v>
      </c>
      <c r="L40" s="20">
        <v>0</v>
      </c>
      <c r="M40" s="32">
        <v>0</v>
      </c>
      <c r="N40" s="20">
        <v>2149</v>
      </c>
      <c r="O40" s="20">
        <v>2359</v>
      </c>
      <c r="P40" s="20">
        <v>1881</v>
      </c>
      <c r="Q40" s="20">
        <v>1156</v>
      </c>
      <c r="R40" s="20">
        <v>471</v>
      </c>
      <c r="S40" s="20">
        <v>115</v>
      </c>
      <c r="T40" s="20">
        <v>26</v>
      </c>
      <c r="U40" s="149" t="s">
        <v>130</v>
      </c>
      <c r="V40" s="149">
        <f t="shared" si="6"/>
        <v>-0.9861775651249336</v>
      </c>
      <c r="W40" s="149">
        <f t="shared" si="7"/>
        <v>-0.77391304347826084</v>
      </c>
      <c r="X40" s="218">
        <f t="shared" si="8"/>
        <v>1.7861571447316266E-5</v>
      </c>
      <c r="Y40" s="219">
        <f t="shared" si="9"/>
        <v>-89</v>
      </c>
    </row>
    <row r="41" spans="1:25" x14ac:dyDescent="0.25">
      <c r="A41" s="71" t="s">
        <v>0</v>
      </c>
      <c r="B41" s="21">
        <v>776838</v>
      </c>
      <c r="C41" s="21">
        <v>819797</v>
      </c>
      <c r="D41" s="21">
        <v>891719</v>
      </c>
      <c r="E41" s="21">
        <v>985618</v>
      </c>
      <c r="F41" s="21">
        <v>1069099</v>
      </c>
      <c r="G41" s="21">
        <v>1126920</v>
      </c>
      <c r="H41" s="21">
        <v>1184371</v>
      </c>
      <c r="I41" s="21">
        <v>1215130</v>
      </c>
      <c r="J41" s="21">
        <v>1233043</v>
      </c>
      <c r="K41" s="21">
        <v>1247178</v>
      </c>
      <c r="L41" s="21">
        <v>1248293</v>
      </c>
      <c r="M41" s="90">
        <v>1262334</v>
      </c>
      <c r="N41" s="21">
        <v>1268483</v>
      </c>
      <c r="O41" s="21">
        <v>1220898</v>
      </c>
      <c r="P41" s="21">
        <v>1294701</v>
      </c>
      <c r="Q41" s="21">
        <v>1304147</v>
      </c>
      <c r="R41" s="21">
        <v>1341448</v>
      </c>
      <c r="S41" s="21">
        <v>1386099</v>
      </c>
      <c r="T41" s="21">
        <v>1455639</v>
      </c>
      <c r="U41" s="149">
        <f t="shared" si="5"/>
        <v>0.16714614914631271</v>
      </c>
      <c r="V41" s="149">
        <f t="shared" si="6"/>
        <v>0.12430514844740215</v>
      </c>
      <c r="W41" s="149">
        <f t="shared" si="7"/>
        <v>5.0169576631972176E-2</v>
      </c>
      <c r="X41" s="150">
        <f t="shared" si="8"/>
        <v>1</v>
      </c>
      <c r="Y41" s="219">
        <f t="shared" si="9"/>
        <v>69540</v>
      </c>
    </row>
    <row r="42" spans="1:25" x14ac:dyDescent="0.25">
      <c r="A42" s="201" t="s">
        <v>312</v>
      </c>
      <c r="B42" s="17"/>
      <c r="C42" s="17"/>
      <c r="D42" s="17"/>
      <c r="E42" s="17"/>
      <c r="F42" s="17"/>
      <c r="G42" s="17"/>
      <c r="H42" s="17"/>
      <c r="I42" s="17"/>
      <c r="J42" s="17"/>
      <c r="K42" s="17"/>
      <c r="L42" s="17"/>
      <c r="M42" s="203"/>
      <c r="N42" s="17"/>
      <c r="O42" s="14"/>
      <c r="P42" s="14"/>
      <c r="Q42" s="14"/>
      <c r="R42" s="14"/>
      <c r="S42" s="14"/>
      <c r="T42" s="14"/>
      <c r="U42" s="14"/>
      <c r="V42" s="14"/>
      <c r="W42" s="14"/>
      <c r="X42" s="4"/>
      <c r="Y42" s="4"/>
    </row>
    <row r="43" spans="1:25" x14ac:dyDescent="0.25">
      <c r="A43" s="201" t="s">
        <v>317</v>
      </c>
      <c r="B43" s="17"/>
      <c r="C43" s="17"/>
      <c r="D43" s="17"/>
      <c r="E43" s="17"/>
      <c r="F43" s="17"/>
      <c r="G43" s="17"/>
      <c r="H43" s="17"/>
      <c r="I43" s="17"/>
      <c r="J43" s="17"/>
      <c r="K43" s="17"/>
      <c r="L43" s="17"/>
      <c r="M43" s="203"/>
      <c r="N43" s="17"/>
      <c r="O43" s="14"/>
      <c r="P43" s="14"/>
      <c r="Q43" s="14"/>
      <c r="R43" s="14"/>
      <c r="S43" s="14"/>
      <c r="T43" s="14"/>
      <c r="U43" s="14"/>
      <c r="V43" s="14"/>
      <c r="W43" s="14"/>
      <c r="X43" s="4"/>
      <c r="Y43" s="4"/>
    </row>
    <row r="44" spans="1:25" x14ac:dyDescent="0.25">
      <c r="A44" s="115"/>
      <c r="B44" s="17"/>
      <c r="C44" s="17"/>
      <c r="D44" s="17"/>
      <c r="E44" s="17"/>
      <c r="F44" s="17"/>
      <c r="G44" s="17"/>
      <c r="H44" s="17"/>
      <c r="I44" s="17"/>
      <c r="J44" s="17"/>
      <c r="K44" s="17"/>
      <c r="L44" s="17"/>
      <c r="M44" s="203"/>
      <c r="N44" s="17"/>
      <c r="O44" s="14"/>
      <c r="P44" s="14"/>
      <c r="Q44" s="14"/>
      <c r="R44" s="14"/>
      <c r="S44" s="14"/>
      <c r="T44" s="14"/>
      <c r="U44" s="14"/>
      <c r="V44" s="14"/>
      <c r="W44" s="14"/>
      <c r="X44" s="4"/>
      <c r="Y44" s="4"/>
    </row>
    <row r="45" spans="1:25" ht="15.75" x14ac:dyDescent="0.25">
      <c r="A45" s="35" t="s">
        <v>275</v>
      </c>
      <c r="B45" s="22"/>
      <c r="C45" s="22"/>
      <c r="D45" s="22"/>
      <c r="E45" s="22"/>
      <c r="F45" s="22"/>
      <c r="G45" s="22"/>
      <c r="H45" s="17"/>
      <c r="I45" s="17"/>
      <c r="J45" s="17"/>
      <c r="K45" s="17"/>
      <c r="L45" s="17"/>
      <c r="M45" s="203"/>
      <c r="N45" s="17"/>
      <c r="O45" s="14"/>
      <c r="P45" s="14"/>
      <c r="Q45" s="14"/>
      <c r="R45" s="14"/>
      <c r="S45" s="14"/>
      <c r="T45" s="14"/>
      <c r="U45" s="14"/>
      <c r="V45" s="14"/>
      <c r="W45" s="14"/>
      <c r="X45" s="4"/>
      <c r="Y45" s="4"/>
    </row>
    <row r="46" spans="1:25" ht="25.5" x14ac:dyDescent="0.25">
      <c r="A46" s="111" t="s">
        <v>81</v>
      </c>
      <c r="B46" s="105">
        <v>2007</v>
      </c>
      <c r="C46" s="105">
        <v>2008</v>
      </c>
      <c r="D46" s="105">
        <v>2009</v>
      </c>
      <c r="E46" s="105">
        <v>2010</v>
      </c>
      <c r="F46" s="105">
        <v>2011</v>
      </c>
      <c r="G46" s="105">
        <v>2012</v>
      </c>
      <c r="H46" s="105">
        <v>2013</v>
      </c>
      <c r="I46" s="105">
        <v>2014</v>
      </c>
      <c r="J46" s="105">
        <v>2015</v>
      </c>
      <c r="K46" s="105">
        <v>2016</v>
      </c>
      <c r="L46" s="105">
        <v>2017</v>
      </c>
      <c r="M46" s="132">
        <v>2018</v>
      </c>
      <c r="N46" s="105">
        <v>2019</v>
      </c>
      <c r="O46" s="105">
        <v>2020</v>
      </c>
      <c r="P46" s="105">
        <v>2021</v>
      </c>
      <c r="Q46" s="105">
        <v>2022</v>
      </c>
      <c r="R46" s="105">
        <v>2023</v>
      </c>
      <c r="S46" s="105">
        <v>2024</v>
      </c>
      <c r="T46" s="105">
        <v>2025</v>
      </c>
      <c r="U46" s="106" t="s">
        <v>546</v>
      </c>
      <c r="V46" s="106" t="s">
        <v>547</v>
      </c>
      <c r="W46" s="106" t="s">
        <v>548</v>
      </c>
      <c r="X46" s="106" t="s">
        <v>549</v>
      </c>
      <c r="Y46" s="216" t="s">
        <v>563</v>
      </c>
    </row>
    <row r="47" spans="1:25" x14ac:dyDescent="0.25">
      <c r="A47" s="71" t="s">
        <v>2</v>
      </c>
      <c r="B47" s="21">
        <v>86838</v>
      </c>
      <c r="C47" s="21">
        <v>95903</v>
      </c>
      <c r="D47" s="21">
        <v>110021</v>
      </c>
      <c r="E47" s="21">
        <v>128571</v>
      </c>
      <c r="F47" s="21">
        <v>138635</v>
      </c>
      <c r="G47" s="21">
        <v>140048</v>
      </c>
      <c r="H47" s="21">
        <v>144383</v>
      </c>
      <c r="I47" s="21">
        <v>148012</v>
      </c>
      <c r="J47" s="21">
        <v>146546</v>
      </c>
      <c r="K47" s="21">
        <v>141720</v>
      </c>
      <c r="L47" s="21">
        <v>136789</v>
      </c>
      <c r="M47" s="90">
        <v>136530</v>
      </c>
      <c r="N47" s="21">
        <v>136854</v>
      </c>
      <c r="O47" s="21">
        <v>127187</v>
      </c>
      <c r="P47" s="21">
        <v>127537</v>
      </c>
      <c r="Q47" s="21">
        <v>123319</v>
      </c>
      <c r="R47" s="21">
        <v>125305</v>
      </c>
      <c r="S47" s="21">
        <v>130263</v>
      </c>
      <c r="T47" s="21">
        <v>134012</v>
      </c>
      <c r="U47" s="150">
        <f t="shared" ref="U47:U72" si="10">(T47-K47)/K47</f>
        <v>-5.4388935930002824E-2</v>
      </c>
      <c r="V47" s="150">
        <f t="shared" ref="V47:V72" si="11">(T47-P47)/P47</f>
        <v>5.0769580592298705E-2</v>
      </c>
      <c r="W47" s="150">
        <f t="shared" ref="W47:W72" si="12">(T47-S47)/S47</f>
        <v>2.8780236905337663E-2</v>
      </c>
      <c r="X47" s="220">
        <f t="shared" ref="X47:X72" si="13">T47/T$9</f>
        <v>9.2064035107605663E-2</v>
      </c>
      <c r="Y47" s="221">
        <f t="shared" ref="Y47:Y72" si="14">T47-S47</f>
        <v>3749</v>
      </c>
    </row>
    <row r="48" spans="1:25" x14ac:dyDescent="0.25">
      <c r="A48" s="142" t="s">
        <v>68</v>
      </c>
      <c r="B48" s="30">
        <v>86838</v>
      </c>
      <c r="C48" s="30">
        <v>95891</v>
      </c>
      <c r="D48" s="30">
        <v>110007</v>
      </c>
      <c r="E48" s="30">
        <v>128566</v>
      </c>
      <c r="F48" s="30">
        <v>138574</v>
      </c>
      <c r="G48" s="30">
        <v>140031</v>
      </c>
      <c r="H48" s="20">
        <v>144365</v>
      </c>
      <c r="I48" s="20">
        <v>148010</v>
      </c>
      <c r="J48" s="20">
        <v>146540</v>
      </c>
      <c r="K48" s="20">
        <v>141711</v>
      </c>
      <c r="L48" s="20">
        <v>136777</v>
      </c>
      <c r="M48" s="32">
        <v>136519</v>
      </c>
      <c r="N48" s="20">
        <v>136845</v>
      </c>
      <c r="O48" s="20">
        <v>127179</v>
      </c>
      <c r="P48" s="20">
        <v>127523</v>
      </c>
      <c r="Q48" s="20">
        <v>123312</v>
      </c>
      <c r="R48" s="20">
        <v>125296</v>
      </c>
      <c r="S48" s="20">
        <v>130258</v>
      </c>
      <c r="T48" s="20">
        <v>133963</v>
      </c>
      <c r="U48" s="149">
        <f t="shared" si="10"/>
        <v>-5.4674654755100166E-2</v>
      </c>
      <c r="V48" s="149">
        <f t="shared" si="11"/>
        <v>5.0500693992456262E-2</v>
      </c>
      <c r="W48" s="149">
        <f t="shared" si="12"/>
        <v>2.8443550492100293E-2</v>
      </c>
      <c r="X48" s="218">
        <f t="shared" si="13"/>
        <v>9.2030372915262643E-2</v>
      </c>
      <c r="Y48" s="219">
        <f t="shared" si="14"/>
        <v>3705</v>
      </c>
    </row>
    <row r="49" spans="1:25" x14ac:dyDescent="0.25">
      <c r="A49" s="142" t="s">
        <v>34</v>
      </c>
      <c r="B49" s="30">
        <v>0</v>
      </c>
      <c r="C49" s="30">
        <v>12</v>
      </c>
      <c r="D49" s="30">
        <v>14</v>
      </c>
      <c r="E49" s="30">
        <v>5</v>
      </c>
      <c r="F49" s="30">
        <v>61</v>
      </c>
      <c r="G49" s="30">
        <v>17</v>
      </c>
      <c r="H49" s="20">
        <v>18</v>
      </c>
      <c r="I49" s="20">
        <v>2</v>
      </c>
      <c r="J49" s="20">
        <v>6</v>
      </c>
      <c r="K49" s="20">
        <v>9</v>
      </c>
      <c r="L49" s="20">
        <v>12</v>
      </c>
      <c r="M49" s="32">
        <v>11</v>
      </c>
      <c r="N49" s="20">
        <v>9</v>
      </c>
      <c r="O49" s="20">
        <v>8</v>
      </c>
      <c r="P49" s="20">
        <v>14</v>
      </c>
      <c r="Q49" s="20">
        <v>7</v>
      </c>
      <c r="R49" s="20">
        <v>9</v>
      </c>
      <c r="S49" s="20">
        <v>5</v>
      </c>
      <c r="T49" s="20">
        <v>49</v>
      </c>
      <c r="U49" s="149">
        <f t="shared" si="10"/>
        <v>4.4444444444444446</v>
      </c>
      <c r="V49" s="149">
        <f t="shared" si="11"/>
        <v>2.5</v>
      </c>
      <c r="W49" s="149">
        <f t="shared" si="12"/>
        <v>8.8000000000000007</v>
      </c>
      <c r="X49" s="218">
        <f t="shared" si="13"/>
        <v>3.3662192343019113E-5</v>
      </c>
      <c r="Y49" s="219">
        <f t="shared" si="14"/>
        <v>44</v>
      </c>
    </row>
    <row r="50" spans="1:25" x14ac:dyDescent="0.25">
      <c r="A50" s="71" t="s">
        <v>356</v>
      </c>
      <c r="B50" s="21">
        <v>0</v>
      </c>
      <c r="C50" s="21">
        <v>0</v>
      </c>
      <c r="D50" s="21">
        <v>0</v>
      </c>
      <c r="E50" s="21">
        <v>0</v>
      </c>
      <c r="F50" s="21">
        <v>0</v>
      </c>
      <c r="G50" s="21">
        <v>0</v>
      </c>
      <c r="H50" s="21">
        <v>0</v>
      </c>
      <c r="I50" s="21">
        <v>0</v>
      </c>
      <c r="J50" s="21">
        <v>0</v>
      </c>
      <c r="K50" s="21">
        <v>0</v>
      </c>
      <c r="L50" s="21">
        <v>0</v>
      </c>
      <c r="M50" s="90">
        <v>209</v>
      </c>
      <c r="N50" s="21">
        <v>1074</v>
      </c>
      <c r="O50" s="21">
        <v>3159</v>
      </c>
      <c r="P50" s="21">
        <v>6940</v>
      </c>
      <c r="Q50" s="21">
        <v>8435</v>
      </c>
      <c r="R50" s="21">
        <v>11447</v>
      </c>
      <c r="S50" s="21">
        <v>15041</v>
      </c>
      <c r="T50" s="21">
        <v>18533</v>
      </c>
      <c r="U50" s="150" t="s">
        <v>130</v>
      </c>
      <c r="V50" s="150">
        <f t="shared" si="11"/>
        <v>1.6704610951008645</v>
      </c>
      <c r="W50" s="150">
        <f t="shared" si="12"/>
        <v>0.23216541453360814</v>
      </c>
      <c r="X50" s="220">
        <f t="shared" si="13"/>
        <v>1.2731865524350475E-2</v>
      </c>
      <c r="Y50" s="221">
        <f t="shared" si="14"/>
        <v>3492</v>
      </c>
    </row>
    <row r="51" spans="1:25" x14ac:dyDescent="0.25">
      <c r="A51" s="142" t="s">
        <v>68</v>
      </c>
      <c r="B51" s="30">
        <v>0</v>
      </c>
      <c r="C51" s="30">
        <v>0</v>
      </c>
      <c r="D51" s="30">
        <v>0</v>
      </c>
      <c r="E51" s="30">
        <v>0</v>
      </c>
      <c r="F51" s="30">
        <v>0</v>
      </c>
      <c r="G51" s="30">
        <v>0</v>
      </c>
      <c r="H51" s="30">
        <v>0</v>
      </c>
      <c r="I51" s="30">
        <v>0</v>
      </c>
      <c r="J51" s="30">
        <v>0</v>
      </c>
      <c r="K51" s="30">
        <v>0</v>
      </c>
      <c r="L51" s="30">
        <v>0</v>
      </c>
      <c r="M51" s="32">
        <v>209</v>
      </c>
      <c r="N51" s="20">
        <v>1074</v>
      </c>
      <c r="O51" s="20">
        <v>3159</v>
      </c>
      <c r="P51" s="20">
        <v>6940</v>
      </c>
      <c r="Q51" s="20">
        <v>8435</v>
      </c>
      <c r="R51" s="20">
        <v>11447</v>
      </c>
      <c r="S51" s="20">
        <v>15041</v>
      </c>
      <c r="T51" s="20">
        <v>18476</v>
      </c>
      <c r="U51" s="149" t="s">
        <v>130</v>
      </c>
      <c r="V51" s="149">
        <f t="shared" si="11"/>
        <v>1.6622478386167148</v>
      </c>
      <c r="W51" s="149">
        <f t="shared" si="12"/>
        <v>0.22837577288744099</v>
      </c>
      <c r="X51" s="218">
        <f t="shared" si="13"/>
        <v>1.2692707463869819E-2</v>
      </c>
      <c r="Y51" s="219">
        <f t="shared" si="14"/>
        <v>3435</v>
      </c>
    </row>
    <row r="52" spans="1:25" x14ac:dyDescent="0.25">
      <c r="A52" s="142" t="s">
        <v>34</v>
      </c>
      <c r="B52" s="30">
        <v>0</v>
      </c>
      <c r="C52" s="30">
        <v>0</v>
      </c>
      <c r="D52" s="30">
        <v>0</v>
      </c>
      <c r="E52" s="30">
        <v>0</v>
      </c>
      <c r="F52" s="30">
        <v>0</v>
      </c>
      <c r="G52" s="30">
        <v>0</v>
      </c>
      <c r="H52" s="30">
        <v>0</v>
      </c>
      <c r="I52" s="30">
        <v>0</v>
      </c>
      <c r="J52" s="30">
        <v>0</v>
      </c>
      <c r="K52" s="30">
        <v>0</v>
      </c>
      <c r="L52" s="30">
        <v>0</v>
      </c>
      <c r="M52" s="32">
        <v>0</v>
      </c>
      <c r="N52" s="20">
        <v>0</v>
      </c>
      <c r="O52" s="20">
        <v>0</v>
      </c>
      <c r="P52" s="20">
        <v>0</v>
      </c>
      <c r="Q52" s="20">
        <v>0</v>
      </c>
      <c r="R52" s="20">
        <v>0</v>
      </c>
      <c r="S52" s="20">
        <v>0</v>
      </c>
      <c r="T52" s="20">
        <v>57</v>
      </c>
      <c r="U52" s="149" t="s">
        <v>130</v>
      </c>
      <c r="V52" s="149" t="s">
        <v>130</v>
      </c>
      <c r="W52" s="149" t="s">
        <v>130</v>
      </c>
      <c r="X52" s="218">
        <f t="shared" si="13"/>
        <v>3.9158060480654888E-5</v>
      </c>
      <c r="Y52" s="219">
        <f t="shared" si="14"/>
        <v>57</v>
      </c>
    </row>
    <row r="53" spans="1:25" x14ac:dyDescent="0.25">
      <c r="A53" s="71" t="s">
        <v>3</v>
      </c>
      <c r="B53" s="21">
        <v>156124</v>
      </c>
      <c r="C53" s="21">
        <v>162870</v>
      </c>
      <c r="D53" s="21">
        <v>189622</v>
      </c>
      <c r="E53" s="21">
        <v>224339</v>
      </c>
      <c r="F53" s="21">
        <v>267766</v>
      </c>
      <c r="G53" s="21">
        <v>301156</v>
      </c>
      <c r="H53" s="21">
        <v>332147</v>
      </c>
      <c r="I53" s="21">
        <v>357395</v>
      </c>
      <c r="J53" s="21">
        <v>378802</v>
      </c>
      <c r="K53" s="21">
        <v>384667</v>
      </c>
      <c r="L53" s="21">
        <v>377353</v>
      </c>
      <c r="M53" s="90">
        <v>374897</v>
      </c>
      <c r="N53" s="21">
        <v>381412</v>
      </c>
      <c r="O53" s="21">
        <v>362030</v>
      </c>
      <c r="P53" s="21">
        <v>379838</v>
      </c>
      <c r="Q53" s="21">
        <v>397705</v>
      </c>
      <c r="R53" s="21">
        <v>419432</v>
      </c>
      <c r="S53" s="21">
        <v>426533</v>
      </c>
      <c r="T53" s="21">
        <v>444054</v>
      </c>
      <c r="U53" s="150">
        <f t="shared" si="10"/>
        <v>0.15438548146838693</v>
      </c>
      <c r="V53" s="150">
        <f t="shared" si="11"/>
        <v>0.16906154729121362</v>
      </c>
      <c r="W53" s="150">
        <f t="shared" si="12"/>
        <v>4.107771262715898E-2</v>
      </c>
      <c r="X53" s="220">
        <f t="shared" si="13"/>
        <v>0.30505777874871448</v>
      </c>
      <c r="Y53" s="221">
        <f t="shared" si="14"/>
        <v>17521</v>
      </c>
    </row>
    <row r="54" spans="1:25" x14ac:dyDescent="0.25">
      <c r="A54" s="142" t="s">
        <v>68</v>
      </c>
      <c r="B54" s="30">
        <v>156124</v>
      </c>
      <c r="C54" s="30">
        <v>162848</v>
      </c>
      <c r="D54" s="30">
        <v>189597</v>
      </c>
      <c r="E54" s="30">
        <v>224301</v>
      </c>
      <c r="F54" s="30">
        <v>260692</v>
      </c>
      <c r="G54" s="30">
        <v>293519</v>
      </c>
      <c r="H54" s="20">
        <v>324579</v>
      </c>
      <c r="I54" s="20">
        <v>351004</v>
      </c>
      <c r="J54" s="20">
        <v>373171</v>
      </c>
      <c r="K54" s="20">
        <v>380988</v>
      </c>
      <c r="L54" s="20">
        <v>374709</v>
      </c>
      <c r="M54" s="32">
        <v>373104</v>
      </c>
      <c r="N54" s="20">
        <v>379456</v>
      </c>
      <c r="O54" s="20">
        <v>361387</v>
      </c>
      <c r="P54" s="20">
        <v>378538</v>
      </c>
      <c r="Q54" s="20">
        <v>396829</v>
      </c>
      <c r="R54" s="20">
        <v>419014</v>
      </c>
      <c r="S54" s="20">
        <v>426272</v>
      </c>
      <c r="T54" s="20">
        <v>442924</v>
      </c>
      <c r="U54" s="149">
        <f t="shared" si="10"/>
        <v>0.1625668000041996</v>
      </c>
      <c r="V54" s="149">
        <f t="shared" si="11"/>
        <v>0.17009124579302473</v>
      </c>
      <c r="W54" s="149">
        <f t="shared" si="12"/>
        <v>3.9064259439981985E-2</v>
      </c>
      <c r="X54" s="218">
        <f t="shared" si="13"/>
        <v>0.30428148737427341</v>
      </c>
      <c r="Y54" s="219">
        <f t="shared" si="14"/>
        <v>16652</v>
      </c>
    </row>
    <row r="55" spans="1:25" x14ac:dyDescent="0.25">
      <c r="A55" s="142" t="s">
        <v>34</v>
      </c>
      <c r="B55" s="30"/>
      <c r="C55" s="30">
        <v>22</v>
      </c>
      <c r="D55" s="30">
        <v>25</v>
      </c>
      <c r="E55" s="30">
        <v>38</v>
      </c>
      <c r="F55" s="30">
        <v>7074</v>
      </c>
      <c r="G55" s="30">
        <v>7637</v>
      </c>
      <c r="H55" s="20">
        <v>7568</v>
      </c>
      <c r="I55" s="20">
        <v>6391</v>
      </c>
      <c r="J55" s="20">
        <v>5631</v>
      </c>
      <c r="K55" s="20">
        <v>3679</v>
      </c>
      <c r="L55" s="20">
        <v>2644</v>
      </c>
      <c r="M55" s="32">
        <v>1793</v>
      </c>
      <c r="N55" s="20">
        <v>1956</v>
      </c>
      <c r="O55" s="20">
        <v>643</v>
      </c>
      <c r="P55" s="20">
        <v>1300</v>
      </c>
      <c r="Q55" s="20">
        <v>876</v>
      </c>
      <c r="R55" s="20">
        <v>418</v>
      </c>
      <c r="S55" s="20">
        <v>261</v>
      </c>
      <c r="T55" s="20">
        <v>1130</v>
      </c>
      <c r="U55" s="149">
        <f t="shared" si="10"/>
        <v>-0.69285131829301438</v>
      </c>
      <c r="V55" s="149">
        <f t="shared" si="11"/>
        <v>-0.13076923076923078</v>
      </c>
      <c r="W55" s="149">
        <f t="shared" si="12"/>
        <v>3.3295019157088124</v>
      </c>
      <c r="X55" s="218">
        <f t="shared" si="13"/>
        <v>7.7629137444105306E-4</v>
      </c>
      <c r="Y55" s="219">
        <f t="shared" si="14"/>
        <v>869</v>
      </c>
    </row>
    <row r="56" spans="1:25" x14ac:dyDescent="0.25">
      <c r="A56" s="71" t="s">
        <v>282</v>
      </c>
      <c r="B56" s="21">
        <v>175004</v>
      </c>
      <c r="C56" s="21">
        <v>177210</v>
      </c>
      <c r="D56" s="21">
        <v>177826</v>
      </c>
      <c r="E56" s="21">
        <v>178541</v>
      </c>
      <c r="F56" s="21">
        <v>173901</v>
      </c>
      <c r="G56" s="21">
        <v>175586</v>
      </c>
      <c r="H56" s="21">
        <v>184477</v>
      </c>
      <c r="I56" s="21">
        <v>188565</v>
      </c>
      <c r="J56" s="21">
        <v>188804</v>
      </c>
      <c r="K56" s="21">
        <v>191847</v>
      </c>
      <c r="L56" s="21">
        <v>194841</v>
      </c>
      <c r="M56" s="90">
        <v>201231</v>
      </c>
      <c r="N56" s="21">
        <v>201606</v>
      </c>
      <c r="O56" s="21">
        <v>193217</v>
      </c>
      <c r="P56" s="21">
        <v>208978</v>
      </c>
      <c r="Q56" s="21">
        <v>204950</v>
      </c>
      <c r="R56" s="21">
        <v>206703</v>
      </c>
      <c r="S56" s="21">
        <v>207969</v>
      </c>
      <c r="T56" s="21">
        <v>222324</v>
      </c>
      <c r="U56" s="150">
        <f t="shared" si="10"/>
        <v>0.15886096733334376</v>
      </c>
      <c r="V56" s="150">
        <f t="shared" si="11"/>
        <v>6.3863181770329888E-2</v>
      </c>
      <c r="W56" s="150">
        <f t="shared" si="12"/>
        <v>6.902471041357125E-2</v>
      </c>
      <c r="X56" s="220">
        <f t="shared" si="13"/>
        <v>0.15273292347896697</v>
      </c>
      <c r="Y56" s="221">
        <f t="shared" si="14"/>
        <v>14355</v>
      </c>
    </row>
    <row r="57" spans="1:25" x14ac:dyDescent="0.25">
      <c r="A57" s="142" t="s">
        <v>68</v>
      </c>
      <c r="B57" s="30">
        <v>164654</v>
      </c>
      <c r="C57" s="30">
        <v>163487</v>
      </c>
      <c r="D57" s="30">
        <v>163656</v>
      </c>
      <c r="E57" s="30">
        <v>162284</v>
      </c>
      <c r="F57" s="30">
        <v>159643</v>
      </c>
      <c r="G57" s="30">
        <v>158192</v>
      </c>
      <c r="H57" s="20">
        <v>166232</v>
      </c>
      <c r="I57" s="20">
        <v>169614</v>
      </c>
      <c r="J57" s="20">
        <v>171384</v>
      </c>
      <c r="K57" s="20">
        <v>174242</v>
      </c>
      <c r="L57" s="20">
        <v>177931</v>
      </c>
      <c r="M57" s="32">
        <v>185531</v>
      </c>
      <c r="N57" s="20">
        <v>185927</v>
      </c>
      <c r="O57" s="20">
        <v>180322</v>
      </c>
      <c r="P57" s="20">
        <v>192961</v>
      </c>
      <c r="Q57" s="20">
        <v>188735</v>
      </c>
      <c r="R57" s="20">
        <v>190115</v>
      </c>
      <c r="S57" s="20">
        <v>190968</v>
      </c>
      <c r="T57" s="20">
        <v>196224</v>
      </c>
      <c r="U57" s="149">
        <f t="shared" si="10"/>
        <v>0.12615787238438494</v>
      </c>
      <c r="V57" s="149">
        <f t="shared" si="11"/>
        <v>1.6910152828809966E-2</v>
      </c>
      <c r="W57" s="149">
        <f t="shared" si="12"/>
        <v>2.7522935779816515E-2</v>
      </c>
      <c r="X57" s="218">
        <f t="shared" si="13"/>
        <v>0.13480265367993025</v>
      </c>
      <c r="Y57" s="219">
        <f t="shared" si="14"/>
        <v>5256</v>
      </c>
    </row>
    <row r="58" spans="1:25" x14ac:dyDescent="0.25">
      <c r="A58" s="164" t="s">
        <v>35</v>
      </c>
      <c r="B58" s="30">
        <v>8640</v>
      </c>
      <c r="C58" s="30">
        <v>10810</v>
      </c>
      <c r="D58" s="30">
        <v>10714</v>
      </c>
      <c r="E58" s="30">
        <v>12675</v>
      </c>
      <c r="F58" s="30">
        <v>11317</v>
      </c>
      <c r="G58" s="30">
        <v>14249</v>
      </c>
      <c r="H58" s="20">
        <v>14823</v>
      </c>
      <c r="I58" s="20">
        <v>14867</v>
      </c>
      <c r="J58" s="20">
        <v>13807</v>
      </c>
      <c r="K58" s="20">
        <v>13807</v>
      </c>
      <c r="L58" s="20">
        <v>13148</v>
      </c>
      <c r="M58" s="32">
        <v>12402</v>
      </c>
      <c r="N58" s="20">
        <v>12561</v>
      </c>
      <c r="O58" s="20">
        <v>10521</v>
      </c>
      <c r="P58" s="20">
        <v>12304</v>
      </c>
      <c r="Q58" s="20">
        <v>12418</v>
      </c>
      <c r="R58" s="20">
        <v>11828</v>
      </c>
      <c r="S58" s="20">
        <v>12121</v>
      </c>
      <c r="T58" s="20">
        <v>13047</v>
      </c>
      <c r="U58" s="149">
        <f t="shared" si="10"/>
        <v>-5.5044542623307019E-2</v>
      </c>
      <c r="V58" s="149">
        <f t="shared" si="11"/>
        <v>6.0386866059817947E-2</v>
      </c>
      <c r="W58" s="149">
        <f t="shared" si="12"/>
        <v>7.6396336935896383E-2</v>
      </c>
      <c r="X58" s="218">
        <f t="shared" si="13"/>
        <v>8.9630739489667422E-3</v>
      </c>
      <c r="Y58" s="219">
        <f t="shared" si="14"/>
        <v>926</v>
      </c>
    </row>
    <row r="59" spans="1:25" x14ac:dyDescent="0.25">
      <c r="A59" s="142" t="s">
        <v>34</v>
      </c>
      <c r="B59" s="30">
        <v>1710</v>
      </c>
      <c r="C59" s="30">
        <v>2913</v>
      </c>
      <c r="D59" s="30">
        <v>3456</v>
      </c>
      <c r="E59" s="30">
        <v>3582</v>
      </c>
      <c r="F59" s="30">
        <v>2941</v>
      </c>
      <c r="G59" s="30">
        <v>3145</v>
      </c>
      <c r="H59" s="20">
        <v>3422</v>
      </c>
      <c r="I59" s="20">
        <v>4084</v>
      </c>
      <c r="J59" s="20">
        <v>3613</v>
      </c>
      <c r="K59" s="20">
        <v>3798</v>
      </c>
      <c r="L59" s="20">
        <v>3762</v>
      </c>
      <c r="M59" s="32">
        <v>3298</v>
      </c>
      <c r="N59" s="20">
        <v>3118</v>
      </c>
      <c r="O59" s="20">
        <v>2374</v>
      </c>
      <c r="P59" s="20">
        <v>3713</v>
      </c>
      <c r="Q59" s="20">
        <v>3797</v>
      </c>
      <c r="R59" s="20">
        <v>4760</v>
      </c>
      <c r="S59" s="20">
        <v>4880</v>
      </c>
      <c r="T59" s="20">
        <v>13053</v>
      </c>
      <c r="U59" s="149">
        <f t="shared" si="10"/>
        <v>2.4368088467614535</v>
      </c>
      <c r="V59" s="149">
        <f t="shared" si="11"/>
        <v>2.5154861298141666</v>
      </c>
      <c r="W59" s="149">
        <f t="shared" si="12"/>
        <v>1.6747950819672131</v>
      </c>
      <c r="X59" s="218">
        <f t="shared" si="13"/>
        <v>8.96719585006997E-3</v>
      </c>
      <c r="Y59" s="219">
        <f t="shared" si="14"/>
        <v>8173</v>
      </c>
    </row>
    <row r="60" spans="1:25" x14ac:dyDescent="0.25">
      <c r="A60" s="71" t="s">
        <v>283</v>
      </c>
      <c r="B60" s="21">
        <v>110980</v>
      </c>
      <c r="C60" s="21">
        <v>117948</v>
      </c>
      <c r="D60" s="21">
        <v>125301</v>
      </c>
      <c r="E60" s="21">
        <v>132349</v>
      </c>
      <c r="F60" s="21">
        <v>135432</v>
      </c>
      <c r="G60" s="21">
        <v>136189</v>
      </c>
      <c r="H60" s="21">
        <v>141563</v>
      </c>
      <c r="I60" s="21">
        <v>144984</v>
      </c>
      <c r="J60" s="21">
        <v>147903</v>
      </c>
      <c r="K60" s="21">
        <v>154017</v>
      </c>
      <c r="L60" s="21">
        <v>155756</v>
      </c>
      <c r="M60" s="90">
        <v>165314</v>
      </c>
      <c r="N60" s="21">
        <v>194985</v>
      </c>
      <c r="O60" s="21">
        <v>211403</v>
      </c>
      <c r="P60" s="21">
        <v>228064</v>
      </c>
      <c r="Q60" s="21">
        <v>226511</v>
      </c>
      <c r="R60" s="21">
        <v>231695</v>
      </c>
      <c r="S60" s="21">
        <v>249634</v>
      </c>
      <c r="T60" s="21">
        <v>251416</v>
      </c>
      <c r="U60" s="150">
        <f t="shared" si="10"/>
        <v>0.63239122953959626</v>
      </c>
      <c r="V60" s="150">
        <f t="shared" si="11"/>
        <v>0.10239231093026518</v>
      </c>
      <c r="W60" s="150">
        <f t="shared" si="12"/>
        <v>7.1384506918128138E-3</v>
      </c>
      <c r="X60" s="220">
        <f t="shared" si="13"/>
        <v>0.17271864796147945</v>
      </c>
      <c r="Y60" s="221">
        <f t="shared" si="14"/>
        <v>1782</v>
      </c>
    </row>
    <row r="61" spans="1:25" x14ac:dyDescent="0.25">
      <c r="A61" s="142" t="s">
        <v>68</v>
      </c>
      <c r="B61" s="30">
        <v>101031</v>
      </c>
      <c r="C61" s="30">
        <v>107609</v>
      </c>
      <c r="D61" s="30">
        <v>113271</v>
      </c>
      <c r="E61" s="30">
        <v>119524</v>
      </c>
      <c r="F61" s="30">
        <v>123054</v>
      </c>
      <c r="G61" s="30">
        <v>124799</v>
      </c>
      <c r="H61" s="20">
        <v>129501</v>
      </c>
      <c r="I61" s="20">
        <v>131781</v>
      </c>
      <c r="J61" s="20">
        <v>133564</v>
      </c>
      <c r="K61" s="20">
        <v>138613</v>
      </c>
      <c r="L61" s="20">
        <v>141039</v>
      </c>
      <c r="M61" s="32">
        <v>144461</v>
      </c>
      <c r="N61" s="20">
        <v>172393</v>
      </c>
      <c r="O61" s="20">
        <v>185450</v>
      </c>
      <c r="P61" s="20">
        <v>193168</v>
      </c>
      <c r="Q61" s="20">
        <v>193323</v>
      </c>
      <c r="R61" s="20">
        <v>195109</v>
      </c>
      <c r="S61" s="20">
        <v>198233</v>
      </c>
      <c r="T61" s="20">
        <v>203382</v>
      </c>
      <c r="U61" s="149">
        <f t="shared" si="10"/>
        <v>0.46726497514663129</v>
      </c>
      <c r="V61" s="149">
        <f t="shared" si="11"/>
        <v>5.2876252795494079E-2</v>
      </c>
      <c r="W61" s="149">
        <f t="shared" si="12"/>
        <v>2.5974484571186431E-2</v>
      </c>
      <c r="X61" s="218">
        <f t="shared" si="13"/>
        <v>0.13972008169607986</v>
      </c>
      <c r="Y61" s="219">
        <f t="shared" si="14"/>
        <v>5149</v>
      </c>
    </row>
    <row r="62" spans="1:25" x14ac:dyDescent="0.25">
      <c r="A62" s="164" t="s">
        <v>35</v>
      </c>
      <c r="B62" s="30">
        <v>6602</v>
      </c>
      <c r="C62" s="30">
        <v>7183</v>
      </c>
      <c r="D62" s="30">
        <v>8183</v>
      </c>
      <c r="E62" s="30">
        <v>8838</v>
      </c>
      <c r="F62" s="30">
        <v>8715</v>
      </c>
      <c r="G62" s="30">
        <v>8944</v>
      </c>
      <c r="H62" s="20">
        <v>9359</v>
      </c>
      <c r="I62" s="20">
        <v>10327</v>
      </c>
      <c r="J62" s="20">
        <v>10571</v>
      </c>
      <c r="K62" s="20">
        <v>11832</v>
      </c>
      <c r="L62" s="20">
        <v>11114</v>
      </c>
      <c r="M62" s="32">
        <v>11016</v>
      </c>
      <c r="N62" s="20">
        <v>13457</v>
      </c>
      <c r="O62" s="20">
        <v>13937</v>
      </c>
      <c r="P62" s="20">
        <v>15330</v>
      </c>
      <c r="Q62" s="20">
        <v>15647</v>
      </c>
      <c r="R62" s="20">
        <v>16526</v>
      </c>
      <c r="S62" s="20">
        <v>16947</v>
      </c>
      <c r="T62" s="20">
        <v>17533</v>
      </c>
      <c r="U62" s="149">
        <f t="shared" si="10"/>
        <v>0.48182893847194053</v>
      </c>
      <c r="V62" s="149">
        <f t="shared" si="11"/>
        <v>0.14370515329419439</v>
      </c>
      <c r="W62" s="149">
        <f t="shared" si="12"/>
        <v>3.4578391455714876E-2</v>
      </c>
      <c r="X62" s="218">
        <f t="shared" si="13"/>
        <v>1.2044882007146002E-2</v>
      </c>
      <c r="Y62" s="219">
        <f t="shared" si="14"/>
        <v>586</v>
      </c>
    </row>
    <row r="63" spans="1:25" x14ac:dyDescent="0.25">
      <c r="A63" s="142" t="s">
        <v>34</v>
      </c>
      <c r="B63" s="30">
        <v>3347</v>
      </c>
      <c r="C63" s="30">
        <v>3156</v>
      </c>
      <c r="D63" s="30">
        <v>3847</v>
      </c>
      <c r="E63" s="30">
        <v>3987</v>
      </c>
      <c r="F63" s="30">
        <v>3663</v>
      </c>
      <c r="G63" s="30">
        <v>2446</v>
      </c>
      <c r="H63" s="20">
        <v>2703</v>
      </c>
      <c r="I63" s="20">
        <v>2876</v>
      </c>
      <c r="J63" s="20">
        <v>3768</v>
      </c>
      <c r="K63" s="20">
        <v>3572</v>
      </c>
      <c r="L63" s="20">
        <v>3603</v>
      </c>
      <c r="M63" s="32">
        <v>9837</v>
      </c>
      <c r="N63" s="20">
        <v>9135</v>
      </c>
      <c r="O63" s="20">
        <v>12016</v>
      </c>
      <c r="P63" s="20">
        <v>19566</v>
      </c>
      <c r="Q63" s="20">
        <v>17541</v>
      </c>
      <c r="R63" s="20">
        <v>20060</v>
      </c>
      <c r="S63" s="20">
        <v>34454</v>
      </c>
      <c r="T63" s="20">
        <v>30501</v>
      </c>
      <c r="U63" s="149">
        <f t="shared" si="10"/>
        <v>7.5389137737961924</v>
      </c>
      <c r="V63" s="149">
        <f t="shared" si="11"/>
        <v>0.55887764489420422</v>
      </c>
      <c r="W63" s="149">
        <f t="shared" si="12"/>
        <v>-0.11473268706100888</v>
      </c>
      <c r="X63" s="218">
        <f t="shared" si="13"/>
        <v>2.0953684258253592E-2</v>
      </c>
      <c r="Y63" s="219">
        <f t="shared" si="14"/>
        <v>-3953</v>
      </c>
    </row>
    <row r="64" spans="1:25" x14ac:dyDescent="0.25">
      <c r="A64" s="71" t="s">
        <v>247</v>
      </c>
      <c r="B64" s="21">
        <v>247892</v>
      </c>
      <c r="C64" s="21">
        <v>265866</v>
      </c>
      <c r="D64" s="21">
        <v>288949</v>
      </c>
      <c r="E64" s="21">
        <v>321818</v>
      </c>
      <c r="F64" s="21">
        <v>353365</v>
      </c>
      <c r="G64" s="21">
        <v>373941</v>
      </c>
      <c r="H64" s="21">
        <v>381801</v>
      </c>
      <c r="I64" s="21">
        <v>376174</v>
      </c>
      <c r="J64" s="21">
        <v>370988</v>
      </c>
      <c r="K64" s="21">
        <v>374927</v>
      </c>
      <c r="L64" s="21">
        <v>383554</v>
      </c>
      <c r="M64" s="90">
        <v>384153</v>
      </c>
      <c r="N64" s="21">
        <v>350403</v>
      </c>
      <c r="O64" s="21">
        <v>321543</v>
      </c>
      <c r="P64" s="21">
        <v>341463</v>
      </c>
      <c r="Q64" s="21">
        <v>342071</v>
      </c>
      <c r="R64" s="21">
        <v>346395</v>
      </c>
      <c r="S64" s="21">
        <v>356544</v>
      </c>
      <c r="T64" s="21">
        <v>385274</v>
      </c>
      <c r="U64" s="150">
        <f t="shared" si="10"/>
        <v>2.7597372288472154E-2</v>
      </c>
      <c r="V64" s="150">
        <f t="shared" si="11"/>
        <v>0.12830379865461264</v>
      </c>
      <c r="W64" s="150">
        <f t="shared" si="12"/>
        <v>8.0579115060132836E-2</v>
      </c>
      <c r="X64" s="220">
        <f t="shared" si="13"/>
        <v>0.26467688760743563</v>
      </c>
      <c r="Y64" s="221">
        <f t="shared" si="14"/>
        <v>28730</v>
      </c>
    </row>
    <row r="65" spans="1:15983" x14ac:dyDescent="0.25">
      <c r="A65" s="142" t="s">
        <v>68</v>
      </c>
      <c r="B65" s="30">
        <v>239697</v>
      </c>
      <c r="C65" s="30">
        <v>253514</v>
      </c>
      <c r="D65" s="30">
        <v>272809</v>
      </c>
      <c r="E65" s="30">
        <v>303583</v>
      </c>
      <c r="F65" s="30">
        <v>333114</v>
      </c>
      <c r="G65" s="30">
        <v>348275</v>
      </c>
      <c r="H65" s="20">
        <v>349600</v>
      </c>
      <c r="I65" s="20">
        <v>343972</v>
      </c>
      <c r="J65" s="20">
        <v>341247</v>
      </c>
      <c r="K65" s="20">
        <v>342926</v>
      </c>
      <c r="L65" s="20">
        <v>346836</v>
      </c>
      <c r="M65" s="32">
        <v>348221</v>
      </c>
      <c r="N65" s="20">
        <v>316615</v>
      </c>
      <c r="O65" s="20">
        <v>292002</v>
      </c>
      <c r="P65" s="20">
        <v>303652</v>
      </c>
      <c r="Q65" s="20">
        <v>302483</v>
      </c>
      <c r="R65" s="20">
        <v>308112</v>
      </c>
      <c r="S65" s="20">
        <v>316780</v>
      </c>
      <c r="T65" s="20">
        <v>332349</v>
      </c>
      <c r="U65" s="149">
        <f t="shared" si="10"/>
        <v>-3.0843388952718664E-2</v>
      </c>
      <c r="V65" s="149">
        <f t="shared" si="11"/>
        <v>9.4506211057394651E-2</v>
      </c>
      <c r="W65" s="149">
        <f t="shared" si="12"/>
        <v>4.9147673464233856E-2</v>
      </c>
      <c r="X65" s="218">
        <f t="shared" si="13"/>
        <v>0.22831828495938897</v>
      </c>
      <c r="Y65" s="219">
        <f t="shared" si="14"/>
        <v>15569</v>
      </c>
    </row>
    <row r="66" spans="1:15983" x14ac:dyDescent="0.25">
      <c r="A66" s="164" t="s">
        <v>35</v>
      </c>
      <c r="B66" s="30">
        <v>5451</v>
      </c>
      <c r="C66" s="30">
        <v>8081</v>
      </c>
      <c r="D66" s="30">
        <v>9460</v>
      </c>
      <c r="E66" s="30">
        <v>11885</v>
      </c>
      <c r="F66" s="30">
        <v>14448</v>
      </c>
      <c r="G66" s="30">
        <v>18008</v>
      </c>
      <c r="H66" s="20">
        <v>22544</v>
      </c>
      <c r="I66" s="20">
        <v>21612</v>
      </c>
      <c r="J66" s="20">
        <v>20738</v>
      </c>
      <c r="K66" s="20">
        <v>21945</v>
      </c>
      <c r="L66" s="20">
        <v>24436</v>
      </c>
      <c r="M66" s="32">
        <v>23457</v>
      </c>
      <c r="N66" s="20">
        <v>22373</v>
      </c>
      <c r="O66" s="20">
        <v>21003</v>
      </c>
      <c r="P66" s="20">
        <v>25326</v>
      </c>
      <c r="Q66" s="20">
        <v>26258</v>
      </c>
      <c r="R66" s="20">
        <v>23804</v>
      </c>
      <c r="S66" s="20">
        <v>22937</v>
      </c>
      <c r="T66" s="20">
        <v>24116</v>
      </c>
      <c r="U66" s="149">
        <f t="shared" si="10"/>
        <v>9.8929141034404186E-2</v>
      </c>
      <c r="V66" s="149">
        <f t="shared" si="11"/>
        <v>-4.777698807549554E-2</v>
      </c>
      <c r="W66" s="149">
        <f t="shared" si="12"/>
        <v>5.1401665431399048E-2</v>
      </c>
      <c r="X66" s="218">
        <f t="shared" si="13"/>
        <v>1.6567294500903041E-2</v>
      </c>
      <c r="Y66" s="219">
        <f t="shared" si="14"/>
        <v>1179</v>
      </c>
    </row>
    <row r="67" spans="1:15983" x14ac:dyDescent="0.25">
      <c r="A67" s="142" t="s">
        <v>34</v>
      </c>
      <c r="B67" s="30">
        <v>2744</v>
      </c>
      <c r="C67" s="30">
        <v>4271</v>
      </c>
      <c r="D67" s="30">
        <v>6680</v>
      </c>
      <c r="E67" s="30">
        <v>6350</v>
      </c>
      <c r="F67" s="30">
        <v>5803</v>
      </c>
      <c r="G67" s="30">
        <v>7658</v>
      </c>
      <c r="H67" s="20">
        <v>9657</v>
      </c>
      <c r="I67" s="20">
        <v>10590</v>
      </c>
      <c r="J67" s="20">
        <v>9003</v>
      </c>
      <c r="K67" s="20">
        <v>10056</v>
      </c>
      <c r="L67" s="20">
        <v>12282</v>
      </c>
      <c r="M67" s="32">
        <v>12475</v>
      </c>
      <c r="N67" s="20">
        <v>11415</v>
      </c>
      <c r="O67" s="20">
        <v>8538</v>
      </c>
      <c r="P67" s="20">
        <v>12485</v>
      </c>
      <c r="Q67" s="20">
        <v>13330</v>
      </c>
      <c r="R67" s="20">
        <v>14479</v>
      </c>
      <c r="S67" s="20">
        <v>16827</v>
      </c>
      <c r="T67" s="20">
        <v>28809</v>
      </c>
      <c r="U67" s="149">
        <f t="shared" si="10"/>
        <v>1.8648568019093079</v>
      </c>
      <c r="V67" s="149">
        <f t="shared" si="11"/>
        <v>1.307488986784141</v>
      </c>
      <c r="W67" s="149">
        <f t="shared" si="12"/>
        <v>0.71206988768051349</v>
      </c>
      <c r="X67" s="218">
        <f t="shared" si="13"/>
        <v>1.9791308147143624E-2</v>
      </c>
      <c r="Y67" s="219">
        <f t="shared" si="14"/>
        <v>11982</v>
      </c>
    </row>
    <row r="68" spans="1:15983" x14ac:dyDescent="0.25">
      <c r="A68" s="71" t="s">
        <v>295</v>
      </c>
      <c r="B68" s="36">
        <v>0</v>
      </c>
      <c r="C68" s="36">
        <v>0</v>
      </c>
      <c r="D68" s="36">
        <v>0</v>
      </c>
      <c r="E68" s="36">
        <v>0</v>
      </c>
      <c r="F68" s="36">
        <v>0</v>
      </c>
      <c r="G68" s="36">
        <v>0</v>
      </c>
      <c r="H68" s="36">
        <v>0</v>
      </c>
      <c r="I68" s="36">
        <v>0</v>
      </c>
      <c r="J68" s="36">
        <v>0</v>
      </c>
      <c r="K68" s="36">
        <v>0</v>
      </c>
      <c r="L68" s="36">
        <v>0</v>
      </c>
      <c r="M68" s="36">
        <v>0</v>
      </c>
      <c r="N68" s="21">
        <v>2149</v>
      </c>
      <c r="O68" s="21">
        <v>2359</v>
      </c>
      <c r="P68" s="21">
        <v>1881</v>
      </c>
      <c r="Q68" s="21">
        <v>1156</v>
      </c>
      <c r="R68" s="21">
        <v>471</v>
      </c>
      <c r="S68" s="21">
        <v>115</v>
      </c>
      <c r="T68" s="21">
        <v>26</v>
      </c>
      <c r="U68" s="150" t="s">
        <v>130</v>
      </c>
      <c r="V68" s="150">
        <f t="shared" si="11"/>
        <v>-0.9861775651249336</v>
      </c>
      <c r="W68" s="150">
        <f t="shared" si="12"/>
        <v>-0.77391304347826084</v>
      </c>
      <c r="X68" s="220">
        <f t="shared" si="13"/>
        <v>1.7861571447316266E-5</v>
      </c>
      <c r="Y68" s="221">
        <f t="shared" si="14"/>
        <v>-89</v>
      </c>
    </row>
    <row r="69" spans="1:15983" x14ac:dyDescent="0.25">
      <c r="A69" s="142" t="s">
        <v>68</v>
      </c>
      <c r="B69" s="30">
        <v>0</v>
      </c>
      <c r="C69" s="30">
        <v>0</v>
      </c>
      <c r="D69" s="30">
        <v>0</v>
      </c>
      <c r="E69" s="30">
        <v>0</v>
      </c>
      <c r="F69" s="30">
        <v>0</v>
      </c>
      <c r="G69" s="30">
        <v>0</v>
      </c>
      <c r="H69" s="30">
        <v>0</v>
      </c>
      <c r="I69" s="30">
        <v>0</v>
      </c>
      <c r="J69" s="30">
        <v>0</v>
      </c>
      <c r="K69" s="30">
        <v>0</v>
      </c>
      <c r="L69" s="30">
        <v>0</v>
      </c>
      <c r="M69" s="30">
        <v>0</v>
      </c>
      <c r="N69" s="20">
        <v>2149</v>
      </c>
      <c r="O69" s="20">
        <v>2335</v>
      </c>
      <c r="P69" s="20">
        <v>1594</v>
      </c>
      <c r="Q69" s="20">
        <v>894</v>
      </c>
      <c r="R69" s="20">
        <v>326</v>
      </c>
      <c r="S69" s="20">
        <v>59</v>
      </c>
      <c r="T69" s="20">
        <v>26</v>
      </c>
      <c r="U69" s="149" t="s">
        <v>130</v>
      </c>
      <c r="V69" s="149">
        <f t="shared" si="11"/>
        <v>-0.98368883312421584</v>
      </c>
      <c r="W69" s="149">
        <f t="shared" si="12"/>
        <v>-0.55932203389830504</v>
      </c>
      <c r="X69" s="218">
        <f t="shared" si="13"/>
        <v>1.7861571447316266E-5</v>
      </c>
      <c r="Y69" s="219">
        <f t="shared" si="14"/>
        <v>-33</v>
      </c>
    </row>
    <row r="70" spans="1:15983" x14ac:dyDescent="0.25">
      <c r="A70" s="164" t="s">
        <v>35</v>
      </c>
      <c r="B70" s="30">
        <v>0</v>
      </c>
      <c r="C70" s="30">
        <v>0</v>
      </c>
      <c r="D70" s="30">
        <v>0</v>
      </c>
      <c r="E70" s="30">
        <v>0</v>
      </c>
      <c r="F70" s="30">
        <v>0</v>
      </c>
      <c r="G70" s="30">
        <v>0</v>
      </c>
      <c r="H70" s="30">
        <v>0</v>
      </c>
      <c r="I70" s="30">
        <v>0</v>
      </c>
      <c r="J70" s="30">
        <v>0</v>
      </c>
      <c r="K70" s="30">
        <v>0</v>
      </c>
      <c r="L70" s="30">
        <v>0</v>
      </c>
      <c r="M70" s="30">
        <v>0</v>
      </c>
      <c r="N70" s="30">
        <v>0</v>
      </c>
      <c r="O70" s="20">
        <v>22</v>
      </c>
      <c r="P70" s="20">
        <v>287</v>
      </c>
      <c r="Q70" s="20">
        <v>262</v>
      </c>
      <c r="R70" s="20">
        <v>145</v>
      </c>
      <c r="S70" s="20">
        <v>56</v>
      </c>
      <c r="T70" s="20">
        <v>0</v>
      </c>
      <c r="U70" s="149" t="s">
        <v>130</v>
      </c>
      <c r="V70" s="149">
        <f t="shared" si="11"/>
        <v>-1</v>
      </c>
      <c r="W70" s="149">
        <f t="shared" si="12"/>
        <v>-1</v>
      </c>
      <c r="X70" s="218">
        <f t="shared" si="13"/>
        <v>0</v>
      </c>
      <c r="Y70" s="219">
        <f t="shared" si="14"/>
        <v>-56</v>
      </c>
    </row>
    <row r="71" spans="1:15983" x14ac:dyDescent="0.25">
      <c r="A71" s="142" t="s">
        <v>34</v>
      </c>
      <c r="B71" s="30">
        <v>0</v>
      </c>
      <c r="C71" s="30">
        <v>0</v>
      </c>
      <c r="D71" s="30">
        <v>0</v>
      </c>
      <c r="E71" s="30">
        <v>0</v>
      </c>
      <c r="F71" s="30">
        <v>0</v>
      </c>
      <c r="G71" s="30">
        <v>0</v>
      </c>
      <c r="H71" s="30">
        <v>0</v>
      </c>
      <c r="I71" s="30">
        <v>0</v>
      </c>
      <c r="J71" s="30">
        <v>0</v>
      </c>
      <c r="K71" s="30">
        <v>0</v>
      </c>
      <c r="L71" s="30">
        <v>0</v>
      </c>
      <c r="M71" s="30">
        <v>0</v>
      </c>
      <c r="N71" s="30">
        <v>0</v>
      </c>
      <c r="O71" s="20">
        <v>2</v>
      </c>
      <c r="P71" s="20">
        <v>0</v>
      </c>
      <c r="Q71" s="20">
        <v>0</v>
      </c>
      <c r="R71" s="20">
        <v>0</v>
      </c>
      <c r="S71" s="20">
        <v>0</v>
      </c>
      <c r="T71" s="20">
        <v>0</v>
      </c>
      <c r="U71" s="149" t="s">
        <v>130</v>
      </c>
      <c r="V71" s="149" t="s">
        <v>130</v>
      </c>
      <c r="W71" s="149" t="s">
        <v>130</v>
      </c>
      <c r="X71" s="218">
        <f t="shared" si="13"/>
        <v>0</v>
      </c>
      <c r="Y71" s="219">
        <f t="shared" si="14"/>
        <v>0</v>
      </c>
    </row>
    <row r="72" spans="1:15983" x14ac:dyDescent="0.25">
      <c r="A72" s="71" t="s">
        <v>0</v>
      </c>
      <c r="B72" s="21">
        <v>776838</v>
      </c>
      <c r="C72" s="21">
        <v>819797</v>
      </c>
      <c r="D72" s="21">
        <v>891719</v>
      </c>
      <c r="E72" s="21">
        <v>985618</v>
      </c>
      <c r="F72" s="21">
        <v>1069099</v>
      </c>
      <c r="G72" s="21">
        <v>1126920</v>
      </c>
      <c r="H72" s="21">
        <v>1184371</v>
      </c>
      <c r="I72" s="21">
        <v>1215130</v>
      </c>
      <c r="J72" s="21">
        <v>1233043</v>
      </c>
      <c r="K72" s="21">
        <v>1247178</v>
      </c>
      <c r="L72" s="21">
        <v>1248293</v>
      </c>
      <c r="M72" s="90">
        <v>1262334</v>
      </c>
      <c r="N72" s="21">
        <v>1268483</v>
      </c>
      <c r="O72" s="21">
        <v>1220898</v>
      </c>
      <c r="P72" s="21">
        <v>1294701</v>
      </c>
      <c r="Q72" s="21">
        <v>1304147</v>
      </c>
      <c r="R72" s="21">
        <v>1341448</v>
      </c>
      <c r="S72" s="21">
        <v>1386099</v>
      </c>
      <c r="T72" s="21">
        <v>1455639</v>
      </c>
      <c r="U72" s="149">
        <f t="shared" si="10"/>
        <v>0.16714614914631271</v>
      </c>
      <c r="V72" s="149">
        <f t="shared" si="11"/>
        <v>0.12430514844740215</v>
      </c>
      <c r="W72" s="149">
        <f t="shared" si="12"/>
        <v>5.0169576631972176E-2</v>
      </c>
      <c r="X72" s="150">
        <f t="shared" si="13"/>
        <v>1</v>
      </c>
      <c r="Y72" s="219">
        <f t="shared" si="14"/>
        <v>69540</v>
      </c>
    </row>
    <row r="73" spans="1:15983" ht="12.75" customHeight="1" x14ac:dyDescent="0.25">
      <c r="A73" s="114" t="s">
        <v>312</v>
      </c>
      <c r="B73" s="97"/>
      <c r="C73" s="97"/>
      <c r="D73" s="97"/>
      <c r="E73" s="97"/>
      <c r="F73" s="97"/>
      <c r="G73" s="97"/>
      <c r="H73" s="97"/>
      <c r="I73" s="97"/>
      <c r="J73" s="97"/>
      <c r="K73" s="97"/>
      <c r="L73" s="97"/>
      <c r="M73" s="206"/>
      <c r="N73" s="97"/>
      <c r="O73" s="97"/>
      <c r="P73" s="97"/>
      <c r="Q73" s="97"/>
      <c r="R73" s="97"/>
      <c r="S73" s="97"/>
      <c r="T73" s="97"/>
      <c r="U73" s="97"/>
      <c r="V73" s="97"/>
      <c r="W73" s="97"/>
      <c r="X73" s="97"/>
      <c r="Y73" s="97"/>
      <c r="Z73" s="97"/>
      <c r="AA73" s="97"/>
      <c r="AB73" s="97"/>
      <c r="AC73" s="97"/>
      <c r="AD73" s="97"/>
      <c r="AE73" s="97"/>
      <c r="AF73" s="97"/>
      <c r="AG73" s="97"/>
      <c r="AH73" s="97"/>
      <c r="AI73" s="97"/>
      <c r="AJ73" s="97"/>
      <c r="AK73" s="97"/>
      <c r="AL73" s="97"/>
      <c r="AM73" s="97"/>
      <c r="AN73" s="97"/>
      <c r="AO73" s="97"/>
      <c r="AP73" s="97"/>
      <c r="AQ73" s="97"/>
      <c r="AR73" s="97"/>
      <c r="AS73" s="97"/>
      <c r="AT73" s="97"/>
      <c r="AU73" s="97"/>
      <c r="AV73" s="97"/>
      <c r="AW73" s="97"/>
      <c r="AX73" s="97"/>
      <c r="AY73" s="97"/>
      <c r="AZ73" s="97"/>
      <c r="BA73" s="97"/>
      <c r="BB73" s="97"/>
      <c r="BC73" s="97"/>
      <c r="BD73" s="97"/>
      <c r="BE73" s="97"/>
      <c r="BF73" s="97"/>
      <c r="BG73" s="97"/>
      <c r="BH73" s="97"/>
      <c r="BI73" s="97"/>
      <c r="BJ73" s="97"/>
      <c r="BK73" s="97"/>
      <c r="BL73" s="97"/>
      <c r="BM73" s="97"/>
      <c r="BN73" s="97"/>
      <c r="BO73" s="97"/>
      <c r="BP73" s="97"/>
      <c r="BQ73" s="97"/>
      <c r="BR73" s="97"/>
      <c r="BS73" s="97"/>
      <c r="BT73" s="97"/>
      <c r="BU73" s="97"/>
      <c r="BV73" s="97"/>
      <c r="BW73" s="97"/>
      <c r="BX73" s="97"/>
      <c r="BY73" s="97"/>
      <c r="BZ73" s="97"/>
      <c r="CA73" s="97"/>
      <c r="CB73" s="97"/>
      <c r="CC73" s="97"/>
      <c r="CD73" s="97"/>
      <c r="CE73" s="97"/>
      <c r="CF73" s="97"/>
      <c r="CG73" s="97"/>
      <c r="CH73" s="97"/>
      <c r="CI73" s="97"/>
      <c r="CJ73" s="97"/>
      <c r="CK73" s="97"/>
      <c r="CL73" s="97"/>
      <c r="CM73" s="97"/>
      <c r="CN73" s="97"/>
      <c r="CO73" s="97"/>
      <c r="CP73" s="97"/>
      <c r="CQ73" s="97"/>
      <c r="CR73" s="97"/>
      <c r="CS73" s="97"/>
      <c r="CT73" s="97"/>
      <c r="CU73" s="97"/>
      <c r="CV73" s="97"/>
      <c r="CW73" s="97"/>
      <c r="CX73" s="97"/>
      <c r="CY73" s="97"/>
      <c r="CZ73" s="97"/>
      <c r="DA73" s="97"/>
      <c r="DB73" s="97"/>
      <c r="DC73" s="97"/>
      <c r="DD73" s="97"/>
      <c r="DE73" s="97"/>
      <c r="DF73" s="97"/>
      <c r="DG73" s="97"/>
      <c r="DH73" s="97"/>
      <c r="DI73" s="97"/>
      <c r="DJ73" s="97"/>
      <c r="DK73" s="97"/>
      <c r="DL73" s="97"/>
      <c r="DM73" s="97"/>
      <c r="DN73" s="97"/>
      <c r="DO73" s="97"/>
      <c r="DP73" s="97"/>
      <c r="DQ73" s="97"/>
      <c r="DR73" s="97"/>
      <c r="DS73" s="97"/>
      <c r="DT73" s="97"/>
      <c r="DU73" s="97"/>
      <c r="DV73" s="97"/>
      <c r="DW73" s="97"/>
      <c r="DX73" s="97"/>
      <c r="DY73" s="97"/>
      <c r="DZ73" s="97"/>
      <c r="EA73" s="97"/>
      <c r="EB73" s="97"/>
      <c r="EC73" s="97"/>
      <c r="ED73" s="97"/>
      <c r="EE73" s="97"/>
      <c r="EF73" s="97"/>
      <c r="EG73" s="97"/>
      <c r="EH73" s="97"/>
      <c r="EI73" s="97"/>
      <c r="EJ73" s="97"/>
      <c r="EK73" s="97"/>
      <c r="EL73" s="97"/>
      <c r="EM73" s="97"/>
      <c r="EN73" s="97"/>
      <c r="EO73" s="97"/>
      <c r="EP73" s="97"/>
      <c r="EQ73" s="97"/>
      <c r="ER73" s="97"/>
      <c r="ES73" s="97"/>
      <c r="ET73" s="97"/>
      <c r="EU73" s="97"/>
      <c r="EV73" s="97"/>
      <c r="EW73" s="97"/>
      <c r="EX73" s="97"/>
      <c r="EY73" s="97"/>
      <c r="EZ73" s="97"/>
      <c r="FA73" s="97"/>
      <c r="FB73" s="97"/>
      <c r="FC73" s="97"/>
      <c r="FD73" s="97"/>
      <c r="FE73" s="97"/>
      <c r="FF73" s="97"/>
      <c r="FG73" s="97"/>
      <c r="FH73" s="97"/>
      <c r="FI73" s="97"/>
      <c r="FJ73" s="97"/>
      <c r="FK73" s="97"/>
      <c r="FL73" s="97"/>
      <c r="FM73" s="97"/>
      <c r="FN73" s="97"/>
      <c r="FO73" s="97"/>
      <c r="FP73" s="97"/>
      <c r="FQ73" s="97"/>
      <c r="FR73" s="97"/>
      <c r="FS73" s="97"/>
      <c r="FT73" s="97"/>
      <c r="FU73" s="97"/>
      <c r="FV73" s="97"/>
      <c r="FW73" s="97"/>
      <c r="FX73" s="97"/>
      <c r="FY73" s="97"/>
      <c r="FZ73" s="97"/>
      <c r="GA73" s="97"/>
      <c r="GB73" s="97"/>
      <c r="GC73" s="97"/>
      <c r="GD73" s="97"/>
      <c r="GE73" s="97"/>
      <c r="GF73" s="97"/>
      <c r="GG73" s="97"/>
      <c r="GH73" s="97"/>
      <c r="GI73" s="97"/>
      <c r="GJ73" s="97"/>
      <c r="GK73" s="97"/>
      <c r="GL73" s="97"/>
      <c r="GM73" s="97"/>
      <c r="GN73" s="97"/>
      <c r="GO73" s="97"/>
      <c r="GP73" s="97"/>
      <c r="GQ73" s="97"/>
      <c r="GR73" s="97"/>
      <c r="GS73" s="97"/>
      <c r="GT73" s="97"/>
      <c r="GU73" s="97"/>
      <c r="GV73" s="97"/>
      <c r="GW73" s="97"/>
      <c r="GX73" s="97"/>
      <c r="GY73" s="97"/>
      <c r="GZ73" s="97"/>
      <c r="HA73" s="97"/>
      <c r="HB73" s="97"/>
      <c r="HC73" s="97"/>
      <c r="HD73" s="97"/>
      <c r="HE73" s="97"/>
      <c r="HF73" s="97"/>
      <c r="HG73" s="97"/>
      <c r="HH73" s="97"/>
      <c r="HI73" s="97"/>
      <c r="HJ73" s="97"/>
      <c r="HK73" s="97"/>
      <c r="HL73" s="97"/>
      <c r="HM73" s="97"/>
      <c r="HN73" s="97"/>
      <c r="HO73" s="97"/>
      <c r="HP73" s="97"/>
      <c r="HQ73" s="97"/>
      <c r="HR73" s="97"/>
      <c r="HS73" s="97"/>
      <c r="HT73" s="97"/>
      <c r="HU73" s="97"/>
      <c r="HV73" s="97"/>
      <c r="HW73" s="97"/>
      <c r="HX73" s="97"/>
      <c r="HY73" s="97"/>
      <c r="HZ73" s="97"/>
      <c r="IA73" s="97"/>
      <c r="IB73" s="97"/>
      <c r="IC73" s="97"/>
      <c r="ID73" s="97"/>
      <c r="IE73" s="97"/>
      <c r="IF73" s="97"/>
      <c r="IG73" s="97"/>
      <c r="IH73" s="97"/>
      <c r="II73" s="97"/>
      <c r="IJ73" s="97"/>
      <c r="IK73" s="97"/>
      <c r="IL73" s="97"/>
      <c r="IM73" s="97"/>
      <c r="IN73" s="97"/>
      <c r="IO73" s="97"/>
      <c r="IP73" s="97"/>
      <c r="IQ73" s="97"/>
      <c r="IR73" s="97"/>
      <c r="IS73" s="97"/>
      <c r="IT73" s="97"/>
      <c r="IU73" s="97"/>
      <c r="IV73" s="97"/>
      <c r="IW73" s="97"/>
      <c r="IX73" s="97"/>
      <c r="IY73" s="97"/>
      <c r="IZ73" s="97"/>
      <c r="JA73" s="97"/>
      <c r="JB73" s="97"/>
      <c r="JC73" s="97"/>
      <c r="JD73" s="97"/>
      <c r="JE73" s="97"/>
      <c r="JF73" s="97"/>
      <c r="JG73" s="97"/>
      <c r="JH73" s="97"/>
      <c r="JI73" s="97"/>
      <c r="JJ73" s="97"/>
      <c r="JK73" s="97"/>
      <c r="JL73" s="97"/>
      <c r="JM73" s="97"/>
      <c r="JN73" s="97"/>
      <c r="JO73" s="97"/>
      <c r="JP73" s="97"/>
      <c r="JQ73" s="97"/>
      <c r="JR73" s="97"/>
      <c r="JS73" s="97"/>
      <c r="JT73" s="97"/>
      <c r="JU73" s="97"/>
      <c r="JV73" s="97"/>
      <c r="JW73" s="97"/>
      <c r="JX73" s="97"/>
      <c r="JY73" s="97"/>
      <c r="JZ73" s="97"/>
      <c r="KA73" s="97"/>
      <c r="KB73" s="97"/>
      <c r="KC73" s="97"/>
      <c r="KD73" s="97"/>
      <c r="KE73" s="97"/>
      <c r="KF73" s="97"/>
      <c r="KG73" s="97"/>
      <c r="KH73" s="97"/>
      <c r="KI73" s="97"/>
      <c r="KJ73" s="97"/>
      <c r="KK73" s="97"/>
      <c r="KL73" s="97"/>
      <c r="KM73" s="97"/>
      <c r="KN73" s="97"/>
      <c r="KO73" s="97"/>
      <c r="KP73" s="97"/>
      <c r="KQ73" s="97"/>
      <c r="KR73" s="97"/>
      <c r="KS73" s="97"/>
      <c r="KT73" s="97"/>
      <c r="KU73" s="97"/>
      <c r="KV73" s="97"/>
      <c r="KW73" s="97"/>
      <c r="KX73" s="97"/>
      <c r="KY73" s="97"/>
      <c r="KZ73" s="97"/>
      <c r="LA73" s="97"/>
      <c r="LB73" s="97"/>
      <c r="LC73" s="97"/>
      <c r="LD73" s="97"/>
      <c r="LE73" s="97"/>
      <c r="LF73" s="97"/>
      <c r="LG73" s="97"/>
      <c r="LH73" s="97"/>
      <c r="LI73" s="97"/>
      <c r="LJ73" s="97"/>
      <c r="LK73" s="97"/>
      <c r="LL73" s="97"/>
      <c r="LM73" s="97"/>
      <c r="LN73" s="97"/>
      <c r="LO73" s="97"/>
      <c r="LP73" s="97"/>
      <c r="LQ73" s="97"/>
      <c r="LR73" s="97"/>
      <c r="LS73" s="97"/>
      <c r="LT73" s="97"/>
      <c r="LU73" s="97"/>
      <c r="LV73" s="97"/>
      <c r="LW73" s="97"/>
      <c r="LX73" s="97"/>
      <c r="LY73" s="97"/>
      <c r="LZ73" s="97"/>
      <c r="MA73" s="97"/>
      <c r="MB73" s="97"/>
      <c r="MC73" s="97"/>
      <c r="MD73" s="97"/>
      <c r="ME73" s="97"/>
      <c r="MF73" s="97"/>
      <c r="MG73" s="97"/>
      <c r="MH73" s="97"/>
      <c r="MI73" s="97"/>
      <c r="MJ73" s="97"/>
      <c r="MK73" s="97"/>
      <c r="ML73" s="97"/>
      <c r="MM73" s="97"/>
      <c r="MN73" s="97"/>
      <c r="MO73" s="97"/>
      <c r="MP73" s="97"/>
      <c r="MQ73" s="97"/>
      <c r="MR73" s="97"/>
      <c r="MS73" s="97"/>
      <c r="MT73" s="97"/>
      <c r="MU73" s="97"/>
      <c r="MV73" s="97"/>
      <c r="MW73" s="97"/>
      <c r="MX73" s="97"/>
      <c r="MY73" s="97"/>
      <c r="MZ73" s="97"/>
      <c r="NA73" s="97"/>
      <c r="NB73" s="97"/>
      <c r="NC73" s="97"/>
      <c r="ND73" s="97"/>
      <c r="NE73" s="97"/>
      <c r="NF73" s="97"/>
      <c r="NG73" s="97"/>
      <c r="NH73" s="97"/>
      <c r="NI73" s="97"/>
      <c r="NJ73" s="97"/>
      <c r="NK73" s="97"/>
      <c r="NL73" s="97"/>
      <c r="NM73" s="97"/>
      <c r="NN73" s="97"/>
      <c r="NO73" s="97"/>
      <c r="NP73" s="97"/>
      <c r="NQ73" s="97"/>
      <c r="NR73" s="97"/>
      <c r="NS73" s="97"/>
      <c r="NT73" s="97"/>
      <c r="NU73" s="97"/>
      <c r="NV73" s="97"/>
      <c r="NW73" s="97"/>
      <c r="NX73" s="97"/>
      <c r="NY73" s="97"/>
      <c r="NZ73" s="97"/>
      <c r="OA73" s="97"/>
      <c r="OB73" s="97"/>
      <c r="OC73" s="97"/>
      <c r="OD73" s="97"/>
      <c r="OE73" s="97"/>
      <c r="OF73" s="97"/>
      <c r="OG73" s="97"/>
      <c r="OH73" s="97"/>
      <c r="OI73" s="97"/>
      <c r="OJ73" s="97"/>
      <c r="OK73" s="97"/>
      <c r="OL73" s="97"/>
      <c r="OM73" s="97"/>
      <c r="ON73" s="97"/>
      <c r="OO73" s="97"/>
      <c r="OP73" s="97"/>
      <c r="OQ73" s="97"/>
      <c r="OR73" s="97"/>
      <c r="OS73" s="97"/>
      <c r="OT73" s="97"/>
      <c r="OU73" s="97"/>
      <c r="OV73" s="97"/>
      <c r="OW73" s="97"/>
      <c r="OX73" s="97"/>
      <c r="OY73" s="97"/>
      <c r="OZ73" s="97"/>
      <c r="PA73" s="97"/>
      <c r="PB73" s="97"/>
      <c r="PC73" s="97"/>
      <c r="PD73" s="97"/>
      <c r="PE73" s="97"/>
      <c r="PF73" s="97"/>
      <c r="PG73" s="97"/>
      <c r="PH73" s="97"/>
      <c r="PI73" s="97"/>
      <c r="PJ73" s="97"/>
      <c r="PK73" s="97"/>
      <c r="PL73" s="97"/>
      <c r="PM73" s="97"/>
      <c r="PN73" s="97"/>
      <c r="PO73" s="97"/>
      <c r="PP73" s="97"/>
      <c r="PQ73" s="97"/>
      <c r="PR73" s="97"/>
      <c r="PS73" s="97"/>
      <c r="PT73" s="97"/>
      <c r="PU73" s="97"/>
      <c r="PV73" s="97"/>
      <c r="PW73" s="97"/>
      <c r="PX73" s="97"/>
      <c r="PY73" s="97"/>
      <c r="PZ73" s="97"/>
      <c r="QA73" s="97"/>
      <c r="QB73" s="97"/>
      <c r="QC73" s="97"/>
      <c r="QD73" s="97"/>
      <c r="QE73" s="97"/>
      <c r="QF73" s="97"/>
      <c r="QG73" s="97"/>
      <c r="QH73" s="97"/>
      <c r="QI73" s="97"/>
      <c r="QJ73" s="97"/>
      <c r="QK73" s="97"/>
      <c r="QL73" s="97"/>
      <c r="QM73" s="97"/>
      <c r="QN73" s="97"/>
      <c r="QO73" s="97"/>
      <c r="QP73" s="97"/>
      <c r="QQ73" s="97"/>
      <c r="QR73" s="97"/>
      <c r="QS73" s="97"/>
      <c r="QT73" s="97"/>
      <c r="QU73" s="97"/>
      <c r="QV73" s="97"/>
      <c r="QW73" s="97"/>
      <c r="QX73" s="97"/>
      <c r="QY73" s="97"/>
      <c r="QZ73" s="97"/>
      <c r="RA73" s="97"/>
      <c r="RB73" s="97"/>
      <c r="RC73" s="97"/>
      <c r="RD73" s="97"/>
      <c r="RE73" s="97"/>
      <c r="RF73" s="97"/>
      <c r="RG73" s="97"/>
      <c r="RH73" s="97"/>
      <c r="RI73" s="97"/>
      <c r="RJ73" s="97"/>
      <c r="RK73" s="97"/>
      <c r="RL73" s="97"/>
      <c r="RM73" s="97"/>
      <c r="RN73" s="97"/>
      <c r="RO73" s="97"/>
      <c r="RP73" s="97"/>
      <c r="RQ73" s="97"/>
      <c r="RR73" s="97"/>
      <c r="RS73" s="97"/>
      <c r="RT73" s="97"/>
      <c r="RU73" s="97"/>
      <c r="RV73" s="97"/>
      <c r="RW73" s="97"/>
      <c r="RX73" s="97"/>
      <c r="RY73" s="97"/>
      <c r="RZ73" s="97"/>
      <c r="SA73" s="97"/>
      <c r="SB73" s="97"/>
      <c r="SC73" s="97"/>
      <c r="SD73" s="97"/>
      <c r="SE73" s="97"/>
      <c r="SF73" s="97"/>
      <c r="SG73" s="97"/>
      <c r="SH73" s="97"/>
      <c r="SI73" s="97"/>
      <c r="SJ73" s="97"/>
      <c r="SK73" s="97"/>
      <c r="SL73" s="97"/>
      <c r="SM73" s="97"/>
      <c r="SN73" s="97"/>
      <c r="SO73" s="97"/>
      <c r="SP73" s="97"/>
      <c r="SQ73" s="97"/>
      <c r="SR73" s="97"/>
      <c r="SS73" s="97"/>
      <c r="ST73" s="97"/>
      <c r="SU73" s="97"/>
      <c r="SV73" s="97"/>
      <c r="SW73" s="97"/>
      <c r="SX73" s="97"/>
      <c r="SY73" s="97"/>
      <c r="SZ73" s="97"/>
      <c r="TA73" s="97"/>
      <c r="TB73" s="97"/>
      <c r="TC73" s="97"/>
      <c r="TD73" s="97"/>
      <c r="TE73" s="97"/>
      <c r="TF73" s="97"/>
      <c r="TG73" s="97"/>
      <c r="TH73" s="97"/>
      <c r="TI73" s="97"/>
      <c r="TJ73" s="97"/>
      <c r="TK73" s="97"/>
      <c r="TL73" s="97"/>
      <c r="TM73" s="97"/>
      <c r="TN73" s="97"/>
      <c r="TO73" s="97"/>
      <c r="TP73" s="97"/>
      <c r="TQ73" s="97"/>
      <c r="TR73" s="97"/>
      <c r="TS73" s="97"/>
      <c r="TT73" s="97"/>
      <c r="TU73" s="97"/>
      <c r="TV73" s="97"/>
      <c r="TW73" s="97"/>
      <c r="TX73" s="97"/>
      <c r="TY73" s="97"/>
      <c r="TZ73" s="97"/>
      <c r="UA73" s="97"/>
      <c r="UB73" s="97"/>
      <c r="UC73" s="97"/>
      <c r="UD73" s="97"/>
      <c r="UE73" s="97"/>
      <c r="UF73" s="97"/>
      <c r="UG73" s="97"/>
      <c r="UH73" s="97"/>
      <c r="UI73" s="97"/>
      <c r="UJ73" s="97"/>
      <c r="UK73" s="97"/>
      <c r="UL73" s="97"/>
      <c r="UM73" s="97"/>
      <c r="UN73" s="97"/>
      <c r="UO73" s="97"/>
      <c r="UP73" s="97"/>
      <c r="UQ73" s="97"/>
      <c r="UR73" s="97"/>
      <c r="US73" s="97"/>
      <c r="UT73" s="97"/>
      <c r="UU73" s="97"/>
      <c r="UV73" s="97"/>
      <c r="UW73" s="97"/>
      <c r="UX73" s="97"/>
      <c r="UY73" s="97"/>
      <c r="UZ73" s="97"/>
      <c r="VA73" s="97"/>
      <c r="VB73" s="97"/>
      <c r="VC73" s="97"/>
      <c r="VD73" s="97"/>
      <c r="VE73" s="97"/>
      <c r="VF73" s="97"/>
      <c r="VG73" s="97"/>
      <c r="VH73" s="97"/>
      <c r="VI73" s="97"/>
      <c r="VJ73" s="97"/>
      <c r="VK73" s="97"/>
      <c r="VL73" s="97"/>
      <c r="VM73" s="97"/>
      <c r="VN73" s="97"/>
      <c r="VO73" s="97"/>
      <c r="VP73" s="97"/>
      <c r="VQ73" s="97"/>
      <c r="VR73" s="97"/>
      <c r="VS73" s="97"/>
      <c r="VT73" s="97"/>
      <c r="VU73" s="97"/>
      <c r="VV73" s="97"/>
      <c r="VW73" s="97"/>
      <c r="VX73" s="97"/>
      <c r="VY73" s="97"/>
      <c r="VZ73" s="97"/>
      <c r="WA73" s="97"/>
      <c r="WB73" s="97"/>
      <c r="WC73" s="97"/>
      <c r="WD73" s="97"/>
      <c r="WE73" s="97"/>
      <c r="WF73" s="97"/>
      <c r="WG73" s="97"/>
      <c r="WH73" s="97"/>
      <c r="WI73" s="97"/>
      <c r="WJ73" s="97"/>
      <c r="WK73" s="97"/>
      <c r="WL73" s="97"/>
      <c r="WM73" s="97"/>
      <c r="WN73" s="97"/>
      <c r="WO73" s="97"/>
      <c r="WP73" s="97"/>
      <c r="WQ73" s="97"/>
      <c r="WR73" s="97"/>
      <c r="WS73" s="97"/>
      <c r="WT73" s="97"/>
      <c r="WU73" s="97"/>
      <c r="WV73" s="97"/>
      <c r="WW73" s="97"/>
      <c r="WX73" s="97"/>
      <c r="WY73" s="97"/>
      <c r="WZ73" s="97"/>
      <c r="XA73" s="97"/>
      <c r="XB73" s="97"/>
      <c r="XC73" s="97"/>
      <c r="XD73" s="97"/>
      <c r="XE73" s="97"/>
      <c r="XF73" s="97"/>
      <c r="XG73" s="97"/>
      <c r="XH73" s="97"/>
      <c r="XI73" s="97"/>
      <c r="XJ73" s="97"/>
      <c r="XK73" s="97"/>
      <c r="XL73" s="97"/>
      <c r="XM73" s="97"/>
      <c r="XN73" s="97"/>
      <c r="XO73" s="97"/>
      <c r="XP73" s="97"/>
      <c r="XQ73" s="97"/>
      <c r="XR73" s="97"/>
      <c r="XS73" s="97"/>
      <c r="XT73" s="97"/>
      <c r="XU73" s="97"/>
      <c r="XV73" s="97"/>
      <c r="XW73" s="97"/>
      <c r="XX73" s="97"/>
      <c r="XY73" s="97"/>
      <c r="XZ73" s="97"/>
      <c r="YA73" s="97"/>
      <c r="YB73" s="97"/>
      <c r="YC73" s="97"/>
      <c r="YD73" s="97"/>
      <c r="YE73" s="97"/>
      <c r="YF73" s="97"/>
      <c r="YG73" s="97"/>
      <c r="YH73" s="97"/>
      <c r="YI73" s="97"/>
      <c r="YJ73" s="97"/>
      <c r="YK73" s="97"/>
      <c r="YL73" s="97"/>
      <c r="YM73" s="97"/>
      <c r="YN73" s="97"/>
      <c r="YO73" s="97"/>
      <c r="YP73" s="97"/>
      <c r="YQ73" s="97"/>
      <c r="YR73" s="97"/>
      <c r="YS73" s="97"/>
      <c r="YT73" s="97"/>
      <c r="YU73" s="97"/>
      <c r="YV73" s="97"/>
      <c r="YW73" s="97"/>
      <c r="YX73" s="97"/>
      <c r="YY73" s="97"/>
      <c r="YZ73" s="97"/>
      <c r="ZA73" s="97"/>
      <c r="ZB73" s="97"/>
      <c r="ZC73" s="97"/>
      <c r="ZD73" s="97"/>
      <c r="ZE73" s="97"/>
      <c r="ZF73" s="97"/>
      <c r="ZG73" s="97"/>
      <c r="ZH73" s="97"/>
      <c r="ZI73" s="97"/>
      <c r="ZJ73" s="97"/>
      <c r="ZK73" s="97"/>
      <c r="ZL73" s="97"/>
      <c r="ZM73" s="97"/>
      <c r="ZN73" s="97"/>
      <c r="ZO73" s="97"/>
      <c r="ZP73" s="97"/>
      <c r="ZQ73" s="97"/>
      <c r="ZR73" s="97"/>
      <c r="ZS73" s="97"/>
      <c r="ZT73" s="97"/>
      <c r="ZU73" s="97"/>
      <c r="ZV73" s="97"/>
      <c r="ZW73" s="97"/>
      <c r="ZX73" s="97"/>
      <c r="ZY73" s="97"/>
      <c r="ZZ73" s="97"/>
      <c r="AAA73" s="97"/>
      <c r="AAB73" s="97"/>
      <c r="AAC73" s="97"/>
      <c r="AAD73" s="97"/>
      <c r="AAE73" s="97"/>
      <c r="AAF73" s="97"/>
      <c r="AAG73" s="97"/>
      <c r="AAH73" s="97"/>
      <c r="AAI73" s="97"/>
      <c r="AAJ73" s="97"/>
      <c r="AAK73" s="97"/>
      <c r="AAL73" s="97"/>
      <c r="AAM73" s="97"/>
      <c r="AAN73" s="97"/>
      <c r="AAO73" s="97"/>
      <c r="AAP73" s="97"/>
      <c r="AAQ73" s="97"/>
      <c r="AAR73" s="97"/>
      <c r="AAS73" s="97"/>
      <c r="AAT73" s="97"/>
      <c r="AAU73" s="97"/>
      <c r="AAV73" s="97"/>
      <c r="AAW73" s="97"/>
      <c r="AAX73" s="97"/>
      <c r="AAY73" s="97"/>
      <c r="AAZ73" s="97"/>
      <c r="ABA73" s="97"/>
      <c r="ABB73" s="97"/>
      <c r="ABC73" s="97"/>
      <c r="ABD73" s="97"/>
      <c r="ABE73" s="97"/>
      <c r="ABF73" s="97"/>
      <c r="ABG73" s="97"/>
      <c r="ABH73" s="97"/>
      <c r="ABI73" s="97"/>
      <c r="ABJ73" s="97"/>
      <c r="ABK73" s="97"/>
      <c r="ABL73" s="97"/>
      <c r="ABM73" s="97"/>
      <c r="ABN73" s="97"/>
      <c r="ABO73" s="97"/>
      <c r="ABP73" s="97"/>
      <c r="ABQ73" s="97"/>
      <c r="ABR73" s="97"/>
      <c r="ABS73" s="97"/>
      <c r="ABT73" s="97"/>
      <c r="ABU73" s="97"/>
      <c r="ABV73" s="97"/>
      <c r="ABW73" s="97"/>
      <c r="ABX73" s="97"/>
      <c r="ABY73" s="97"/>
      <c r="ABZ73" s="97"/>
      <c r="ACA73" s="97"/>
      <c r="ACB73" s="97"/>
      <c r="ACC73" s="97"/>
      <c r="ACD73" s="97"/>
      <c r="ACE73" s="97"/>
      <c r="ACF73" s="97"/>
      <c r="ACG73" s="97"/>
      <c r="ACH73" s="97"/>
      <c r="ACI73" s="97"/>
      <c r="ACJ73" s="97"/>
      <c r="ACK73" s="97"/>
      <c r="ACL73" s="97"/>
      <c r="ACM73" s="97"/>
      <c r="ACN73" s="97"/>
      <c r="ACO73" s="97"/>
      <c r="ACP73" s="97"/>
      <c r="ACQ73" s="97"/>
      <c r="ACR73" s="97"/>
      <c r="ACS73" s="97"/>
      <c r="ACT73" s="97"/>
      <c r="ACU73" s="97"/>
      <c r="ACV73" s="97"/>
      <c r="ACW73" s="97"/>
      <c r="ACX73" s="97"/>
      <c r="ACY73" s="97"/>
      <c r="ACZ73" s="97"/>
      <c r="ADA73" s="97"/>
      <c r="ADB73" s="97"/>
      <c r="ADC73" s="97"/>
      <c r="ADD73" s="97"/>
      <c r="ADE73" s="97"/>
      <c r="ADF73" s="97"/>
      <c r="ADG73" s="97"/>
      <c r="ADH73" s="97"/>
      <c r="ADI73" s="97"/>
      <c r="ADJ73" s="97"/>
      <c r="ADK73" s="97"/>
      <c r="ADL73" s="97"/>
      <c r="ADM73" s="97"/>
      <c r="ADN73" s="97"/>
      <c r="ADO73" s="97"/>
      <c r="ADP73" s="97"/>
      <c r="ADQ73" s="97"/>
      <c r="ADR73" s="97"/>
      <c r="ADS73" s="97"/>
      <c r="ADT73" s="97"/>
      <c r="ADU73" s="97"/>
      <c r="ADV73" s="97"/>
      <c r="ADW73" s="97"/>
      <c r="ADX73" s="97"/>
      <c r="ADY73" s="97"/>
      <c r="ADZ73" s="97"/>
      <c r="AEA73" s="97"/>
      <c r="AEB73" s="97"/>
      <c r="AEC73" s="97"/>
      <c r="AED73" s="97"/>
      <c r="AEE73" s="97"/>
      <c r="AEF73" s="97"/>
      <c r="AEG73" s="97"/>
      <c r="AEH73" s="97"/>
      <c r="AEI73" s="97"/>
      <c r="AEJ73" s="97"/>
      <c r="AEK73" s="97"/>
      <c r="AEL73" s="97"/>
      <c r="AEM73" s="97"/>
      <c r="AEN73" s="97"/>
      <c r="AEO73" s="97"/>
      <c r="AEP73" s="97"/>
      <c r="AEQ73" s="97"/>
      <c r="AER73" s="97"/>
      <c r="AES73" s="97"/>
      <c r="AET73" s="97"/>
      <c r="AEU73" s="97"/>
      <c r="AEV73" s="97"/>
      <c r="AEW73" s="97"/>
      <c r="AEX73" s="97"/>
      <c r="AEY73" s="97"/>
      <c r="AEZ73" s="97"/>
      <c r="AFA73" s="97"/>
      <c r="AFB73" s="97"/>
      <c r="AFC73" s="97"/>
      <c r="AFD73" s="97"/>
      <c r="AFE73" s="97"/>
      <c r="AFF73" s="97"/>
      <c r="AFG73" s="97"/>
      <c r="AFH73" s="97"/>
      <c r="AFI73" s="97"/>
      <c r="AFJ73" s="97"/>
      <c r="AFK73" s="97"/>
      <c r="AFL73" s="97"/>
      <c r="AFM73" s="97"/>
      <c r="AFN73" s="97"/>
      <c r="AFO73" s="97"/>
      <c r="AFP73" s="97"/>
      <c r="AFQ73" s="97"/>
      <c r="AFR73" s="97"/>
      <c r="AFS73" s="97"/>
      <c r="AFT73" s="97"/>
      <c r="AFU73" s="97"/>
      <c r="AFV73" s="97"/>
      <c r="AFW73" s="97"/>
      <c r="AFX73" s="97"/>
      <c r="AFY73" s="97"/>
      <c r="AFZ73" s="97"/>
      <c r="AGA73" s="97"/>
      <c r="AGB73" s="97"/>
      <c r="AGC73" s="97"/>
      <c r="AGD73" s="97"/>
      <c r="AGE73" s="97"/>
      <c r="AGF73" s="97"/>
      <c r="AGG73" s="97"/>
      <c r="AGH73" s="97"/>
      <c r="AGI73" s="97"/>
      <c r="AGJ73" s="97"/>
      <c r="AGK73" s="97"/>
      <c r="AGL73" s="97"/>
      <c r="AGM73" s="97"/>
      <c r="AGN73" s="97"/>
      <c r="AGO73" s="97"/>
      <c r="AGP73" s="97"/>
      <c r="AGQ73" s="97"/>
      <c r="AGR73" s="97"/>
      <c r="AGS73" s="97"/>
      <c r="AGT73" s="97"/>
      <c r="AGU73" s="97"/>
      <c r="AGV73" s="97"/>
      <c r="AGW73" s="97"/>
      <c r="AGX73" s="97"/>
      <c r="AGY73" s="97"/>
      <c r="AGZ73" s="97"/>
      <c r="AHA73" s="97"/>
      <c r="AHB73" s="97"/>
      <c r="AHC73" s="97"/>
      <c r="AHD73" s="97"/>
      <c r="AHE73" s="97"/>
      <c r="AHF73" s="97"/>
      <c r="AHG73" s="97"/>
      <c r="AHH73" s="97"/>
      <c r="AHI73" s="97"/>
      <c r="AHJ73" s="97"/>
      <c r="AHK73" s="97"/>
      <c r="AHL73" s="97"/>
      <c r="AHM73" s="97"/>
      <c r="AHN73" s="97"/>
      <c r="AHO73" s="97"/>
      <c r="AHP73" s="97"/>
      <c r="AHQ73" s="97"/>
      <c r="AHR73" s="97"/>
      <c r="AHS73" s="97"/>
      <c r="AHT73" s="97"/>
      <c r="AHU73" s="97"/>
      <c r="AHV73" s="97"/>
      <c r="AHW73" s="97"/>
      <c r="AHX73" s="97"/>
      <c r="AHY73" s="97"/>
      <c r="AHZ73" s="97"/>
      <c r="AIA73" s="97"/>
      <c r="AIB73" s="97"/>
      <c r="AIC73" s="97"/>
      <c r="AID73" s="97"/>
      <c r="AIE73" s="97"/>
      <c r="AIF73" s="97"/>
      <c r="AIG73" s="97"/>
      <c r="AIH73" s="97"/>
      <c r="AII73" s="97"/>
      <c r="AIJ73" s="97"/>
      <c r="AIK73" s="97"/>
      <c r="AIL73" s="97"/>
      <c r="AIM73" s="97"/>
      <c r="AIN73" s="97"/>
      <c r="AIO73" s="97"/>
      <c r="AIP73" s="97"/>
      <c r="AIQ73" s="97"/>
      <c r="AIR73" s="97"/>
      <c r="AIS73" s="97"/>
      <c r="AIT73" s="97"/>
      <c r="AIU73" s="97"/>
      <c r="AIV73" s="97"/>
      <c r="AIW73" s="97"/>
      <c r="AIX73" s="97"/>
      <c r="AIY73" s="97"/>
      <c r="AIZ73" s="97"/>
      <c r="AJA73" s="97"/>
      <c r="AJB73" s="97"/>
      <c r="AJC73" s="97"/>
      <c r="AJD73" s="97"/>
      <c r="AJE73" s="97"/>
      <c r="AJF73" s="97"/>
      <c r="AJG73" s="97"/>
      <c r="AJH73" s="97"/>
      <c r="AJI73" s="97"/>
      <c r="AJJ73" s="97"/>
      <c r="AJK73" s="97"/>
      <c r="AJL73" s="97"/>
      <c r="AJM73" s="97"/>
      <c r="AJN73" s="97"/>
      <c r="AJO73" s="97"/>
      <c r="AJP73" s="97"/>
      <c r="AJQ73" s="97"/>
      <c r="AJR73" s="97"/>
      <c r="AJS73" s="97"/>
      <c r="AJT73" s="97"/>
      <c r="AJU73" s="97"/>
      <c r="AJV73" s="97"/>
      <c r="AJW73" s="97"/>
      <c r="AJX73" s="97"/>
      <c r="AJY73" s="97"/>
      <c r="AJZ73" s="97"/>
      <c r="AKA73" s="97"/>
      <c r="AKB73" s="97"/>
      <c r="AKC73" s="97"/>
      <c r="AKD73" s="97"/>
      <c r="AKE73" s="97"/>
      <c r="AKF73" s="97"/>
      <c r="AKG73" s="97"/>
      <c r="AKH73" s="97"/>
      <c r="AKI73" s="97"/>
      <c r="AKJ73" s="97"/>
      <c r="AKK73" s="97"/>
      <c r="AKL73" s="97"/>
      <c r="AKM73" s="97"/>
      <c r="AKN73" s="97"/>
      <c r="AKO73" s="97"/>
      <c r="AKP73" s="97"/>
      <c r="AKQ73" s="97"/>
      <c r="AKR73" s="97"/>
      <c r="AKS73" s="97"/>
      <c r="AKT73" s="97"/>
      <c r="AKU73" s="97"/>
      <c r="AKV73" s="97"/>
      <c r="AKW73" s="97"/>
      <c r="AKX73" s="97"/>
      <c r="AKY73" s="97"/>
      <c r="AKZ73" s="97"/>
      <c r="ALA73" s="97"/>
      <c r="ALB73" s="97"/>
      <c r="ALC73" s="97"/>
      <c r="ALD73" s="97"/>
      <c r="ALE73" s="97"/>
      <c r="ALF73" s="97"/>
      <c r="ALG73" s="97"/>
      <c r="ALH73" s="97"/>
      <c r="ALI73" s="97"/>
      <c r="ALJ73" s="97"/>
      <c r="ALK73" s="97"/>
      <c r="ALL73" s="97"/>
      <c r="ALM73" s="97"/>
      <c r="ALN73" s="97"/>
      <c r="ALO73" s="97"/>
      <c r="ALP73" s="97"/>
      <c r="ALQ73" s="97"/>
      <c r="ALR73" s="97"/>
      <c r="ALS73" s="97"/>
      <c r="ALT73" s="97"/>
      <c r="ALU73" s="97"/>
      <c r="ALV73" s="97"/>
      <c r="ALW73" s="97"/>
      <c r="ALX73" s="97"/>
      <c r="ALY73" s="97"/>
      <c r="ALZ73" s="97"/>
      <c r="AMA73" s="97"/>
      <c r="AMB73" s="97"/>
      <c r="AMC73" s="97"/>
      <c r="AMD73" s="97"/>
      <c r="AME73" s="97"/>
      <c r="AMF73" s="97"/>
      <c r="AMG73" s="97"/>
      <c r="AMH73" s="97"/>
      <c r="AMI73" s="97"/>
      <c r="AMJ73" s="97"/>
      <c r="AMK73" s="97"/>
      <c r="AML73" s="97"/>
      <c r="AMM73" s="97"/>
      <c r="AMN73" s="97"/>
      <c r="AMO73" s="97"/>
      <c r="AMP73" s="97"/>
      <c r="AMQ73" s="97"/>
      <c r="AMR73" s="97"/>
      <c r="AMS73" s="97"/>
      <c r="AMT73" s="97"/>
      <c r="AMU73" s="97"/>
      <c r="AMV73" s="97"/>
      <c r="AMW73" s="97"/>
      <c r="AMX73" s="97"/>
      <c r="AMY73" s="97"/>
      <c r="AMZ73" s="97"/>
      <c r="ANA73" s="97"/>
      <c r="ANB73" s="97"/>
      <c r="ANC73" s="97"/>
      <c r="AND73" s="97"/>
      <c r="ANE73" s="97"/>
      <c r="ANF73" s="97"/>
      <c r="ANG73" s="97"/>
      <c r="ANH73" s="97"/>
      <c r="ANI73" s="97"/>
      <c r="ANJ73" s="97"/>
      <c r="ANK73" s="97"/>
      <c r="ANL73" s="97"/>
      <c r="ANM73" s="97"/>
      <c r="ANN73" s="97"/>
      <c r="ANO73" s="97"/>
      <c r="ANP73" s="97"/>
      <c r="ANQ73" s="97"/>
      <c r="ANR73" s="97"/>
      <c r="ANS73" s="97"/>
      <c r="ANT73" s="97"/>
      <c r="ANU73" s="97"/>
      <c r="ANV73" s="97"/>
      <c r="ANW73" s="97"/>
      <c r="ANX73" s="97"/>
      <c r="ANY73" s="97"/>
      <c r="ANZ73" s="97"/>
      <c r="AOA73" s="97"/>
      <c r="AOB73" s="97"/>
      <c r="AOC73" s="97"/>
      <c r="AOD73" s="97"/>
      <c r="AOE73" s="97"/>
      <c r="AOF73" s="97"/>
      <c r="AOG73" s="97"/>
      <c r="AOH73" s="97"/>
      <c r="AOI73" s="97"/>
      <c r="AOJ73" s="97"/>
      <c r="AOK73" s="97"/>
      <c r="AOL73" s="97"/>
      <c r="AOM73" s="97"/>
      <c r="AON73" s="97"/>
      <c r="AOO73" s="97"/>
      <c r="AOP73" s="97"/>
      <c r="AOQ73" s="97"/>
      <c r="AOR73" s="97"/>
      <c r="AOS73" s="97"/>
      <c r="AOT73" s="97"/>
      <c r="AOU73" s="97"/>
      <c r="AOV73" s="97"/>
      <c r="AOW73" s="97"/>
      <c r="AOX73" s="97"/>
      <c r="AOY73" s="97"/>
      <c r="AOZ73" s="97"/>
      <c r="APA73" s="97"/>
      <c r="APB73" s="97"/>
      <c r="APC73" s="97"/>
      <c r="APD73" s="97"/>
      <c r="APE73" s="97"/>
      <c r="APF73" s="97"/>
      <c r="APG73" s="97"/>
      <c r="APH73" s="97"/>
      <c r="API73" s="97"/>
      <c r="APJ73" s="97"/>
      <c r="APK73" s="97"/>
      <c r="APL73" s="97"/>
      <c r="APM73" s="97"/>
      <c r="APN73" s="97"/>
      <c r="APO73" s="97"/>
      <c r="APP73" s="97"/>
      <c r="APQ73" s="97"/>
      <c r="APR73" s="97"/>
      <c r="APS73" s="97"/>
      <c r="APT73" s="97"/>
      <c r="APU73" s="97"/>
      <c r="APV73" s="97"/>
      <c r="APW73" s="97"/>
      <c r="APX73" s="97"/>
      <c r="APY73" s="97"/>
      <c r="APZ73" s="97"/>
      <c r="AQA73" s="97"/>
      <c r="AQB73" s="97"/>
      <c r="AQC73" s="97"/>
      <c r="AQD73" s="97"/>
      <c r="AQE73" s="97"/>
      <c r="AQF73" s="97"/>
      <c r="AQG73" s="97"/>
      <c r="AQH73" s="97"/>
      <c r="AQI73" s="97"/>
      <c r="AQJ73" s="97"/>
      <c r="AQK73" s="97"/>
      <c r="AQL73" s="97"/>
      <c r="AQM73" s="97"/>
      <c r="AQN73" s="97"/>
      <c r="AQO73" s="97"/>
      <c r="AQP73" s="97"/>
      <c r="AQQ73" s="97"/>
      <c r="AQR73" s="97"/>
      <c r="AQS73" s="97"/>
      <c r="AQT73" s="97"/>
      <c r="AQU73" s="97"/>
      <c r="AQV73" s="97"/>
      <c r="AQW73" s="97"/>
      <c r="AQX73" s="97"/>
      <c r="AQY73" s="97"/>
      <c r="AQZ73" s="97"/>
      <c r="ARA73" s="97"/>
      <c r="ARB73" s="97"/>
      <c r="ARC73" s="97"/>
      <c r="ARD73" s="97"/>
      <c r="ARE73" s="97"/>
      <c r="ARF73" s="97"/>
      <c r="ARG73" s="97"/>
      <c r="ARH73" s="97"/>
      <c r="ARI73" s="97"/>
      <c r="ARJ73" s="97"/>
      <c r="ARK73" s="97"/>
      <c r="ARL73" s="97"/>
      <c r="ARM73" s="97"/>
      <c r="ARN73" s="97"/>
      <c r="ARO73" s="97"/>
      <c r="ARP73" s="97"/>
      <c r="ARQ73" s="97"/>
      <c r="ARR73" s="97"/>
      <c r="ARS73" s="97"/>
      <c r="ART73" s="97"/>
      <c r="ARU73" s="97"/>
      <c r="ARV73" s="97"/>
      <c r="ARW73" s="97"/>
      <c r="ARX73" s="97"/>
      <c r="ARY73" s="97"/>
      <c r="ARZ73" s="97"/>
      <c r="ASA73" s="97"/>
      <c r="ASB73" s="97"/>
      <c r="ASC73" s="97"/>
      <c r="ASD73" s="97"/>
      <c r="ASE73" s="97"/>
      <c r="ASF73" s="97"/>
      <c r="ASG73" s="97"/>
      <c r="ASH73" s="97"/>
      <c r="ASI73" s="97"/>
      <c r="ASJ73" s="97"/>
      <c r="ASK73" s="97"/>
      <c r="ASL73" s="97"/>
      <c r="ASM73" s="97"/>
      <c r="ASN73" s="97"/>
      <c r="ASO73" s="97"/>
      <c r="ASP73" s="97"/>
      <c r="ASQ73" s="97"/>
      <c r="ASR73" s="97"/>
      <c r="ASS73" s="97"/>
      <c r="AST73" s="97"/>
      <c r="ASU73" s="97"/>
      <c r="ASV73" s="97"/>
      <c r="ASW73" s="97"/>
      <c r="ASX73" s="97"/>
      <c r="ASY73" s="97"/>
      <c r="ASZ73" s="97"/>
      <c r="ATA73" s="97"/>
      <c r="ATB73" s="97"/>
      <c r="ATC73" s="97"/>
      <c r="ATD73" s="97"/>
      <c r="ATE73" s="97"/>
      <c r="ATF73" s="97"/>
      <c r="ATG73" s="97"/>
      <c r="ATH73" s="97"/>
      <c r="ATI73" s="97"/>
      <c r="ATJ73" s="97"/>
      <c r="ATK73" s="97"/>
      <c r="ATL73" s="97"/>
      <c r="ATM73" s="97"/>
      <c r="ATN73" s="97"/>
      <c r="ATO73" s="97"/>
      <c r="ATP73" s="97"/>
      <c r="ATQ73" s="97"/>
      <c r="ATR73" s="97"/>
      <c r="ATS73" s="97"/>
      <c r="ATT73" s="97"/>
      <c r="ATU73" s="97"/>
      <c r="ATV73" s="97"/>
      <c r="ATW73" s="97"/>
      <c r="ATX73" s="97"/>
      <c r="ATY73" s="97"/>
      <c r="ATZ73" s="97"/>
      <c r="AUA73" s="97"/>
      <c r="AUB73" s="97"/>
      <c r="AUC73" s="97"/>
      <c r="AUD73" s="97"/>
      <c r="AUE73" s="97"/>
      <c r="AUF73" s="97"/>
      <c r="AUG73" s="97"/>
      <c r="AUH73" s="97"/>
      <c r="AUI73" s="97"/>
      <c r="AUJ73" s="97"/>
      <c r="AUK73" s="97"/>
      <c r="AUL73" s="97"/>
      <c r="AUM73" s="97"/>
      <c r="AUN73" s="97"/>
      <c r="AUO73" s="97"/>
      <c r="AUP73" s="97"/>
      <c r="AUQ73" s="97"/>
      <c r="AUR73" s="97"/>
      <c r="AUS73" s="97"/>
      <c r="AUT73" s="97"/>
      <c r="AUU73" s="97"/>
      <c r="AUV73" s="97"/>
      <c r="AUW73" s="97"/>
      <c r="AUX73" s="97"/>
      <c r="AUY73" s="97"/>
      <c r="AUZ73" s="97"/>
      <c r="AVA73" s="97"/>
      <c r="AVB73" s="97"/>
      <c r="AVC73" s="97"/>
      <c r="AVD73" s="97"/>
      <c r="AVE73" s="97"/>
      <c r="AVF73" s="97"/>
      <c r="AVG73" s="97"/>
      <c r="AVH73" s="97"/>
      <c r="AVI73" s="97"/>
      <c r="AVJ73" s="97"/>
      <c r="AVK73" s="97"/>
      <c r="AVL73" s="97"/>
      <c r="AVM73" s="97"/>
      <c r="AVN73" s="97"/>
      <c r="AVO73" s="97"/>
      <c r="AVP73" s="97"/>
      <c r="AVQ73" s="97"/>
      <c r="AVR73" s="97"/>
      <c r="AVS73" s="97"/>
      <c r="AVT73" s="97"/>
      <c r="AVU73" s="97"/>
      <c r="AVV73" s="97"/>
      <c r="AVW73" s="97"/>
      <c r="AVX73" s="97"/>
      <c r="AVY73" s="97"/>
      <c r="AVZ73" s="97"/>
      <c r="AWA73" s="97"/>
      <c r="AWB73" s="97"/>
      <c r="AWC73" s="97"/>
      <c r="AWD73" s="97"/>
      <c r="AWE73" s="97"/>
      <c r="AWF73" s="97"/>
      <c r="AWG73" s="97"/>
      <c r="AWH73" s="97"/>
      <c r="AWI73" s="97"/>
      <c r="AWJ73" s="97"/>
      <c r="AWK73" s="97"/>
      <c r="AWL73" s="97"/>
      <c r="AWM73" s="97"/>
      <c r="AWN73" s="97"/>
      <c r="AWO73" s="97"/>
      <c r="AWP73" s="97"/>
      <c r="AWQ73" s="97"/>
      <c r="AWR73" s="97"/>
      <c r="AWS73" s="97"/>
      <c r="AWT73" s="97"/>
      <c r="AWU73" s="97"/>
      <c r="AWV73" s="97"/>
      <c r="AWW73" s="97"/>
      <c r="AWX73" s="97"/>
      <c r="AWY73" s="97"/>
      <c r="AWZ73" s="97"/>
      <c r="AXA73" s="97"/>
      <c r="AXB73" s="97"/>
      <c r="AXC73" s="97"/>
      <c r="AXD73" s="97"/>
      <c r="AXE73" s="97"/>
      <c r="AXF73" s="97"/>
      <c r="AXG73" s="97"/>
      <c r="AXH73" s="97"/>
      <c r="AXI73" s="97"/>
      <c r="AXJ73" s="97"/>
      <c r="AXK73" s="97"/>
      <c r="AXL73" s="97"/>
      <c r="AXM73" s="97"/>
      <c r="AXN73" s="97"/>
      <c r="AXO73" s="97"/>
      <c r="AXP73" s="97"/>
      <c r="AXQ73" s="97"/>
      <c r="AXR73" s="97"/>
      <c r="AXS73" s="97"/>
      <c r="AXT73" s="97"/>
      <c r="AXU73" s="97"/>
      <c r="AXV73" s="97"/>
      <c r="AXW73" s="97"/>
      <c r="AXX73" s="97"/>
      <c r="AXY73" s="97"/>
      <c r="AXZ73" s="97"/>
      <c r="AYA73" s="97"/>
      <c r="AYB73" s="97"/>
      <c r="AYC73" s="97"/>
      <c r="AYD73" s="97"/>
      <c r="AYE73" s="97"/>
      <c r="AYF73" s="97"/>
      <c r="AYG73" s="97"/>
      <c r="AYH73" s="97"/>
      <c r="AYI73" s="97"/>
      <c r="AYJ73" s="97"/>
      <c r="AYK73" s="97"/>
      <c r="AYL73" s="97"/>
      <c r="AYM73" s="97"/>
      <c r="AYN73" s="97"/>
      <c r="AYO73" s="97"/>
      <c r="AYP73" s="97"/>
      <c r="AYQ73" s="97"/>
      <c r="AYR73" s="97"/>
      <c r="AYS73" s="97"/>
      <c r="AYT73" s="97"/>
      <c r="AYU73" s="97"/>
      <c r="AYV73" s="97"/>
      <c r="AYW73" s="97"/>
      <c r="AYX73" s="97"/>
      <c r="AYY73" s="97"/>
      <c r="AYZ73" s="97"/>
      <c r="AZA73" s="97"/>
      <c r="AZB73" s="97"/>
      <c r="AZC73" s="97"/>
      <c r="AZD73" s="97"/>
      <c r="AZE73" s="97"/>
      <c r="AZF73" s="97"/>
      <c r="AZG73" s="97"/>
      <c r="AZH73" s="97"/>
      <c r="AZI73" s="97"/>
      <c r="AZJ73" s="97"/>
      <c r="AZK73" s="97"/>
      <c r="AZL73" s="97"/>
      <c r="AZM73" s="97"/>
      <c r="AZN73" s="97"/>
      <c r="AZO73" s="97"/>
      <c r="AZP73" s="97"/>
      <c r="AZQ73" s="97"/>
      <c r="AZR73" s="97"/>
      <c r="AZS73" s="97"/>
      <c r="AZT73" s="97"/>
      <c r="AZU73" s="97"/>
      <c r="AZV73" s="97"/>
      <c r="AZW73" s="97"/>
      <c r="AZX73" s="97"/>
      <c r="AZY73" s="97"/>
      <c r="AZZ73" s="97"/>
      <c r="BAA73" s="97"/>
      <c r="BAB73" s="97"/>
      <c r="BAC73" s="97"/>
      <c r="BAD73" s="97"/>
      <c r="BAE73" s="97"/>
      <c r="BAF73" s="97"/>
      <c r="BAG73" s="97"/>
      <c r="BAH73" s="97"/>
      <c r="BAI73" s="97"/>
      <c r="BAJ73" s="97"/>
      <c r="BAK73" s="97"/>
      <c r="BAL73" s="97"/>
      <c r="BAM73" s="97"/>
      <c r="BAN73" s="97"/>
      <c r="BAO73" s="97"/>
      <c r="BAP73" s="97"/>
      <c r="BAQ73" s="97"/>
      <c r="BAR73" s="97"/>
      <c r="BAS73" s="97"/>
      <c r="BAT73" s="97"/>
      <c r="BAU73" s="97"/>
      <c r="BAV73" s="97"/>
      <c r="BAW73" s="97"/>
      <c r="BAX73" s="97"/>
      <c r="BAY73" s="97"/>
      <c r="BAZ73" s="97"/>
      <c r="BBA73" s="97"/>
      <c r="BBB73" s="97"/>
      <c r="BBC73" s="97"/>
      <c r="BBD73" s="97"/>
      <c r="BBE73" s="97"/>
      <c r="BBF73" s="97"/>
      <c r="BBG73" s="97"/>
      <c r="BBH73" s="97"/>
      <c r="BBI73" s="97"/>
      <c r="BBJ73" s="97"/>
      <c r="BBK73" s="97"/>
      <c r="BBL73" s="97"/>
      <c r="BBM73" s="97"/>
      <c r="BBN73" s="97"/>
      <c r="BBO73" s="97"/>
      <c r="BBP73" s="97"/>
      <c r="BBQ73" s="97"/>
      <c r="BBR73" s="97"/>
      <c r="BBS73" s="97"/>
      <c r="BBT73" s="97"/>
      <c r="BBU73" s="97"/>
      <c r="BBV73" s="97"/>
      <c r="BBW73" s="97"/>
      <c r="BBX73" s="97"/>
      <c r="BBY73" s="97"/>
      <c r="BBZ73" s="97"/>
      <c r="BCA73" s="97"/>
      <c r="BCB73" s="97"/>
      <c r="BCC73" s="97"/>
      <c r="BCD73" s="97"/>
      <c r="BCE73" s="97"/>
      <c r="BCF73" s="97"/>
      <c r="BCG73" s="97"/>
      <c r="BCH73" s="97"/>
      <c r="BCI73" s="97"/>
      <c r="BCJ73" s="97"/>
      <c r="BCK73" s="97"/>
      <c r="BCL73" s="97"/>
      <c r="BCM73" s="97"/>
      <c r="BCN73" s="97"/>
      <c r="BCO73" s="97"/>
      <c r="BCP73" s="97"/>
      <c r="BCQ73" s="97"/>
      <c r="BCR73" s="97"/>
      <c r="BCS73" s="97"/>
      <c r="BCT73" s="97"/>
      <c r="BCU73" s="97"/>
      <c r="BCV73" s="97"/>
      <c r="BCW73" s="97"/>
      <c r="BCX73" s="97"/>
      <c r="BCY73" s="97"/>
      <c r="BCZ73" s="97"/>
      <c r="BDA73" s="97"/>
      <c r="BDB73" s="97"/>
      <c r="BDC73" s="97"/>
      <c r="BDD73" s="97"/>
      <c r="BDE73" s="97"/>
      <c r="BDF73" s="97"/>
      <c r="BDG73" s="97"/>
      <c r="BDH73" s="97"/>
      <c r="BDI73" s="97"/>
      <c r="BDJ73" s="97"/>
      <c r="BDK73" s="97"/>
      <c r="BDL73" s="97"/>
      <c r="BDM73" s="97"/>
      <c r="BDN73" s="97"/>
      <c r="BDO73" s="97"/>
      <c r="BDP73" s="97"/>
      <c r="BDQ73" s="97"/>
      <c r="BDR73" s="97"/>
      <c r="BDS73" s="97"/>
      <c r="BDT73" s="97"/>
      <c r="BDU73" s="97"/>
      <c r="BDV73" s="97"/>
      <c r="BDW73" s="97"/>
      <c r="BDX73" s="97"/>
      <c r="BDY73" s="97"/>
      <c r="BDZ73" s="97"/>
      <c r="BEA73" s="97"/>
      <c r="BEB73" s="97"/>
      <c r="BEC73" s="97"/>
      <c r="BED73" s="97"/>
      <c r="BEE73" s="97"/>
      <c r="BEF73" s="97"/>
      <c r="BEG73" s="97"/>
      <c r="BEH73" s="97"/>
      <c r="BEI73" s="97"/>
      <c r="BEJ73" s="97"/>
      <c r="BEK73" s="97"/>
      <c r="BEL73" s="97"/>
      <c r="BEM73" s="97"/>
      <c r="BEN73" s="97"/>
      <c r="BEO73" s="97"/>
      <c r="BEP73" s="97"/>
      <c r="BEQ73" s="97"/>
      <c r="BER73" s="97"/>
      <c r="BES73" s="97"/>
      <c r="BET73" s="97"/>
      <c r="BEU73" s="97"/>
      <c r="BEV73" s="97"/>
      <c r="BEW73" s="97"/>
      <c r="BEX73" s="97"/>
      <c r="BEY73" s="97"/>
      <c r="BEZ73" s="97"/>
      <c r="BFA73" s="97"/>
      <c r="BFB73" s="97"/>
      <c r="BFC73" s="97"/>
      <c r="BFD73" s="97"/>
      <c r="BFE73" s="97"/>
      <c r="BFF73" s="97"/>
      <c r="BFG73" s="97"/>
      <c r="BFH73" s="97"/>
      <c r="BFI73" s="97"/>
      <c r="BFJ73" s="97"/>
      <c r="BFK73" s="97"/>
      <c r="BFL73" s="97"/>
      <c r="BFM73" s="97"/>
      <c r="BFN73" s="97"/>
      <c r="BFO73" s="97"/>
      <c r="BFP73" s="97"/>
      <c r="BFQ73" s="97"/>
      <c r="BFR73" s="97"/>
      <c r="BFS73" s="97"/>
      <c r="BFT73" s="97"/>
      <c r="BFU73" s="97"/>
      <c r="BFV73" s="97"/>
      <c r="BFW73" s="97"/>
      <c r="BFX73" s="97"/>
      <c r="BFY73" s="97"/>
      <c r="BFZ73" s="97"/>
      <c r="BGA73" s="97"/>
      <c r="BGB73" s="97"/>
      <c r="BGC73" s="97"/>
      <c r="BGD73" s="97"/>
      <c r="BGE73" s="97"/>
      <c r="BGF73" s="97"/>
      <c r="BGG73" s="97"/>
      <c r="BGH73" s="97"/>
      <c r="BGI73" s="97"/>
      <c r="BGJ73" s="97"/>
      <c r="BGK73" s="97"/>
      <c r="BGL73" s="97"/>
      <c r="BGM73" s="97"/>
      <c r="BGN73" s="97"/>
      <c r="BGO73" s="97"/>
      <c r="BGP73" s="97"/>
      <c r="BGQ73" s="97"/>
      <c r="BGR73" s="97"/>
      <c r="BGS73" s="97"/>
      <c r="BGT73" s="97"/>
      <c r="BGU73" s="97"/>
      <c r="BGV73" s="97"/>
      <c r="BGW73" s="97"/>
      <c r="BGX73" s="97"/>
      <c r="BGY73" s="97"/>
      <c r="BGZ73" s="97"/>
      <c r="BHA73" s="97"/>
      <c r="BHB73" s="97"/>
      <c r="BHC73" s="97"/>
      <c r="BHD73" s="97"/>
      <c r="BHE73" s="97"/>
      <c r="BHF73" s="97"/>
      <c r="BHG73" s="97"/>
      <c r="BHH73" s="97"/>
      <c r="BHI73" s="97"/>
      <c r="BHJ73" s="97"/>
      <c r="BHK73" s="97"/>
      <c r="BHL73" s="97"/>
      <c r="BHM73" s="97"/>
      <c r="BHN73" s="97"/>
      <c r="BHO73" s="97"/>
      <c r="BHP73" s="97"/>
      <c r="BHQ73" s="97"/>
      <c r="BHR73" s="97"/>
      <c r="BHS73" s="97"/>
      <c r="BHT73" s="97"/>
      <c r="BHU73" s="97"/>
      <c r="BHV73" s="97"/>
      <c r="BHW73" s="97"/>
      <c r="BHX73" s="97"/>
      <c r="BHY73" s="97"/>
      <c r="BHZ73" s="97"/>
      <c r="BIA73" s="97"/>
      <c r="BIB73" s="97"/>
      <c r="BIC73" s="97"/>
      <c r="BID73" s="97"/>
      <c r="BIE73" s="97"/>
      <c r="BIF73" s="97"/>
      <c r="BIG73" s="97"/>
      <c r="BIH73" s="97"/>
      <c r="BII73" s="97"/>
      <c r="BIJ73" s="97"/>
      <c r="BIK73" s="97"/>
      <c r="BIL73" s="97"/>
      <c r="BIM73" s="97"/>
      <c r="BIN73" s="97"/>
      <c r="BIO73" s="97"/>
      <c r="BIP73" s="97"/>
      <c r="BIQ73" s="97"/>
      <c r="BIR73" s="97"/>
      <c r="BIS73" s="97"/>
      <c r="BIT73" s="97"/>
      <c r="BIU73" s="97"/>
      <c r="BIV73" s="97"/>
      <c r="BIW73" s="97"/>
      <c r="BIX73" s="97"/>
      <c r="BIY73" s="97"/>
      <c r="BIZ73" s="97"/>
      <c r="BJA73" s="97"/>
      <c r="BJB73" s="97"/>
      <c r="BJC73" s="97"/>
      <c r="BJD73" s="97"/>
      <c r="BJE73" s="97"/>
      <c r="BJF73" s="97"/>
      <c r="BJG73" s="97"/>
      <c r="BJH73" s="97"/>
      <c r="BJI73" s="97"/>
      <c r="BJJ73" s="97"/>
      <c r="BJK73" s="97"/>
      <c r="BJL73" s="97"/>
      <c r="BJM73" s="97"/>
      <c r="BJN73" s="97"/>
      <c r="BJO73" s="97"/>
      <c r="BJP73" s="97"/>
      <c r="BJQ73" s="97"/>
      <c r="BJR73" s="97"/>
      <c r="BJS73" s="97"/>
      <c r="BJT73" s="97"/>
      <c r="BJU73" s="97"/>
      <c r="BJV73" s="97"/>
      <c r="BJW73" s="97"/>
      <c r="BJX73" s="97"/>
      <c r="BJY73" s="97"/>
      <c r="BJZ73" s="97"/>
      <c r="BKA73" s="97"/>
      <c r="BKB73" s="97"/>
      <c r="BKC73" s="97"/>
      <c r="BKD73" s="97"/>
      <c r="BKE73" s="97"/>
      <c r="BKF73" s="97"/>
      <c r="BKG73" s="97"/>
      <c r="BKH73" s="97"/>
      <c r="BKI73" s="97"/>
      <c r="BKJ73" s="97"/>
      <c r="BKK73" s="97"/>
      <c r="BKL73" s="97"/>
      <c r="BKM73" s="97"/>
      <c r="BKN73" s="97"/>
      <c r="BKO73" s="97"/>
      <c r="BKP73" s="97"/>
      <c r="BKQ73" s="97"/>
      <c r="BKR73" s="97"/>
      <c r="BKS73" s="97"/>
      <c r="BKT73" s="97"/>
      <c r="BKU73" s="97"/>
      <c r="BKV73" s="97"/>
      <c r="BKW73" s="97"/>
      <c r="BKX73" s="97"/>
      <c r="BKY73" s="97"/>
      <c r="BKZ73" s="97"/>
      <c r="BLA73" s="97"/>
      <c r="BLB73" s="97"/>
      <c r="BLC73" s="97"/>
      <c r="BLD73" s="97"/>
      <c r="BLE73" s="97"/>
      <c r="BLF73" s="97"/>
      <c r="BLG73" s="97"/>
      <c r="BLH73" s="97"/>
      <c r="BLI73" s="97"/>
      <c r="BLJ73" s="97"/>
      <c r="BLK73" s="97"/>
      <c r="BLL73" s="97"/>
      <c r="BLM73" s="97"/>
      <c r="BLN73" s="97"/>
      <c r="BLO73" s="97"/>
      <c r="BLP73" s="97"/>
      <c r="BLQ73" s="97"/>
      <c r="BLR73" s="97"/>
      <c r="BLS73" s="97"/>
      <c r="BLT73" s="97"/>
      <c r="BLU73" s="97"/>
      <c r="BLV73" s="97"/>
      <c r="BLW73" s="97"/>
      <c r="BLX73" s="97"/>
      <c r="BLY73" s="97"/>
      <c r="BLZ73" s="97"/>
      <c r="BMA73" s="97"/>
      <c r="BMB73" s="97"/>
      <c r="BMC73" s="97"/>
      <c r="BMD73" s="97"/>
      <c r="BME73" s="97"/>
      <c r="BMF73" s="97"/>
      <c r="BMG73" s="97"/>
      <c r="BMH73" s="97"/>
      <c r="BMI73" s="97"/>
      <c r="BMJ73" s="97"/>
      <c r="BMK73" s="97"/>
      <c r="BML73" s="97"/>
      <c r="BMM73" s="97"/>
      <c r="BMN73" s="97"/>
      <c r="BMO73" s="97"/>
      <c r="BMP73" s="97"/>
      <c r="BMQ73" s="97"/>
      <c r="BMR73" s="97"/>
      <c r="BMS73" s="97"/>
      <c r="BMT73" s="97"/>
      <c r="BMU73" s="97"/>
      <c r="BMV73" s="97"/>
      <c r="BMW73" s="97"/>
      <c r="BMX73" s="97"/>
      <c r="BMY73" s="97"/>
      <c r="BMZ73" s="97"/>
      <c r="BNA73" s="97"/>
      <c r="BNB73" s="97"/>
      <c r="BNC73" s="97"/>
      <c r="BND73" s="97"/>
      <c r="BNE73" s="97"/>
      <c r="BNF73" s="97"/>
      <c r="BNG73" s="97"/>
      <c r="BNH73" s="97"/>
      <c r="BNI73" s="97"/>
      <c r="BNJ73" s="97"/>
      <c r="BNK73" s="97"/>
      <c r="BNL73" s="97"/>
      <c r="BNM73" s="97"/>
      <c r="BNN73" s="97"/>
      <c r="BNO73" s="97"/>
      <c r="BNP73" s="97"/>
      <c r="BNQ73" s="97"/>
      <c r="BNR73" s="97"/>
      <c r="BNS73" s="97"/>
      <c r="BNT73" s="97"/>
      <c r="BNU73" s="97"/>
      <c r="BNV73" s="97"/>
      <c r="BNW73" s="97"/>
      <c r="BNX73" s="97"/>
      <c r="BNY73" s="97"/>
      <c r="BNZ73" s="97"/>
      <c r="BOA73" s="97"/>
      <c r="BOB73" s="97"/>
      <c r="BOC73" s="97"/>
      <c r="BOD73" s="97"/>
      <c r="BOE73" s="97"/>
      <c r="BOF73" s="97"/>
      <c r="BOG73" s="97"/>
      <c r="BOH73" s="97"/>
      <c r="BOI73" s="97"/>
      <c r="BOJ73" s="97"/>
      <c r="BOK73" s="97"/>
      <c r="BOL73" s="97"/>
      <c r="BOM73" s="97"/>
      <c r="BON73" s="97"/>
      <c r="BOO73" s="97"/>
      <c r="BOP73" s="97"/>
      <c r="BOQ73" s="97"/>
      <c r="BOR73" s="97"/>
      <c r="BOS73" s="97"/>
      <c r="BOT73" s="97"/>
      <c r="BOU73" s="97"/>
      <c r="BOV73" s="97"/>
      <c r="BOW73" s="97"/>
      <c r="BOX73" s="97"/>
      <c r="BOY73" s="97"/>
      <c r="BOZ73" s="97"/>
      <c r="BPA73" s="97"/>
      <c r="BPB73" s="97"/>
      <c r="BPC73" s="97"/>
      <c r="BPD73" s="97"/>
      <c r="BPE73" s="97"/>
      <c r="BPF73" s="97"/>
      <c r="BPG73" s="97"/>
      <c r="BPH73" s="97"/>
      <c r="BPI73" s="97"/>
      <c r="BPJ73" s="97"/>
      <c r="BPK73" s="97"/>
      <c r="BPL73" s="97"/>
      <c r="BPM73" s="97"/>
      <c r="BPN73" s="97"/>
      <c r="BPO73" s="97"/>
      <c r="BPP73" s="97"/>
      <c r="BPQ73" s="97"/>
      <c r="BPR73" s="97"/>
      <c r="BPS73" s="97"/>
      <c r="BPT73" s="97"/>
      <c r="BPU73" s="97"/>
      <c r="BPV73" s="97"/>
      <c r="BPW73" s="97"/>
      <c r="BPX73" s="97"/>
      <c r="BPY73" s="97"/>
      <c r="BPZ73" s="97"/>
      <c r="BQA73" s="97"/>
      <c r="BQB73" s="97"/>
      <c r="BQC73" s="97"/>
      <c r="BQD73" s="97"/>
      <c r="BQE73" s="97"/>
      <c r="BQF73" s="97"/>
      <c r="BQG73" s="97"/>
      <c r="BQH73" s="97"/>
      <c r="BQI73" s="97"/>
      <c r="BQJ73" s="97"/>
      <c r="BQK73" s="97"/>
      <c r="BQL73" s="97"/>
      <c r="BQM73" s="97"/>
      <c r="BQN73" s="97"/>
      <c r="BQO73" s="97"/>
      <c r="BQP73" s="97"/>
      <c r="BQQ73" s="97"/>
      <c r="BQR73" s="97"/>
      <c r="BQS73" s="97"/>
      <c r="BQT73" s="97"/>
      <c r="BQU73" s="97"/>
      <c r="BQV73" s="97"/>
      <c r="BQW73" s="97"/>
      <c r="BQX73" s="97"/>
      <c r="BQY73" s="97"/>
      <c r="BQZ73" s="97"/>
      <c r="BRA73" s="97"/>
      <c r="BRB73" s="97"/>
      <c r="BRC73" s="97"/>
      <c r="BRD73" s="97"/>
      <c r="BRE73" s="97"/>
      <c r="BRF73" s="97"/>
      <c r="BRG73" s="97"/>
      <c r="BRH73" s="97"/>
      <c r="BRI73" s="97"/>
      <c r="BRJ73" s="97"/>
      <c r="BRK73" s="97"/>
      <c r="BRL73" s="97"/>
      <c r="BRM73" s="97"/>
      <c r="BRN73" s="97"/>
      <c r="BRO73" s="97"/>
      <c r="BRP73" s="97"/>
      <c r="BRQ73" s="97"/>
      <c r="BRR73" s="97"/>
      <c r="BRS73" s="97"/>
      <c r="BRT73" s="97"/>
      <c r="BRU73" s="97"/>
      <c r="BRV73" s="97"/>
      <c r="BRW73" s="97"/>
      <c r="BRX73" s="97"/>
      <c r="BRY73" s="97"/>
      <c r="BRZ73" s="97"/>
      <c r="BSA73" s="97"/>
      <c r="BSB73" s="97"/>
      <c r="BSC73" s="97"/>
      <c r="BSD73" s="97"/>
      <c r="BSE73" s="97"/>
      <c r="BSF73" s="97"/>
      <c r="BSG73" s="97"/>
      <c r="BSH73" s="97"/>
      <c r="BSI73" s="97"/>
      <c r="BSJ73" s="97"/>
      <c r="BSK73" s="97"/>
      <c r="BSL73" s="97"/>
      <c r="BSM73" s="97"/>
      <c r="BSN73" s="97"/>
      <c r="BSO73" s="97"/>
      <c r="BSP73" s="97"/>
      <c r="BSQ73" s="97"/>
      <c r="BSR73" s="97"/>
      <c r="BSS73" s="97"/>
      <c r="BST73" s="97"/>
      <c r="BSU73" s="97"/>
      <c r="BSV73" s="97"/>
      <c r="BSW73" s="97"/>
      <c r="BSX73" s="97"/>
      <c r="BSY73" s="97"/>
      <c r="BSZ73" s="97"/>
      <c r="BTA73" s="97"/>
      <c r="BTB73" s="97"/>
      <c r="BTC73" s="97"/>
      <c r="BTD73" s="97"/>
      <c r="BTE73" s="97"/>
      <c r="BTF73" s="97"/>
      <c r="BTG73" s="97"/>
      <c r="BTH73" s="97"/>
      <c r="BTI73" s="97"/>
      <c r="BTJ73" s="97"/>
      <c r="BTK73" s="97"/>
      <c r="BTL73" s="97"/>
      <c r="BTM73" s="97"/>
      <c r="BTN73" s="97"/>
      <c r="BTO73" s="97"/>
      <c r="BTP73" s="97"/>
      <c r="BTQ73" s="97"/>
      <c r="BTR73" s="97"/>
      <c r="BTS73" s="97"/>
      <c r="BTT73" s="97"/>
      <c r="BTU73" s="97"/>
      <c r="BTV73" s="97"/>
      <c r="BTW73" s="97"/>
      <c r="BTX73" s="97"/>
      <c r="BTY73" s="97"/>
      <c r="BTZ73" s="97"/>
      <c r="BUA73" s="97"/>
      <c r="BUB73" s="97"/>
      <c r="BUC73" s="97"/>
      <c r="BUD73" s="97"/>
      <c r="BUE73" s="97"/>
      <c r="BUF73" s="97"/>
      <c r="BUG73" s="97"/>
      <c r="BUH73" s="97"/>
      <c r="BUI73" s="97"/>
      <c r="BUJ73" s="97"/>
      <c r="BUK73" s="97"/>
      <c r="BUL73" s="97"/>
      <c r="BUM73" s="97"/>
      <c r="BUN73" s="97"/>
      <c r="BUO73" s="97"/>
      <c r="BUP73" s="97"/>
      <c r="BUQ73" s="97"/>
      <c r="BUR73" s="97"/>
      <c r="BUS73" s="97"/>
      <c r="BUT73" s="97"/>
      <c r="BUU73" s="97"/>
      <c r="BUV73" s="97"/>
      <c r="BUW73" s="97"/>
      <c r="BUX73" s="97"/>
      <c r="BUY73" s="97"/>
      <c r="BUZ73" s="97"/>
      <c r="BVA73" s="97"/>
      <c r="BVB73" s="97"/>
      <c r="BVC73" s="97"/>
      <c r="BVD73" s="97"/>
      <c r="BVE73" s="97"/>
      <c r="BVF73" s="97"/>
      <c r="BVG73" s="97"/>
      <c r="BVH73" s="97"/>
      <c r="BVI73" s="97"/>
      <c r="BVJ73" s="97"/>
      <c r="BVK73" s="97"/>
      <c r="BVL73" s="97"/>
      <c r="BVM73" s="97"/>
      <c r="BVN73" s="97"/>
      <c r="BVO73" s="97"/>
      <c r="BVP73" s="97"/>
      <c r="BVQ73" s="97"/>
      <c r="BVR73" s="97"/>
      <c r="BVS73" s="97"/>
      <c r="BVT73" s="97"/>
      <c r="BVU73" s="97"/>
      <c r="BVV73" s="97"/>
      <c r="BVW73" s="97"/>
      <c r="BVX73" s="97"/>
      <c r="BVY73" s="97"/>
      <c r="BVZ73" s="97"/>
      <c r="BWA73" s="97"/>
      <c r="BWB73" s="97"/>
      <c r="BWC73" s="97"/>
      <c r="BWD73" s="97"/>
      <c r="BWE73" s="97"/>
      <c r="BWF73" s="97"/>
      <c r="BWG73" s="97"/>
      <c r="BWH73" s="97"/>
      <c r="BWI73" s="97"/>
      <c r="BWJ73" s="97"/>
      <c r="BWK73" s="97"/>
      <c r="BWL73" s="97"/>
      <c r="BWM73" s="97"/>
      <c r="BWN73" s="97"/>
      <c r="BWO73" s="97"/>
      <c r="BWP73" s="97"/>
      <c r="BWQ73" s="97"/>
      <c r="BWR73" s="97"/>
      <c r="BWS73" s="97"/>
      <c r="BWT73" s="97"/>
      <c r="BWU73" s="97"/>
      <c r="BWV73" s="97"/>
      <c r="BWW73" s="97"/>
      <c r="BWX73" s="97"/>
      <c r="BWY73" s="97"/>
      <c r="BWZ73" s="97"/>
      <c r="BXA73" s="97"/>
      <c r="BXB73" s="97"/>
      <c r="BXC73" s="97"/>
      <c r="BXD73" s="97"/>
      <c r="BXE73" s="97"/>
      <c r="BXF73" s="97"/>
      <c r="BXG73" s="97"/>
      <c r="BXH73" s="97"/>
      <c r="BXI73" s="97"/>
      <c r="BXJ73" s="97"/>
      <c r="BXK73" s="97"/>
      <c r="BXL73" s="97"/>
      <c r="BXM73" s="97"/>
      <c r="BXN73" s="97"/>
      <c r="BXO73" s="97"/>
      <c r="BXP73" s="97"/>
      <c r="BXQ73" s="97"/>
      <c r="BXR73" s="97"/>
      <c r="BXS73" s="97"/>
      <c r="BXT73" s="97"/>
      <c r="BXU73" s="97"/>
      <c r="BXV73" s="97"/>
      <c r="BXW73" s="97"/>
      <c r="BXX73" s="97"/>
      <c r="BXY73" s="97"/>
      <c r="BXZ73" s="97"/>
      <c r="BYA73" s="97"/>
      <c r="BYB73" s="97"/>
      <c r="BYC73" s="97"/>
      <c r="BYD73" s="97"/>
      <c r="BYE73" s="97"/>
      <c r="BYF73" s="97"/>
      <c r="BYG73" s="97"/>
      <c r="BYH73" s="97"/>
      <c r="BYI73" s="97"/>
      <c r="BYJ73" s="97"/>
      <c r="BYK73" s="97"/>
      <c r="BYL73" s="97"/>
      <c r="BYM73" s="97"/>
      <c r="BYN73" s="97"/>
      <c r="BYO73" s="97"/>
      <c r="BYP73" s="97"/>
      <c r="BYQ73" s="97"/>
      <c r="BYR73" s="97"/>
      <c r="BYS73" s="97"/>
      <c r="BYT73" s="97"/>
      <c r="BYU73" s="97"/>
      <c r="BYV73" s="97"/>
      <c r="BYW73" s="97"/>
      <c r="BYX73" s="97"/>
      <c r="BYY73" s="97"/>
      <c r="BYZ73" s="97"/>
      <c r="BZA73" s="97"/>
      <c r="BZB73" s="97"/>
      <c r="BZC73" s="97"/>
      <c r="BZD73" s="97"/>
      <c r="BZE73" s="97"/>
      <c r="BZF73" s="97"/>
      <c r="BZG73" s="97"/>
      <c r="BZH73" s="97"/>
      <c r="BZI73" s="97"/>
      <c r="BZJ73" s="97"/>
      <c r="BZK73" s="97"/>
      <c r="BZL73" s="97"/>
      <c r="BZM73" s="97"/>
      <c r="BZN73" s="97"/>
      <c r="BZO73" s="97"/>
      <c r="BZP73" s="97"/>
      <c r="BZQ73" s="97"/>
      <c r="BZR73" s="97"/>
      <c r="BZS73" s="97"/>
      <c r="BZT73" s="97"/>
      <c r="BZU73" s="97"/>
      <c r="BZV73" s="97"/>
      <c r="BZW73" s="97"/>
      <c r="BZX73" s="97"/>
      <c r="BZY73" s="97"/>
      <c r="BZZ73" s="97"/>
      <c r="CAA73" s="97"/>
      <c r="CAB73" s="97"/>
      <c r="CAC73" s="97"/>
      <c r="CAD73" s="97"/>
      <c r="CAE73" s="97"/>
      <c r="CAF73" s="97"/>
      <c r="CAG73" s="97"/>
      <c r="CAH73" s="97"/>
      <c r="CAI73" s="97"/>
      <c r="CAJ73" s="97"/>
      <c r="CAK73" s="97"/>
      <c r="CAL73" s="97"/>
      <c r="CAM73" s="97"/>
      <c r="CAN73" s="97"/>
      <c r="CAO73" s="97"/>
      <c r="CAP73" s="97"/>
      <c r="CAQ73" s="97"/>
      <c r="CAR73" s="97"/>
      <c r="CAS73" s="97"/>
      <c r="CAT73" s="97"/>
      <c r="CAU73" s="97"/>
      <c r="CAV73" s="97"/>
      <c r="CAW73" s="97"/>
      <c r="CAX73" s="97"/>
      <c r="CAY73" s="97"/>
      <c r="CAZ73" s="97"/>
      <c r="CBA73" s="97"/>
      <c r="CBB73" s="97"/>
      <c r="CBC73" s="97"/>
      <c r="CBD73" s="97"/>
      <c r="CBE73" s="97"/>
      <c r="CBF73" s="97"/>
      <c r="CBG73" s="97"/>
      <c r="CBH73" s="97"/>
      <c r="CBI73" s="97"/>
      <c r="CBJ73" s="97"/>
      <c r="CBK73" s="97"/>
      <c r="CBL73" s="97"/>
      <c r="CBM73" s="97"/>
      <c r="CBN73" s="97"/>
      <c r="CBO73" s="97"/>
      <c r="CBP73" s="97"/>
      <c r="CBQ73" s="97"/>
      <c r="CBR73" s="97"/>
      <c r="CBS73" s="97"/>
      <c r="CBT73" s="97"/>
      <c r="CBU73" s="97"/>
      <c r="CBV73" s="97"/>
      <c r="CBW73" s="97"/>
      <c r="CBX73" s="97"/>
      <c r="CBY73" s="97"/>
      <c r="CBZ73" s="97"/>
      <c r="CCA73" s="97"/>
      <c r="CCB73" s="97"/>
      <c r="CCC73" s="97"/>
      <c r="CCD73" s="97"/>
      <c r="CCE73" s="97"/>
      <c r="CCF73" s="97"/>
      <c r="CCG73" s="97"/>
      <c r="CCH73" s="97"/>
      <c r="CCI73" s="97"/>
      <c r="CCJ73" s="97"/>
      <c r="CCK73" s="97"/>
      <c r="CCL73" s="97"/>
      <c r="CCM73" s="97"/>
      <c r="CCN73" s="97"/>
      <c r="CCO73" s="97"/>
      <c r="CCP73" s="97"/>
      <c r="CCQ73" s="97"/>
      <c r="CCR73" s="97"/>
      <c r="CCS73" s="97"/>
      <c r="CCT73" s="97"/>
      <c r="CCU73" s="97"/>
      <c r="CCV73" s="97"/>
      <c r="CCW73" s="97"/>
      <c r="CCX73" s="97"/>
      <c r="CCY73" s="97"/>
      <c r="CCZ73" s="97"/>
      <c r="CDA73" s="97"/>
      <c r="CDB73" s="97"/>
      <c r="CDC73" s="97"/>
      <c r="CDD73" s="97"/>
      <c r="CDE73" s="97"/>
      <c r="CDF73" s="97"/>
      <c r="CDG73" s="97"/>
      <c r="CDH73" s="97"/>
      <c r="CDI73" s="97"/>
      <c r="CDJ73" s="97"/>
      <c r="CDK73" s="97"/>
      <c r="CDL73" s="97"/>
      <c r="CDM73" s="97"/>
      <c r="CDN73" s="97"/>
      <c r="CDO73" s="97"/>
      <c r="CDP73" s="97"/>
      <c r="CDQ73" s="97"/>
      <c r="CDR73" s="97"/>
      <c r="CDS73" s="97"/>
      <c r="CDT73" s="97"/>
      <c r="CDU73" s="97"/>
      <c r="CDV73" s="97"/>
      <c r="CDW73" s="97"/>
      <c r="CDX73" s="97"/>
      <c r="CDY73" s="97"/>
      <c r="CDZ73" s="97"/>
      <c r="CEA73" s="97"/>
      <c r="CEB73" s="97"/>
      <c r="CEC73" s="97"/>
      <c r="CED73" s="97"/>
      <c r="CEE73" s="97"/>
      <c r="CEF73" s="97"/>
      <c r="CEG73" s="97"/>
      <c r="CEH73" s="97"/>
      <c r="CEI73" s="97"/>
      <c r="CEJ73" s="97"/>
      <c r="CEK73" s="97"/>
      <c r="CEL73" s="97"/>
      <c r="CEM73" s="97"/>
      <c r="CEN73" s="97"/>
      <c r="CEO73" s="97"/>
      <c r="CEP73" s="97"/>
      <c r="CEQ73" s="97"/>
      <c r="CER73" s="97"/>
      <c r="CES73" s="97"/>
      <c r="CET73" s="97"/>
      <c r="CEU73" s="97"/>
      <c r="CEV73" s="97"/>
      <c r="CEW73" s="97"/>
      <c r="CEX73" s="97"/>
      <c r="CEY73" s="97"/>
      <c r="CEZ73" s="97"/>
      <c r="CFA73" s="97"/>
      <c r="CFB73" s="97"/>
      <c r="CFC73" s="97"/>
      <c r="CFD73" s="97"/>
      <c r="CFE73" s="97"/>
      <c r="CFF73" s="97"/>
      <c r="CFG73" s="97"/>
      <c r="CFH73" s="97"/>
      <c r="CFI73" s="97"/>
      <c r="CFJ73" s="97"/>
      <c r="CFK73" s="97"/>
      <c r="CFL73" s="97"/>
      <c r="CFM73" s="97"/>
      <c r="CFN73" s="97"/>
      <c r="CFO73" s="97"/>
      <c r="CFP73" s="97"/>
      <c r="CFQ73" s="97"/>
      <c r="CFR73" s="97"/>
      <c r="CFS73" s="97"/>
      <c r="CFT73" s="97"/>
      <c r="CFU73" s="97"/>
      <c r="CFV73" s="97"/>
      <c r="CFW73" s="97"/>
      <c r="CFX73" s="97"/>
      <c r="CFY73" s="97"/>
      <c r="CFZ73" s="97"/>
      <c r="CGA73" s="97"/>
      <c r="CGB73" s="97"/>
      <c r="CGC73" s="97"/>
      <c r="CGD73" s="97"/>
      <c r="CGE73" s="97"/>
      <c r="CGF73" s="97"/>
      <c r="CGG73" s="97"/>
      <c r="CGH73" s="97"/>
      <c r="CGI73" s="97"/>
      <c r="CGJ73" s="97"/>
      <c r="CGK73" s="97"/>
      <c r="CGL73" s="97"/>
      <c r="CGM73" s="97"/>
      <c r="CGN73" s="97"/>
      <c r="CGO73" s="97"/>
      <c r="CGP73" s="97"/>
      <c r="CGQ73" s="97"/>
      <c r="CGR73" s="97"/>
      <c r="CGS73" s="97"/>
      <c r="CGT73" s="97"/>
      <c r="CGU73" s="97"/>
      <c r="CGV73" s="97"/>
      <c r="CGW73" s="97"/>
      <c r="CGX73" s="97"/>
      <c r="CGY73" s="97"/>
      <c r="CGZ73" s="97"/>
      <c r="CHA73" s="97"/>
      <c r="CHB73" s="97"/>
      <c r="CHC73" s="97"/>
      <c r="CHD73" s="97"/>
      <c r="CHE73" s="97"/>
      <c r="CHF73" s="97"/>
      <c r="CHG73" s="97"/>
      <c r="CHH73" s="97"/>
      <c r="CHI73" s="97"/>
      <c r="CHJ73" s="97"/>
      <c r="CHK73" s="97"/>
      <c r="CHL73" s="97"/>
      <c r="CHM73" s="97"/>
      <c r="CHN73" s="97"/>
      <c r="CHO73" s="97"/>
      <c r="CHP73" s="97"/>
      <c r="CHQ73" s="97"/>
      <c r="CHR73" s="97"/>
      <c r="CHS73" s="97"/>
      <c r="CHT73" s="97"/>
      <c r="CHU73" s="97"/>
      <c r="CHV73" s="97"/>
      <c r="CHW73" s="97"/>
      <c r="CHX73" s="97"/>
      <c r="CHY73" s="97"/>
      <c r="CHZ73" s="97"/>
      <c r="CIA73" s="97"/>
      <c r="CIB73" s="97"/>
      <c r="CIC73" s="97"/>
      <c r="CID73" s="97"/>
      <c r="CIE73" s="97"/>
      <c r="CIF73" s="97"/>
      <c r="CIG73" s="97"/>
      <c r="CIH73" s="97"/>
      <c r="CII73" s="97"/>
      <c r="CIJ73" s="97"/>
      <c r="CIK73" s="97"/>
      <c r="CIL73" s="97"/>
      <c r="CIM73" s="97"/>
      <c r="CIN73" s="97"/>
      <c r="CIO73" s="97"/>
      <c r="CIP73" s="97"/>
      <c r="CIQ73" s="97"/>
      <c r="CIR73" s="97"/>
      <c r="CIS73" s="97"/>
      <c r="CIT73" s="97"/>
      <c r="CIU73" s="97"/>
      <c r="CIV73" s="97"/>
      <c r="CIW73" s="97"/>
      <c r="CIX73" s="97"/>
      <c r="CIY73" s="97"/>
      <c r="CIZ73" s="97"/>
      <c r="CJA73" s="97"/>
      <c r="CJB73" s="97"/>
      <c r="CJC73" s="97"/>
      <c r="CJD73" s="97"/>
      <c r="CJE73" s="97"/>
      <c r="CJF73" s="97"/>
      <c r="CJG73" s="97"/>
      <c r="CJH73" s="97"/>
      <c r="CJI73" s="97"/>
      <c r="CJJ73" s="97"/>
      <c r="CJK73" s="97"/>
      <c r="CJL73" s="97"/>
      <c r="CJM73" s="97"/>
      <c r="CJN73" s="97"/>
      <c r="CJO73" s="97"/>
      <c r="CJP73" s="97"/>
      <c r="CJQ73" s="97"/>
      <c r="CJR73" s="97"/>
      <c r="CJS73" s="97"/>
      <c r="CJT73" s="97"/>
      <c r="CJU73" s="97"/>
      <c r="CJV73" s="97"/>
      <c r="CJW73" s="97"/>
      <c r="CJX73" s="97"/>
      <c r="CJY73" s="97"/>
      <c r="CJZ73" s="97"/>
      <c r="CKA73" s="97"/>
      <c r="CKB73" s="97"/>
      <c r="CKC73" s="97"/>
      <c r="CKD73" s="97"/>
      <c r="CKE73" s="97"/>
      <c r="CKF73" s="97"/>
      <c r="CKG73" s="97"/>
      <c r="CKH73" s="97"/>
      <c r="CKI73" s="97"/>
      <c r="CKJ73" s="97"/>
      <c r="CKK73" s="97"/>
      <c r="CKL73" s="97"/>
      <c r="CKM73" s="97"/>
      <c r="CKN73" s="97"/>
      <c r="CKO73" s="97"/>
      <c r="CKP73" s="97"/>
      <c r="CKQ73" s="97"/>
      <c r="CKR73" s="97"/>
      <c r="CKS73" s="97"/>
      <c r="CKT73" s="97"/>
      <c r="CKU73" s="97"/>
      <c r="CKV73" s="97"/>
      <c r="CKW73" s="97"/>
      <c r="CKX73" s="97"/>
      <c r="CKY73" s="97"/>
      <c r="CKZ73" s="97"/>
      <c r="CLA73" s="97"/>
      <c r="CLB73" s="97"/>
      <c r="CLC73" s="97"/>
      <c r="CLD73" s="97"/>
      <c r="CLE73" s="97"/>
      <c r="CLF73" s="97"/>
      <c r="CLG73" s="97"/>
      <c r="CLH73" s="97"/>
      <c r="CLI73" s="97"/>
      <c r="CLJ73" s="97"/>
      <c r="CLK73" s="97"/>
      <c r="CLL73" s="97"/>
      <c r="CLM73" s="97"/>
      <c r="CLN73" s="97"/>
      <c r="CLO73" s="97"/>
      <c r="CLP73" s="97"/>
      <c r="CLQ73" s="97"/>
      <c r="CLR73" s="97"/>
      <c r="CLS73" s="97"/>
      <c r="CLT73" s="97"/>
      <c r="CLU73" s="97"/>
      <c r="CLV73" s="97"/>
      <c r="CLW73" s="97"/>
      <c r="CLX73" s="97"/>
      <c r="CLY73" s="97"/>
      <c r="CLZ73" s="97"/>
      <c r="CMA73" s="97"/>
      <c r="CMB73" s="97"/>
      <c r="CMC73" s="97"/>
      <c r="CMD73" s="97"/>
      <c r="CME73" s="97"/>
      <c r="CMF73" s="97"/>
      <c r="CMG73" s="97"/>
      <c r="CMH73" s="97"/>
      <c r="CMI73" s="97"/>
      <c r="CMJ73" s="97"/>
      <c r="CMK73" s="97"/>
      <c r="CML73" s="97"/>
      <c r="CMM73" s="97"/>
      <c r="CMN73" s="97"/>
      <c r="CMO73" s="97"/>
      <c r="CMP73" s="97"/>
      <c r="CMQ73" s="97"/>
      <c r="CMR73" s="97"/>
      <c r="CMS73" s="97"/>
      <c r="CMT73" s="97"/>
      <c r="CMU73" s="97"/>
      <c r="CMV73" s="97"/>
      <c r="CMW73" s="97"/>
      <c r="CMX73" s="97"/>
      <c r="CMY73" s="97"/>
      <c r="CMZ73" s="97"/>
      <c r="CNA73" s="97"/>
      <c r="CNB73" s="97"/>
      <c r="CNC73" s="97"/>
      <c r="CND73" s="97"/>
      <c r="CNE73" s="97"/>
      <c r="CNF73" s="97"/>
      <c r="CNG73" s="97"/>
      <c r="CNH73" s="97"/>
      <c r="CNI73" s="97"/>
      <c r="CNJ73" s="97"/>
      <c r="CNK73" s="97"/>
      <c r="CNL73" s="97"/>
      <c r="CNM73" s="97"/>
      <c r="CNN73" s="97"/>
      <c r="CNO73" s="97"/>
      <c r="CNP73" s="97"/>
      <c r="CNQ73" s="97"/>
      <c r="CNR73" s="97"/>
      <c r="CNS73" s="97"/>
      <c r="CNT73" s="97"/>
      <c r="CNU73" s="97"/>
      <c r="CNV73" s="97"/>
      <c r="CNW73" s="97"/>
      <c r="CNX73" s="97"/>
      <c r="CNY73" s="97"/>
      <c r="CNZ73" s="97"/>
      <c r="COA73" s="97"/>
      <c r="COB73" s="97"/>
      <c r="COC73" s="97"/>
      <c r="COD73" s="97"/>
      <c r="COE73" s="97"/>
      <c r="COF73" s="97"/>
      <c r="COG73" s="97"/>
      <c r="COH73" s="97"/>
      <c r="COI73" s="97"/>
      <c r="COJ73" s="97"/>
      <c r="COK73" s="97"/>
      <c r="COL73" s="97"/>
      <c r="COM73" s="97"/>
      <c r="CON73" s="97"/>
      <c r="COO73" s="97"/>
      <c r="COP73" s="97"/>
      <c r="COQ73" s="97"/>
      <c r="COR73" s="97"/>
      <c r="COS73" s="97"/>
      <c r="COT73" s="97"/>
      <c r="COU73" s="97"/>
      <c r="COV73" s="97"/>
      <c r="COW73" s="97"/>
      <c r="COX73" s="97"/>
      <c r="COY73" s="97"/>
      <c r="COZ73" s="97"/>
      <c r="CPA73" s="97"/>
      <c r="CPB73" s="97"/>
      <c r="CPC73" s="97"/>
      <c r="CPD73" s="97"/>
      <c r="CPE73" s="97"/>
      <c r="CPF73" s="97"/>
      <c r="CPG73" s="97"/>
      <c r="CPH73" s="97"/>
      <c r="CPI73" s="97"/>
      <c r="CPJ73" s="97"/>
      <c r="CPK73" s="97"/>
      <c r="CPL73" s="97"/>
      <c r="CPM73" s="97"/>
      <c r="CPN73" s="97"/>
      <c r="CPO73" s="97"/>
      <c r="CPP73" s="97"/>
      <c r="CPQ73" s="97"/>
      <c r="CPR73" s="97"/>
      <c r="CPS73" s="97"/>
      <c r="CPT73" s="97"/>
      <c r="CPU73" s="97"/>
      <c r="CPV73" s="97"/>
      <c r="CPW73" s="97"/>
      <c r="CPX73" s="97"/>
      <c r="CPY73" s="97"/>
      <c r="CPZ73" s="97"/>
      <c r="CQA73" s="97"/>
      <c r="CQB73" s="97"/>
      <c r="CQC73" s="97"/>
      <c r="CQD73" s="97"/>
      <c r="CQE73" s="97"/>
      <c r="CQF73" s="97"/>
      <c r="CQG73" s="97"/>
      <c r="CQH73" s="97"/>
      <c r="CQI73" s="97"/>
      <c r="CQJ73" s="97"/>
      <c r="CQK73" s="97"/>
      <c r="CQL73" s="97"/>
      <c r="CQM73" s="97"/>
      <c r="CQN73" s="97"/>
      <c r="CQO73" s="97"/>
      <c r="CQP73" s="97"/>
      <c r="CQQ73" s="97"/>
      <c r="CQR73" s="97"/>
      <c r="CQS73" s="97"/>
      <c r="CQT73" s="97"/>
      <c r="CQU73" s="97"/>
      <c r="CQV73" s="97"/>
      <c r="CQW73" s="97"/>
      <c r="CQX73" s="97"/>
      <c r="CQY73" s="97"/>
      <c r="CQZ73" s="97"/>
      <c r="CRA73" s="97"/>
      <c r="CRB73" s="97"/>
      <c r="CRC73" s="97"/>
      <c r="CRD73" s="97"/>
      <c r="CRE73" s="97"/>
      <c r="CRF73" s="97"/>
      <c r="CRG73" s="97"/>
      <c r="CRH73" s="97"/>
      <c r="CRI73" s="97"/>
      <c r="CRJ73" s="97"/>
      <c r="CRK73" s="97"/>
      <c r="CRL73" s="97"/>
      <c r="CRM73" s="97"/>
      <c r="CRN73" s="97"/>
      <c r="CRO73" s="97"/>
      <c r="CRP73" s="97"/>
      <c r="CRQ73" s="97"/>
      <c r="CRR73" s="97"/>
      <c r="CRS73" s="97"/>
      <c r="CRT73" s="97"/>
      <c r="CRU73" s="97"/>
      <c r="CRV73" s="97"/>
      <c r="CRW73" s="97"/>
      <c r="CRX73" s="97"/>
      <c r="CRY73" s="97"/>
      <c r="CRZ73" s="97"/>
      <c r="CSA73" s="97"/>
      <c r="CSB73" s="97"/>
      <c r="CSC73" s="97"/>
      <c r="CSD73" s="97"/>
      <c r="CSE73" s="97"/>
      <c r="CSF73" s="97"/>
      <c r="CSG73" s="97"/>
      <c r="CSH73" s="97"/>
      <c r="CSI73" s="97"/>
      <c r="CSJ73" s="97"/>
      <c r="CSK73" s="97"/>
      <c r="CSL73" s="97"/>
      <c r="CSM73" s="97"/>
      <c r="CSN73" s="97"/>
      <c r="CSO73" s="97"/>
      <c r="CSP73" s="97"/>
      <c r="CSQ73" s="97"/>
      <c r="CSR73" s="97"/>
      <c r="CSS73" s="97"/>
      <c r="CST73" s="97"/>
      <c r="CSU73" s="97"/>
      <c r="CSV73" s="97"/>
      <c r="CSW73" s="97"/>
      <c r="CSX73" s="97"/>
      <c r="CSY73" s="97"/>
      <c r="CSZ73" s="97"/>
      <c r="CTA73" s="97"/>
      <c r="CTB73" s="97"/>
      <c r="CTC73" s="97"/>
      <c r="CTD73" s="97"/>
      <c r="CTE73" s="97"/>
      <c r="CTF73" s="97"/>
      <c r="CTG73" s="97"/>
      <c r="CTH73" s="97"/>
      <c r="CTI73" s="97"/>
      <c r="CTJ73" s="97"/>
      <c r="CTK73" s="97"/>
      <c r="CTL73" s="97"/>
      <c r="CTM73" s="97"/>
      <c r="CTN73" s="97"/>
      <c r="CTO73" s="97"/>
      <c r="CTP73" s="97"/>
      <c r="CTQ73" s="97"/>
      <c r="CTR73" s="97"/>
      <c r="CTS73" s="97"/>
      <c r="CTT73" s="97"/>
      <c r="CTU73" s="97"/>
      <c r="CTV73" s="97"/>
      <c r="CTW73" s="97"/>
      <c r="CTX73" s="97"/>
      <c r="CTY73" s="97"/>
      <c r="CTZ73" s="97"/>
      <c r="CUA73" s="97"/>
      <c r="CUB73" s="97"/>
      <c r="CUC73" s="97"/>
      <c r="CUD73" s="97"/>
      <c r="CUE73" s="97"/>
      <c r="CUF73" s="97"/>
      <c r="CUG73" s="97"/>
      <c r="CUH73" s="97"/>
      <c r="CUI73" s="97"/>
      <c r="CUJ73" s="97"/>
      <c r="CUK73" s="97"/>
      <c r="CUL73" s="97"/>
      <c r="CUM73" s="97"/>
      <c r="CUN73" s="97"/>
      <c r="CUO73" s="97"/>
      <c r="CUP73" s="97"/>
      <c r="CUQ73" s="97"/>
      <c r="CUR73" s="97"/>
      <c r="CUS73" s="97"/>
      <c r="CUT73" s="97"/>
      <c r="CUU73" s="97"/>
      <c r="CUV73" s="97"/>
      <c r="CUW73" s="97"/>
      <c r="CUX73" s="97"/>
      <c r="CUY73" s="97"/>
      <c r="CUZ73" s="97"/>
      <c r="CVA73" s="97"/>
      <c r="CVB73" s="97"/>
      <c r="CVC73" s="97"/>
      <c r="CVD73" s="97"/>
      <c r="CVE73" s="97"/>
      <c r="CVF73" s="97"/>
      <c r="CVG73" s="97"/>
      <c r="CVH73" s="97"/>
      <c r="CVI73" s="97"/>
      <c r="CVJ73" s="97"/>
      <c r="CVK73" s="97"/>
      <c r="CVL73" s="97"/>
      <c r="CVM73" s="97"/>
      <c r="CVN73" s="97"/>
      <c r="CVO73" s="97"/>
      <c r="CVP73" s="97"/>
      <c r="CVQ73" s="97"/>
      <c r="CVR73" s="97"/>
      <c r="CVS73" s="97"/>
      <c r="CVT73" s="97"/>
      <c r="CVU73" s="97"/>
      <c r="CVV73" s="97"/>
      <c r="CVW73" s="97"/>
      <c r="CVX73" s="97"/>
      <c r="CVY73" s="97"/>
      <c r="CVZ73" s="97"/>
      <c r="CWA73" s="97"/>
      <c r="CWB73" s="97"/>
      <c r="CWC73" s="97"/>
      <c r="CWD73" s="97"/>
      <c r="CWE73" s="97"/>
      <c r="CWF73" s="97"/>
      <c r="CWG73" s="97"/>
      <c r="CWH73" s="97"/>
      <c r="CWI73" s="97"/>
      <c r="CWJ73" s="97"/>
      <c r="CWK73" s="97"/>
      <c r="CWL73" s="97"/>
      <c r="CWM73" s="97"/>
      <c r="CWN73" s="97"/>
      <c r="CWO73" s="97"/>
      <c r="CWP73" s="97"/>
      <c r="CWQ73" s="97"/>
      <c r="CWR73" s="97"/>
      <c r="CWS73" s="97"/>
      <c r="CWT73" s="97"/>
      <c r="CWU73" s="97"/>
      <c r="CWV73" s="97"/>
      <c r="CWW73" s="97"/>
      <c r="CWX73" s="97"/>
      <c r="CWY73" s="97"/>
      <c r="CWZ73" s="97"/>
      <c r="CXA73" s="97"/>
      <c r="CXB73" s="97"/>
      <c r="CXC73" s="97"/>
      <c r="CXD73" s="97"/>
      <c r="CXE73" s="97"/>
      <c r="CXF73" s="97"/>
      <c r="CXG73" s="97"/>
      <c r="CXH73" s="97"/>
      <c r="CXI73" s="97"/>
      <c r="CXJ73" s="97"/>
      <c r="CXK73" s="97"/>
      <c r="CXL73" s="97"/>
      <c r="CXM73" s="97"/>
      <c r="CXN73" s="97"/>
      <c r="CXO73" s="97"/>
      <c r="CXP73" s="97"/>
      <c r="CXQ73" s="97"/>
      <c r="CXR73" s="97"/>
      <c r="CXS73" s="97"/>
      <c r="CXT73" s="97"/>
      <c r="CXU73" s="97"/>
      <c r="CXV73" s="97"/>
      <c r="CXW73" s="97"/>
      <c r="CXX73" s="97"/>
      <c r="CXY73" s="97"/>
      <c r="CXZ73" s="97"/>
      <c r="CYA73" s="97"/>
      <c r="CYB73" s="97"/>
      <c r="CYC73" s="97"/>
      <c r="CYD73" s="97"/>
      <c r="CYE73" s="97"/>
      <c r="CYF73" s="97"/>
      <c r="CYG73" s="97"/>
      <c r="CYH73" s="97"/>
      <c r="CYI73" s="97"/>
      <c r="CYJ73" s="97"/>
      <c r="CYK73" s="97"/>
      <c r="CYL73" s="97"/>
      <c r="CYM73" s="97"/>
      <c r="CYN73" s="97"/>
      <c r="CYO73" s="97"/>
      <c r="CYP73" s="97"/>
      <c r="CYQ73" s="97"/>
      <c r="CYR73" s="97"/>
      <c r="CYS73" s="97"/>
      <c r="CYT73" s="97"/>
      <c r="CYU73" s="97"/>
      <c r="CYV73" s="97"/>
      <c r="CYW73" s="97"/>
      <c r="CYX73" s="97"/>
      <c r="CYY73" s="97"/>
      <c r="CYZ73" s="97"/>
      <c r="CZA73" s="97"/>
      <c r="CZB73" s="97"/>
      <c r="CZC73" s="97"/>
      <c r="CZD73" s="97"/>
      <c r="CZE73" s="97"/>
      <c r="CZF73" s="97"/>
      <c r="CZG73" s="97"/>
      <c r="CZH73" s="97"/>
      <c r="CZI73" s="97"/>
      <c r="CZJ73" s="97"/>
      <c r="CZK73" s="97"/>
      <c r="CZL73" s="97"/>
      <c r="CZM73" s="97"/>
      <c r="CZN73" s="97"/>
      <c r="CZO73" s="97"/>
      <c r="CZP73" s="97"/>
      <c r="CZQ73" s="97"/>
      <c r="CZR73" s="97"/>
      <c r="CZS73" s="97"/>
      <c r="CZT73" s="97"/>
      <c r="CZU73" s="97"/>
      <c r="CZV73" s="97"/>
      <c r="CZW73" s="97"/>
      <c r="CZX73" s="97"/>
      <c r="CZY73" s="97"/>
      <c r="CZZ73" s="97"/>
      <c r="DAA73" s="97"/>
      <c r="DAB73" s="97"/>
      <c r="DAC73" s="97"/>
      <c r="DAD73" s="97"/>
      <c r="DAE73" s="97"/>
      <c r="DAF73" s="97"/>
      <c r="DAG73" s="97"/>
      <c r="DAH73" s="97"/>
      <c r="DAI73" s="97"/>
      <c r="DAJ73" s="97"/>
      <c r="DAK73" s="97"/>
      <c r="DAL73" s="97"/>
      <c r="DAM73" s="97"/>
      <c r="DAN73" s="97"/>
      <c r="DAO73" s="97"/>
      <c r="DAP73" s="97"/>
      <c r="DAQ73" s="97"/>
      <c r="DAR73" s="97"/>
      <c r="DAS73" s="97"/>
      <c r="DAT73" s="97"/>
      <c r="DAU73" s="97"/>
      <c r="DAV73" s="97"/>
      <c r="DAW73" s="97"/>
      <c r="DAX73" s="97"/>
      <c r="DAY73" s="97"/>
      <c r="DAZ73" s="97"/>
      <c r="DBA73" s="97"/>
      <c r="DBB73" s="97"/>
      <c r="DBC73" s="97"/>
      <c r="DBD73" s="97"/>
      <c r="DBE73" s="97"/>
      <c r="DBF73" s="97"/>
      <c r="DBG73" s="97"/>
      <c r="DBH73" s="97"/>
      <c r="DBI73" s="97"/>
      <c r="DBJ73" s="97"/>
      <c r="DBK73" s="97"/>
      <c r="DBL73" s="97"/>
      <c r="DBM73" s="97"/>
      <c r="DBN73" s="97"/>
      <c r="DBO73" s="97"/>
      <c r="DBP73" s="97"/>
      <c r="DBQ73" s="97"/>
      <c r="DBR73" s="97"/>
      <c r="DBS73" s="97"/>
      <c r="DBT73" s="97"/>
      <c r="DBU73" s="97"/>
      <c r="DBV73" s="97"/>
      <c r="DBW73" s="97"/>
      <c r="DBX73" s="97"/>
      <c r="DBY73" s="97"/>
      <c r="DBZ73" s="97"/>
      <c r="DCA73" s="97"/>
      <c r="DCB73" s="97"/>
      <c r="DCC73" s="97"/>
      <c r="DCD73" s="97"/>
      <c r="DCE73" s="97"/>
      <c r="DCF73" s="97"/>
      <c r="DCG73" s="97"/>
      <c r="DCH73" s="97"/>
      <c r="DCI73" s="97"/>
      <c r="DCJ73" s="97"/>
      <c r="DCK73" s="97"/>
      <c r="DCL73" s="97"/>
      <c r="DCM73" s="97"/>
      <c r="DCN73" s="97"/>
      <c r="DCO73" s="97"/>
      <c r="DCP73" s="97"/>
      <c r="DCQ73" s="97"/>
      <c r="DCR73" s="97"/>
      <c r="DCS73" s="97"/>
      <c r="DCT73" s="97"/>
      <c r="DCU73" s="97"/>
      <c r="DCV73" s="97"/>
      <c r="DCW73" s="97"/>
      <c r="DCX73" s="97"/>
      <c r="DCY73" s="97"/>
      <c r="DCZ73" s="97"/>
      <c r="DDA73" s="97"/>
      <c r="DDB73" s="97"/>
      <c r="DDC73" s="97"/>
      <c r="DDD73" s="97"/>
      <c r="DDE73" s="97"/>
      <c r="DDF73" s="97"/>
      <c r="DDG73" s="97"/>
      <c r="DDH73" s="97"/>
      <c r="DDI73" s="97"/>
      <c r="DDJ73" s="97"/>
      <c r="DDK73" s="97"/>
      <c r="DDL73" s="97"/>
      <c r="DDM73" s="97"/>
      <c r="DDN73" s="97"/>
      <c r="DDO73" s="97"/>
      <c r="DDP73" s="97"/>
      <c r="DDQ73" s="97"/>
      <c r="DDR73" s="97"/>
      <c r="DDS73" s="97"/>
      <c r="DDT73" s="97"/>
      <c r="DDU73" s="97"/>
      <c r="DDV73" s="97"/>
      <c r="DDW73" s="97"/>
      <c r="DDX73" s="97"/>
      <c r="DDY73" s="97"/>
      <c r="DDZ73" s="97"/>
      <c r="DEA73" s="97"/>
      <c r="DEB73" s="97"/>
      <c r="DEC73" s="97"/>
      <c r="DED73" s="97"/>
      <c r="DEE73" s="97"/>
      <c r="DEF73" s="97"/>
      <c r="DEG73" s="97"/>
      <c r="DEH73" s="97"/>
      <c r="DEI73" s="97"/>
      <c r="DEJ73" s="97"/>
      <c r="DEK73" s="97"/>
      <c r="DEL73" s="97"/>
      <c r="DEM73" s="97"/>
      <c r="DEN73" s="97"/>
      <c r="DEO73" s="97"/>
      <c r="DEP73" s="97"/>
      <c r="DEQ73" s="97"/>
      <c r="DER73" s="97"/>
      <c r="DES73" s="97"/>
      <c r="DET73" s="97"/>
      <c r="DEU73" s="97"/>
      <c r="DEV73" s="97"/>
      <c r="DEW73" s="97"/>
      <c r="DEX73" s="97"/>
      <c r="DEY73" s="97"/>
      <c r="DEZ73" s="97"/>
      <c r="DFA73" s="97"/>
      <c r="DFB73" s="97"/>
      <c r="DFC73" s="97"/>
      <c r="DFD73" s="97"/>
      <c r="DFE73" s="97"/>
      <c r="DFF73" s="97"/>
      <c r="DFG73" s="97"/>
      <c r="DFH73" s="97"/>
      <c r="DFI73" s="97"/>
      <c r="DFJ73" s="97"/>
      <c r="DFK73" s="97"/>
      <c r="DFL73" s="97"/>
      <c r="DFM73" s="97"/>
      <c r="DFN73" s="97"/>
      <c r="DFO73" s="97"/>
      <c r="DFP73" s="97"/>
      <c r="DFQ73" s="97"/>
      <c r="DFR73" s="97"/>
      <c r="DFS73" s="97"/>
      <c r="DFT73" s="97"/>
      <c r="DFU73" s="97"/>
      <c r="DFV73" s="97"/>
      <c r="DFW73" s="97"/>
      <c r="DFX73" s="97"/>
      <c r="DFY73" s="97"/>
      <c r="DFZ73" s="97"/>
      <c r="DGA73" s="97"/>
      <c r="DGB73" s="97"/>
      <c r="DGC73" s="97"/>
      <c r="DGD73" s="97"/>
      <c r="DGE73" s="97"/>
      <c r="DGF73" s="97"/>
      <c r="DGG73" s="97"/>
      <c r="DGH73" s="97"/>
      <c r="DGI73" s="97"/>
      <c r="DGJ73" s="97"/>
      <c r="DGK73" s="97"/>
      <c r="DGL73" s="97"/>
      <c r="DGM73" s="97"/>
      <c r="DGN73" s="97"/>
      <c r="DGO73" s="97"/>
      <c r="DGP73" s="97"/>
      <c r="DGQ73" s="97"/>
      <c r="DGR73" s="97"/>
      <c r="DGS73" s="97"/>
      <c r="DGT73" s="97"/>
      <c r="DGU73" s="97"/>
      <c r="DGV73" s="97"/>
      <c r="DGW73" s="97"/>
      <c r="DGX73" s="97"/>
      <c r="DGY73" s="97"/>
      <c r="DGZ73" s="97"/>
      <c r="DHA73" s="97"/>
      <c r="DHB73" s="97"/>
      <c r="DHC73" s="97"/>
      <c r="DHD73" s="97"/>
      <c r="DHE73" s="97"/>
      <c r="DHF73" s="97"/>
      <c r="DHG73" s="97"/>
      <c r="DHH73" s="97"/>
      <c r="DHI73" s="97"/>
      <c r="DHJ73" s="97"/>
      <c r="DHK73" s="97"/>
      <c r="DHL73" s="97"/>
      <c r="DHM73" s="97"/>
      <c r="DHN73" s="97"/>
      <c r="DHO73" s="97"/>
      <c r="DHP73" s="97"/>
      <c r="DHQ73" s="97"/>
      <c r="DHR73" s="97"/>
      <c r="DHS73" s="97"/>
      <c r="DHT73" s="97"/>
      <c r="DHU73" s="97"/>
      <c r="DHV73" s="97"/>
      <c r="DHW73" s="97"/>
      <c r="DHX73" s="97"/>
      <c r="DHY73" s="97"/>
      <c r="DHZ73" s="97"/>
      <c r="DIA73" s="97"/>
      <c r="DIB73" s="97"/>
      <c r="DIC73" s="97"/>
      <c r="DID73" s="97"/>
      <c r="DIE73" s="97"/>
      <c r="DIF73" s="97"/>
      <c r="DIG73" s="97"/>
      <c r="DIH73" s="97"/>
      <c r="DII73" s="97"/>
      <c r="DIJ73" s="97"/>
      <c r="DIK73" s="97"/>
      <c r="DIL73" s="97"/>
      <c r="DIM73" s="97"/>
      <c r="DIN73" s="97"/>
      <c r="DIO73" s="97"/>
      <c r="DIP73" s="97"/>
      <c r="DIQ73" s="97"/>
      <c r="DIR73" s="97"/>
      <c r="DIS73" s="97"/>
      <c r="DIT73" s="97"/>
      <c r="DIU73" s="97"/>
      <c r="DIV73" s="97"/>
      <c r="DIW73" s="97"/>
      <c r="DIX73" s="97"/>
      <c r="DIY73" s="97"/>
      <c r="DIZ73" s="97"/>
      <c r="DJA73" s="97"/>
      <c r="DJB73" s="97"/>
      <c r="DJC73" s="97"/>
      <c r="DJD73" s="97"/>
      <c r="DJE73" s="97"/>
      <c r="DJF73" s="97"/>
      <c r="DJG73" s="97"/>
      <c r="DJH73" s="97"/>
      <c r="DJI73" s="97"/>
      <c r="DJJ73" s="97"/>
      <c r="DJK73" s="97"/>
      <c r="DJL73" s="97"/>
      <c r="DJM73" s="97"/>
      <c r="DJN73" s="97"/>
      <c r="DJO73" s="97"/>
      <c r="DJP73" s="97"/>
      <c r="DJQ73" s="97"/>
      <c r="DJR73" s="97"/>
      <c r="DJS73" s="97"/>
      <c r="DJT73" s="97"/>
      <c r="DJU73" s="97"/>
      <c r="DJV73" s="97"/>
      <c r="DJW73" s="97"/>
      <c r="DJX73" s="97"/>
      <c r="DJY73" s="97"/>
      <c r="DJZ73" s="97"/>
      <c r="DKA73" s="97"/>
      <c r="DKB73" s="97"/>
      <c r="DKC73" s="97"/>
      <c r="DKD73" s="97"/>
      <c r="DKE73" s="97"/>
      <c r="DKF73" s="97"/>
      <c r="DKG73" s="97"/>
      <c r="DKH73" s="97"/>
      <c r="DKI73" s="97"/>
      <c r="DKJ73" s="97"/>
      <c r="DKK73" s="97"/>
      <c r="DKL73" s="97"/>
      <c r="DKM73" s="97"/>
      <c r="DKN73" s="97"/>
      <c r="DKO73" s="97"/>
      <c r="DKP73" s="97"/>
      <c r="DKQ73" s="97"/>
      <c r="DKR73" s="97"/>
      <c r="DKS73" s="97"/>
      <c r="DKT73" s="97"/>
      <c r="DKU73" s="97"/>
      <c r="DKV73" s="97"/>
      <c r="DKW73" s="97"/>
      <c r="DKX73" s="97"/>
      <c r="DKY73" s="97"/>
      <c r="DKZ73" s="97"/>
      <c r="DLA73" s="97"/>
      <c r="DLB73" s="97"/>
      <c r="DLC73" s="97"/>
      <c r="DLD73" s="97"/>
      <c r="DLE73" s="97"/>
      <c r="DLF73" s="97"/>
      <c r="DLG73" s="97"/>
      <c r="DLH73" s="97"/>
      <c r="DLI73" s="97"/>
      <c r="DLJ73" s="97"/>
      <c r="DLK73" s="97"/>
      <c r="DLL73" s="97"/>
      <c r="DLM73" s="97"/>
      <c r="DLN73" s="97"/>
      <c r="DLO73" s="97"/>
      <c r="DLP73" s="97"/>
      <c r="DLQ73" s="97"/>
      <c r="DLR73" s="97"/>
      <c r="DLS73" s="97"/>
      <c r="DLT73" s="97"/>
      <c r="DLU73" s="97"/>
      <c r="DLV73" s="97"/>
      <c r="DLW73" s="97"/>
      <c r="DLX73" s="97"/>
      <c r="DLY73" s="97"/>
      <c r="DLZ73" s="97"/>
      <c r="DMA73" s="97"/>
      <c r="DMB73" s="97"/>
      <c r="DMC73" s="97"/>
      <c r="DMD73" s="97"/>
      <c r="DME73" s="97"/>
      <c r="DMF73" s="97"/>
      <c r="DMG73" s="97"/>
      <c r="DMH73" s="97"/>
      <c r="DMI73" s="97"/>
      <c r="DMJ73" s="97"/>
      <c r="DMK73" s="97"/>
      <c r="DML73" s="97"/>
      <c r="DMM73" s="97"/>
      <c r="DMN73" s="97"/>
      <c r="DMO73" s="97"/>
      <c r="DMP73" s="97"/>
      <c r="DMQ73" s="97"/>
      <c r="DMR73" s="97"/>
      <c r="DMS73" s="97"/>
      <c r="DMT73" s="97"/>
      <c r="DMU73" s="97"/>
      <c r="DMV73" s="97"/>
      <c r="DMW73" s="97"/>
      <c r="DMX73" s="97"/>
      <c r="DMY73" s="97"/>
      <c r="DMZ73" s="97"/>
      <c r="DNA73" s="97"/>
      <c r="DNB73" s="97"/>
      <c r="DNC73" s="97"/>
      <c r="DND73" s="97"/>
      <c r="DNE73" s="97"/>
      <c r="DNF73" s="97"/>
      <c r="DNG73" s="97"/>
      <c r="DNH73" s="97"/>
      <c r="DNI73" s="97"/>
      <c r="DNJ73" s="97"/>
      <c r="DNK73" s="97"/>
      <c r="DNL73" s="97"/>
      <c r="DNM73" s="97"/>
      <c r="DNN73" s="97"/>
      <c r="DNO73" s="97"/>
      <c r="DNP73" s="97"/>
      <c r="DNQ73" s="97"/>
      <c r="DNR73" s="97"/>
      <c r="DNS73" s="97"/>
      <c r="DNT73" s="97"/>
      <c r="DNU73" s="97"/>
      <c r="DNV73" s="97"/>
      <c r="DNW73" s="97"/>
      <c r="DNX73" s="97"/>
      <c r="DNY73" s="97"/>
      <c r="DNZ73" s="97"/>
      <c r="DOA73" s="97"/>
      <c r="DOB73" s="97"/>
      <c r="DOC73" s="97"/>
      <c r="DOD73" s="97"/>
      <c r="DOE73" s="97"/>
      <c r="DOF73" s="97"/>
      <c r="DOG73" s="97"/>
      <c r="DOH73" s="97"/>
      <c r="DOI73" s="97"/>
      <c r="DOJ73" s="97"/>
      <c r="DOK73" s="97"/>
      <c r="DOL73" s="97"/>
      <c r="DOM73" s="97"/>
      <c r="DON73" s="97"/>
      <c r="DOO73" s="97"/>
      <c r="DOP73" s="97"/>
      <c r="DOQ73" s="97"/>
      <c r="DOR73" s="97"/>
      <c r="DOS73" s="97"/>
      <c r="DOT73" s="97"/>
      <c r="DOU73" s="97"/>
      <c r="DOV73" s="97"/>
      <c r="DOW73" s="97"/>
      <c r="DOX73" s="97"/>
      <c r="DOY73" s="97"/>
      <c r="DOZ73" s="97"/>
      <c r="DPA73" s="97"/>
      <c r="DPB73" s="97"/>
      <c r="DPC73" s="97"/>
      <c r="DPD73" s="97"/>
      <c r="DPE73" s="97"/>
      <c r="DPF73" s="97"/>
      <c r="DPG73" s="97"/>
      <c r="DPH73" s="97"/>
      <c r="DPI73" s="97"/>
      <c r="DPJ73" s="97"/>
      <c r="DPK73" s="97"/>
      <c r="DPL73" s="97"/>
      <c r="DPM73" s="97"/>
      <c r="DPN73" s="97"/>
      <c r="DPO73" s="97"/>
      <c r="DPP73" s="97"/>
      <c r="DPQ73" s="97"/>
      <c r="DPR73" s="97"/>
      <c r="DPS73" s="97"/>
      <c r="DPT73" s="97"/>
      <c r="DPU73" s="97"/>
      <c r="DPV73" s="97"/>
      <c r="DPW73" s="97"/>
      <c r="DPX73" s="97"/>
      <c r="DPY73" s="97"/>
      <c r="DPZ73" s="97"/>
      <c r="DQA73" s="97"/>
      <c r="DQB73" s="97"/>
      <c r="DQC73" s="97"/>
      <c r="DQD73" s="97"/>
      <c r="DQE73" s="97"/>
      <c r="DQF73" s="97"/>
      <c r="DQG73" s="97"/>
      <c r="DQH73" s="97"/>
      <c r="DQI73" s="97"/>
      <c r="DQJ73" s="97"/>
      <c r="DQK73" s="97"/>
      <c r="DQL73" s="97"/>
      <c r="DQM73" s="97"/>
      <c r="DQN73" s="97"/>
      <c r="DQO73" s="97"/>
      <c r="DQP73" s="97"/>
      <c r="DQQ73" s="97"/>
      <c r="DQR73" s="97"/>
      <c r="DQS73" s="97"/>
      <c r="DQT73" s="97"/>
      <c r="DQU73" s="97"/>
      <c r="DQV73" s="97"/>
      <c r="DQW73" s="97"/>
      <c r="DQX73" s="97"/>
      <c r="DQY73" s="97"/>
      <c r="DQZ73" s="97"/>
      <c r="DRA73" s="97"/>
      <c r="DRB73" s="97"/>
      <c r="DRC73" s="97"/>
      <c r="DRD73" s="97"/>
      <c r="DRE73" s="97"/>
      <c r="DRF73" s="97"/>
      <c r="DRG73" s="97"/>
      <c r="DRH73" s="97"/>
      <c r="DRI73" s="97"/>
      <c r="DRJ73" s="97"/>
      <c r="DRK73" s="97"/>
      <c r="DRL73" s="97"/>
      <c r="DRM73" s="97"/>
      <c r="DRN73" s="97"/>
      <c r="DRO73" s="97"/>
      <c r="DRP73" s="97"/>
      <c r="DRQ73" s="97"/>
      <c r="DRR73" s="97"/>
      <c r="DRS73" s="97"/>
      <c r="DRT73" s="97"/>
      <c r="DRU73" s="97"/>
      <c r="DRV73" s="97"/>
      <c r="DRW73" s="97"/>
      <c r="DRX73" s="97"/>
      <c r="DRY73" s="97"/>
      <c r="DRZ73" s="97"/>
      <c r="DSA73" s="97"/>
      <c r="DSB73" s="97"/>
      <c r="DSC73" s="97"/>
      <c r="DSD73" s="97"/>
      <c r="DSE73" s="97"/>
      <c r="DSF73" s="97"/>
      <c r="DSG73" s="97"/>
      <c r="DSH73" s="97"/>
      <c r="DSI73" s="97"/>
      <c r="DSJ73" s="97"/>
      <c r="DSK73" s="97"/>
      <c r="DSL73" s="97"/>
      <c r="DSM73" s="97"/>
      <c r="DSN73" s="97"/>
      <c r="DSO73" s="97"/>
      <c r="DSP73" s="97"/>
      <c r="DSQ73" s="97"/>
      <c r="DSR73" s="97"/>
      <c r="DSS73" s="97"/>
      <c r="DST73" s="97"/>
      <c r="DSU73" s="97"/>
      <c r="DSV73" s="97"/>
      <c r="DSW73" s="97"/>
      <c r="DSX73" s="97"/>
      <c r="DSY73" s="97"/>
      <c r="DSZ73" s="97"/>
      <c r="DTA73" s="97"/>
      <c r="DTB73" s="97"/>
      <c r="DTC73" s="97"/>
      <c r="DTD73" s="97"/>
      <c r="DTE73" s="97"/>
      <c r="DTF73" s="97"/>
      <c r="DTG73" s="97"/>
      <c r="DTH73" s="97"/>
      <c r="DTI73" s="97"/>
      <c r="DTJ73" s="97"/>
      <c r="DTK73" s="97"/>
      <c r="DTL73" s="97"/>
      <c r="DTM73" s="97"/>
      <c r="DTN73" s="97"/>
      <c r="DTO73" s="97"/>
      <c r="DTP73" s="97"/>
      <c r="DTQ73" s="97"/>
      <c r="DTR73" s="97"/>
      <c r="DTS73" s="97"/>
      <c r="DTT73" s="97"/>
      <c r="DTU73" s="97"/>
      <c r="DTV73" s="97"/>
      <c r="DTW73" s="97"/>
      <c r="DTX73" s="97"/>
      <c r="DTY73" s="97"/>
      <c r="DTZ73" s="97"/>
      <c r="DUA73" s="97"/>
      <c r="DUB73" s="97"/>
      <c r="DUC73" s="97"/>
      <c r="DUD73" s="97"/>
      <c r="DUE73" s="97"/>
      <c r="DUF73" s="97"/>
      <c r="DUG73" s="97"/>
      <c r="DUH73" s="97"/>
      <c r="DUI73" s="97"/>
      <c r="DUJ73" s="97"/>
      <c r="DUK73" s="97"/>
      <c r="DUL73" s="97"/>
      <c r="DUM73" s="97"/>
      <c r="DUN73" s="97"/>
      <c r="DUO73" s="97"/>
      <c r="DUP73" s="97"/>
      <c r="DUQ73" s="97"/>
      <c r="DUR73" s="97"/>
      <c r="DUS73" s="97"/>
      <c r="DUT73" s="97"/>
      <c r="DUU73" s="97"/>
      <c r="DUV73" s="97"/>
      <c r="DUW73" s="97"/>
      <c r="DUX73" s="97"/>
      <c r="DUY73" s="97"/>
      <c r="DUZ73" s="97"/>
      <c r="DVA73" s="97"/>
      <c r="DVB73" s="97"/>
      <c r="DVC73" s="97"/>
      <c r="DVD73" s="97"/>
      <c r="DVE73" s="97"/>
      <c r="DVF73" s="97"/>
      <c r="DVG73" s="97"/>
      <c r="DVH73" s="97"/>
      <c r="DVI73" s="97"/>
      <c r="DVJ73" s="97"/>
      <c r="DVK73" s="97"/>
      <c r="DVL73" s="97"/>
      <c r="DVM73" s="97"/>
      <c r="DVN73" s="97"/>
      <c r="DVO73" s="97"/>
      <c r="DVP73" s="97"/>
      <c r="DVQ73" s="97"/>
      <c r="DVR73" s="97"/>
      <c r="DVS73" s="97"/>
      <c r="DVT73" s="97"/>
      <c r="DVU73" s="97"/>
      <c r="DVV73" s="97"/>
      <c r="DVW73" s="97"/>
      <c r="DVX73" s="97"/>
      <c r="DVY73" s="97"/>
      <c r="DVZ73" s="97"/>
      <c r="DWA73" s="97"/>
      <c r="DWB73" s="97"/>
      <c r="DWC73" s="97"/>
      <c r="DWD73" s="97"/>
      <c r="DWE73" s="97"/>
      <c r="DWF73" s="97"/>
      <c r="DWG73" s="97"/>
      <c r="DWH73" s="97"/>
      <c r="DWI73" s="97"/>
      <c r="DWJ73" s="97"/>
      <c r="DWK73" s="97"/>
      <c r="DWL73" s="97"/>
      <c r="DWM73" s="97"/>
      <c r="DWN73" s="97"/>
      <c r="DWO73" s="97"/>
      <c r="DWP73" s="97"/>
      <c r="DWQ73" s="97"/>
      <c r="DWR73" s="97"/>
      <c r="DWS73" s="97"/>
      <c r="DWT73" s="97"/>
      <c r="DWU73" s="97"/>
      <c r="DWV73" s="97"/>
      <c r="DWW73" s="97"/>
      <c r="DWX73" s="97"/>
      <c r="DWY73" s="97"/>
      <c r="DWZ73" s="97"/>
      <c r="DXA73" s="97"/>
      <c r="DXB73" s="97"/>
      <c r="DXC73" s="97"/>
      <c r="DXD73" s="97"/>
      <c r="DXE73" s="97"/>
      <c r="DXF73" s="97"/>
      <c r="DXG73" s="97"/>
      <c r="DXH73" s="97"/>
      <c r="DXI73" s="97"/>
      <c r="DXJ73" s="97"/>
      <c r="DXK73" s="97"/>
      <c r="DXL73" s="97"/>
      <c r="DXM73" s="97"/>
      <c r="DXN73" s="97"/>
      <c r="DXO73" s="97"/>
      <c r="DXP73" s="97"/>
      <c r="DXQ73" s="97"/>
      <c r="DXR73" s="97"/>
      <c r="DXS73" s="97"/>
      <c r="DXT73" s="97"/>
      <c r="DXU73" s="97"/>
      <c r="DXV73" s="97"/>
      <c r="DXW73" s="97"/>
      <c r="DXX73" s="97"/>
      <c r="DXY73" s="97"/>
      <c r="DXZ73" s="97"/>
      <c r="DYA73" s="97"/>
      <c r="DYB73" s="97"/>
      <c r="DYC73" s="97"/>
      <c r="DYD73" s="97"/>
      <c r="DYE73" s="97"/>
      <c r="DYF73" s="97"/>
      <c r="DYG73" s="97"/>
      <c r="DYH73" s="97"/>
      <c r="DYI73" s="97"/>
      <c r="DYJ73" s="97"/>
      <c r="DYK73" s="97"/>
      <c r="DYL73" s="97"/>
      <c r="DYM73" s="97"/>
      <c r="DYN73" s="97"/>
      <c r="DYO73" s="97"/>
      <c r="DYP73" s="97"/>
      <c r="DYQ73" s="97"/>
      <c r="DYR73" s="97"/>
      <c r="DYS73" s="97"/>
      <c r="DYT73" s="97"/>
      <c r="DYU73" s="97"/>
      <c r="DYV73" s="97"/>
      <c r="DYW73" s="97"/>
      <c r="DYX73" s="97"/>
      <c r="DYY73" s="97"/>
      <c r="DYZ73" s="97"/>
      <c r="DZA73" s="97"/>
      <c r="DZB73" s="97"/>
      <c r="DZC73" s="97"/>
      <c r="DZD73" s="97"/>
      <c r="DZE73" s="97"/>
      <c r="DZF73" s="97"/>
      <c r="DZG73" s="97"/>
      <c r="DZH73" s="97"/>
      <c r="DZI73" s="97"/>
      <c r="DZJ73" s="97"/>
      <c r="DZK73" s="97"/>
      <c r="DZL73" s="97"/>
      <c r="DZM73" s="97"/>
      <c r="DZN73" s="97"/>
      <c r="DZO73" s="97"/>
      <c r="DZP73" s="97"/>
      <c r="DZQ73" s="97"/>
      <c r="DZR73" s="97"/>
      <c r="DZS73" s="97"/>
      <c r="DZT73" s="97"/>
      <c r="DZU73" s="97"/>
      <c r="DZV73" s="97"/>
      <c r="DZW73" s="97"/>
      <c r="DZX73" s="97"/>
      <c r="DZY73" s="97"/>
      <c r="DZZ73" s="97"/>
      <c r="EAA73" s="97"/>
      <c r="EAB73" s="97"/>
      <c r="EAC73" s="97"/>
      <c r="EAD73" s="97"/>
      <c r="EAE73" s="97"/>
      <c r="EAF73" s="97"/>
      <c r="EAG73" s="97"/>
      <c r="EAH73" s="97"/>
      <c r="EAI73" s="97"/>
      <c r="EAJ73" s="97"/>
      <c r="EAK73" s="97"/>
      <c r="EAL73" s="97"/>
      <c r="EAM73" s="97"/>
      <c r="EAN73" s="97"/>
      <c r="EAO73" s="97"/>
      <c r="EAP73" s="97"/>
      <c r="EAQ73" s="97"/>
      <c r="EAR73" s="97"/>
      <c r="EAS73" s="97"/>
      <c r="EAT73" s="97"/>
      <c r="EAU73" s="97"/>
      <c r="EAV73" s="97"/>
      <c r="EAW73" s="97"/>
      <c r="EAX73" s="97"/>
      <c r="EAY73" s="97"/>
      <c r="EAZ73" s="97"/>
      <c r="EBA73" s="97"/>
      <c r="EBB73" s="97"/>
      <c r="EBC73" s="97"/>
      <c r="EBD73" s="97"/>
      <c r="EBE73" s="97"/>
      <c r="EBF73" s="97"/>
      <c r="EBG73" s="97"/>
      <c r="EBH73" s="97"/>
      <c r="EBI73" s="97"/>
      <c r="EBJ73" s="97"/>
      <c r="EBK73" s="97"/>
      <c r="EBL73" s="97"/>
      <c r="EBM73" s="97"/>
      <c r="EBN73" s="97"/>
      <c r="EBO73" s="97"/>
      <c r="EBP73" s="97"/>
      <c r="EBQ73" s="97"/>
      <c r="EBR73" s="97"/>
      <c r="EBS73" s="97"/>
      <c r="EBT73" s="97"/>
      <c r="EBU73" s="97"/>
      <c r="EBV73" s="97"/>
      <c r="EBW73" s="97"/>
      <c r="EBX73" s="97"/>
      <c r="EBY73" s="97"/>
      <c r="EBZ73" s="97"/>
      <c r="ECA73" s="97"/>
      <c r="ECB73" s="97"/>
      <c r="ECC73" s="97"/>
      <c r="ECD73" s="97"/>
      <c r="ECE73" s="97"/>
      <c r="ECF73" s="97"/>
      <c r="ECG73" s="97"/>
      <c r="ECH73" s="97"/>
      <c r="ECI73" s="97"/>
      <c r="ECJ73" s="97"/>
      <c r="ECK73" s="97"/>
      <c r="ECL73" s="97"/>
      <c r="ECM73" s="97"/>
      <c r="ECN73" s="97"/>
      <c r="ECO73" s="97"/>
      <c r="ECP73" s="97"/>
      <c r="ECQ73" s="97"/>
      <c r="ECR73" s="97"/>
      <c r="ECS73" s="97"/>
      <c r="ECT73" s="97"/>
      <c r="ECU73" s="97"/>
      <c r="ECV73" s="97"/>
      <c r="ECW73" s="97"/>
      <c r="ECX73" s="97"/>
      <c r="ECY73" s="97"/>
      <c r="ECZ73" s="97"/>
      <c r="EDA73" s="97"/>
      <c r="EDB73" s="97"/>
      <c r="EDC73" s="97"/>
      <c r="EDD73" s="97"/>
      <c r="EDE73" s="97"/>
      <c r="EDF73" s="97"/>
      <c r="EDG73" s="97"/>
      <c r="EDH73" s="97"/>
      <c r="EDI73" s="97"/>
      <c r="EDJ73" s="97"/>
      <c r="EDK73" s="97"/>
      <c r="EDL73" s="97"/>
      <c r="EDM73" s="97"/>
      <c r="EDN73" s="97"/>
      <c r="EDO73" s="97"/>
      <c r="EDP73" s="97"/>
      <c r="EDQ73" s="97"/>
      <c r="EDR73" s="97"/>
      <c r="EDS73" s="97"/>
      <c r="EDT73" s="97"/>
      <c r="EDU73" s="97"/>
      <c r="EDV73" s="97"/>
      <c r="EDW73" s="97"/>
      <c r="EDX73" s="97"/>
      <c r="EDY73" s="97"/>
      <c r="EDZ73" s="97"/>
      <c r="EEA73" s="97"/>
      <c r="EEB73" s="97"/>
      <c r="EEC73" s="97"/>
      <c r="EED73" s="97"/>
      <c r="EEE73" s="97"/>
      <c r="EEF73" s="97"/>
      <c r="EEG73" s="97"/>
      <c r="EEH73" s="97"/>
      <c r="EEI73" s="97"/>
      <c r="EEJ73" s="97"/>
      <c r="EEK73" s="97"/>
      <c r="EEL73" s="97"/>
      <c r="EEM73" s="97"/>
      <c r="EEN73" s="97"/>
      <c r="EEO73" s="97"/>
      <c r="EEP73" s="97"/>
      <c r="EEQ73" s="97"/>
      <c r="EER73" s="97"/>
      <c r="EES73" s="97"/>
      <c r="EET73" s="97"/>
      <c r="EEU73" s="97"/>
      <c r="EEV73" s="97"/>
      <c r="EEW73" s="97"/>
      <c r="EEX73" s="97"/>
      <c r="EEY73" s="97"/>
      <c r="EEZ73" s="97"/>
      <c r="EFA73" s="97"/>
      <c r="EFB73" s="97"/>
      <c r="EFC73" s="97"/>
      <c r="EFD73" s="97"/>
      <c r="EFE73" s="97"/>
      <c r="EFF73" s="97"/>
      <c r="EFG73" s="97"/>
      <c r="EFH73" s="97"/>
      <c r="EFI73" s="97"/>
      <c r="EFJ73" s="97"/>
      <c r="EFK73" s="97"/>
      <c r="EFL73" s="97"/>
      <c r="EFM73" s="97"/>
      <c r="EFN73" s="97"/>
      <c r="EFO73" s="97"/>
      <c r="EFP73" s="97"/>
      <c r="EFQ73" s="97"/>
      <c r="EFR73" s="97"/>
      <c r="EFS73" s="97"/>
      <c r="EFT73" s="97"/>
      <c r="EFU73" s="97"/>
      <c r="EFV73" s="97"/>
      <c r="EFW73" s="97"/>
      <c r="EFX73" s="97"/>
      <c r="EFY73" s="97"/>
      <c r="EFZ73" s="97"/>
      <c r="EGA73" s="97"/>
      <c r="EGB73" s="97"/>
      <c r="EGC73" s="97"/>
      <c r="EGD73" s="97"/>
      <c r="EGE73" s="97"/>
      <c r="EGF73" s="97"/>
      <c r="EGG73" s="97"/>
      <c r="EGH73" s="97"/>
      <c r="EGI73" s="97"/>
      <c r="EGJ73" s="97"/>
      <c r="EGK73" s="97"/>
      <c r="EGL73" s="97"/>
      <c r="EGM73" s="97"/>
      <c r="EGN73" s="97"/>
      <c r="EGO73" s="97"/>
      <c r="EGP73" s="97"/>
      <c r="EGQ73" s="97"/>
      <c r="EGR73" s="97"/>
      <c r="EGS73" s="97"/>
      <c r="EGT73" s="97"/>
      <c r="EGU73" s="97"/>
      <c r="EGV73" s="97"/>
      <c r="EGW73" s="97"/>
      <c r="EGX73" s="97"/>
      <c r="EGY73" s="97"/>
      <c r="EGZ73" s="97"/>
      <c r="EHA73" s="97"/>
      <c r="EHB73" s="97"/>
      <c r="EHC73" s="97"/>
      <c r="EHD73" s="97"/>
      <c r="EHE73" s="97"/>
      <c r="EHF73" s="97"/>
      <c r="EHG73" s="97"/>
      <c r="EHH73" s="97"/>
      <c r="EHI73" s="97"/>
      <c r="EHJ73" s="97"/>
      <c r="EHK73" s="97"/>
      <c r="EHL73" s="97"/>
      <c r="EHM73" s="97"/>
      <c r="EHN73" s="97"/>
      <c r="EHO73" s="97"/>
      <c r="EHP73" s="97"/>
      <c r="EHQ73" s="97"/>
      <c r="EHR73" s="97"/>
      <c r="EHS73" s="97"/>
      <c r="EHT73" s="97"/>
      <c r="EHU73" s="97"/>
      <c r="EHV73" s="97"/>
      <c r="EHW73" s="97"/>
      <c r="EHX73" s="97"/>
      <c r="EHY73" s="97"/>
      <c r="EHZ73" s="97"/>
      <c r="EIA73" s="97"/>
      <c r="EIB73" s="97"/>
      <c r="EIC73" s="97"/>
      <c r="EID73" s="97"/>
      <c r="EIE73" s="97"/>
      <c r="EIF73" s="97"/>
      <c r="EIG73" s="97"/>
      <c r="EIH73" s="97"/>
      <c r="EII73" s="97"/>
      <c r="EIJ73" s="97"/>
      <c r="EIK73" s="97"/>
      <c r="EIL73" s="97"/>
      <c r="EIM73" s="97"/>
      <c r="EIN73" s="97"/>
      <c r="EIO73" s="97"/>
      <c r="EIP73" s="97"/>
      <c r="EIQ73" s="97"/>
      <c r="EIR73" s="97"/>
      <c r="EIS73" s="97"/>
      <c r="EIT73" s="97"/>
      <c r="EIU73" s="97"/>
      <c r="EIV73" s="97"/>
      <c r="EIW73" s="97"/>
      <c r="EIX73" s="97"/>
      <c r="EIY73" s="97"/>
      <c r="EIZ73" s="97"/>
      <c r="EJA73" s="97"/>
      <c r="EJB73" s="97"/>
      <c r="EJC73" s="97"/>
      <c r="EJD73" s="97"/>
      <c r="EJE73" s="97"/>
      <c r="EJF73" s="97"/>
      <c r="EJG73" s="97"/>
      <c r="EJH73" s="97"/>
      <c r="EJI73" s="97"/>
      <c r="EJJ73" s="97"/>
      <c r="EJK73" s="97"/>
      <c r="EJL73" s="97"/>
      <c r="EJM73" s="97"/>
      <c r="EJN73" s="97"/>
      <c r="EJO73" s="97"/>
      <c r="EJP73" s="97"/>
      <c r="EJQ73" s="97"/>
      <c r="EJR73" s="97"/>
      <c r="EJS73" s="97"/>
      <c r="EJT73" s="97"/>
      <c r="EJU73" s="97"/>
      <c r="EJV73" s="97"/>
      <c r="EJW73" s="97"/>
      <c r="EJX73" s="97"/>
      <c r="EJY73" s="97"/>
      <c r="EJZ73" s="97"/>
      <c r="EKA73" s="97"/>
      <c r="EKB73" s="97"/>
      <c r="EKC73" s="97"/>
      <c r="EKD73" s="97"/>
      <c r="EKE73" s="97"/>
      <c r="EKF73" s="97"/>
      <c r="EKG73" s="97"/>
      <c r="EKH73" s="97"/>
      <c r="EKI73" s="97"/>
      <c r="EKJ73" s="97"/>
      <c r="EKK73" s="97"/>
      <c r="EKL73" s="97"/>
      <c r="EKM73" s="97"/>
      <c r="EKN73" s="97"/>
      <c r="EKO73" s="97"/>
      <c r="EKP73" s="97"/>
      <c r="EKQ73" s="97"/>
      <c r="EKR73" s="97"/>
      <c r="EKS73" s="97"/>
      <c r="EKT73" s="97"/>
      <c r="EKU73" s="97"/>
      <c r="EKV73" s="97"/>
      <c r="EKW73" s="97"/>
      <c r="EKX73" s="97"/>
      <c r="EKY73" s="97"/>
      <c r="EKZ73" s="97"/>
      <c r="ELA73" s="97"/>
      <c r="ELB73" s="97"/>
      <c r="ELC73" s="97"/>
      <c r="ELD73" s="97"/>
      <c r="ELE73" s="97"/>
      <c r="ELF73" s="97"/>
      <c r="ELG73" s="97"/>
      <c r="ELH73" s="97"/>
      <c r="ELI73" s="97"/>
      <c r="ELJ73" s="97"/>
      <c r="ELK73" s="97"/>
      <c r="ELL73" s="97"/>
      <c r="ELM73" s="97"/>
      <c r="ELN73" s="97"/>
      <c r="ELO73" s="97"/>
      <c r="ELP73" s="97"/>
      <c r="ELQ73" s="97"/>
      <c r="ELR73" s="97"/>
      <c r="ELS73" s="97"/>
      <c r="ELT73" s="97"/>
      <c r="ELU73" s="97"/>
      <c r="ELV73" s="97"/>
      <c r="ELW73" s="97"/>
      <c r="ELX73" s="97"/>
      <c r="ELY73" s="97"/>
      <c r="ELZ73" s="97"/>
      <c r="EMA73" s="97"/>
      <c r="EMB73" s="97"/>
      <c r="EMC73" s="97"/>
      <c r="EMD73" s="97"/>
      <c r="EME73" s="97"/>
      <c r="EMF73" s="97"/>
      <c r="EMG73" s="97"/>
      <c r="EMH73" s="97"/>
      <c r="EMI73" s="97"/>
      <c r="EMJ73" s="97"/>
      <c r="EMK73" s="97"/>
      <c r="EML73" s="97"/>
      <c r="EMM73" s="97"/>
      <c r="EMN73" s="97"/>
      <c r="EMO73" s="97"/>
      <c r="EMP73" s="97"/>
      <c r="EMQ73" s="97"/>
      <c r="EMR73" s="97"/>
      <c r="EMS73" s="97"/>
      <c r="EMT73" s="97"/>
      <c r="EMU73" s="97"/>
      <c r="EMV73" s="97"/>
      <c r="EMW73" s="97"/>
      <c r="EMX73" s="97"/>
      <c r="EMY73" s="97"/>
      <c r="EMZ73" s="97"/>
      <c r="ENA73" s="97"/>
      <c r="ENB73" s="97"/>
      <c r="ENC73" s="97"/>
      <c r="END73" s="97"/>
      <c r="ENE73" s="97"/>
      <c r="ENF73" s="97"/>
      <c r="ENG73" s="97"/>
      <c r="ENH73" s="97"/>
      <c r="ENI73" s="97"/>
      <c r="ENJ73" s="97"/>
      <c r="ENK73" s="97"/>
      <c r="ENL73" s="97"/>
      <c r="ENM73" s="97"/>
      <c r="ENN73" s="97"/>
      <c r="ENO73" s="97"/>
      <c r="ENP73" s="97"/>
      <c r="ENQ73" s="97"/>
      <c r="ENR73" s="97"/>
      <c r="ENS73" s="97"/>
      <c r="ENT73" s="97"/>
      <c r="ENU73" s="97"/>
      <c r="ENV73" s="97"/>
      <c r="ENW73" s="97"/>
      <c r="ENX73" s="97"/>
      <c r="ENY73" s="97"/>
      <c r="ENZ73" s="97"/>
      <c r="EOA73" s="97"/>
      <c r="EOB73" s="97"/>
      <c r="EOC73" s="97"/>
      <c r="EOD73" s="97"/>
      <c r="EOE73" s="97"/>
      <c r="EOF73" s="97"/>
      <c r="EOG73" s="97"/>
      <c r="EOH73" s="97"/>
      <c r="EOI73" s="97"/>
      <c r="EOJ73" s="97"/>
      <c r="EOK73" s="97"/>
      <c r="EOL73" s="97"/>
      <c r="EOM73" s="97"/>
      <c r="EON73" s="97"/>
      <c r="EOO73" s="97"/>
      <c r="EOP73" s="97"/>
      <c r="EOQ73" s="97"/>
      <c r="EOR73" s="97"/>
      <c r="EOS73" s="97"/>
      <c r="EOT73" s="97"/>
      <c r="EOU73" s="97"/>
      <c r="EOV73" s="97"/>
      <c r="EOW73" s="97"/>
      <c r="EOX73" s="97"/>
      <c r="EOY73" s="97"/>
      <c r="EOZ73" s="97"/>
      <c r="EPA73" s="97"/>
      <c r="EPB73" s="97"/>
      <c r="EPC73" s="97"/>
      <c r="EPD73" s="97"/>
      <c r="EPE73" s="97"/>
      <c r="EPF73" s="97"/>
      <c r="EPG73" s="97"/>
      <c r="EPH73" s="97"/>
      <c r="EPI73" s="97"/>
      <c r="EPJ73" s="97"/>
      <c r="EPK73" s="97"/>
      <c r="EPL73" s="97"/>
      <c r="EPM73" s="97"/>
      <c r="EPN73" s="97"/>
      <c r="EPO73" s="97"/>
      <c r="EPP73" s="97"/>
      <c r="EPQ73" s="97"/>
      <c r="EPR73" s="97"/>
      <c r="EPS73" s="97"/>
      <c r="EPT73" s="97"/>
      <c r="EPU73" s="97"/>
      <c r="EPV73" s="97"/>
      <c r="EPW73" s="97"/>
      <c r="EPX73" s="97"/>
      <c r="EPY73" s="97"/>
      <c r="EPZ73" s="97"/>
      <c r="EQA73" s="97"/>
      <c r="EQB73" s="97"/>
      <c r="EQC73" s="97"/>
      <c r="EQD73" s="97"/>
      <c r="EQE73" s="97"/>
      <c r="EQF73" s="97"/>
      <c r="EQG73" s="97"/>
      <c r="EQH73" s="97"/>
      <c r="EQI73" s="97"/>
      <c r="EQJ73" s="97"/>
      <c r="EQK73" s="97"/>
      <c r="EQL73" s="97"/>
      <c r="EQM73" s="97"/>
      <c r="EQN73" s="97"/>
      <c r="EQO73" s="97"/>
      <c r="EQP73" s="97"/>
      <c r="EQQ73" s="97"/>
      <c r="EQR73" s="97"/>
      <c r="EQS73" s="97"/>
      <c r="EQT73" s="97"/>
      <c r="EQU73" s="97"/>
      <c r="EQV73" s="97"/>
      <c r="EQW73" s="97"/>
      <c r="EQX73" s="97"/>
      <c r="EQY73" s="97"/>
      <c r="EQZ73" s="97"/>
      <c r="ERA73" s="97"/>
      <c r="ERB73" s="97"/>
      <c r="ERC73" s="97"/>
      <c r="ERD73" s="97"/>
      <c r="ERE73" s="97"/>
      <c r="ERF73" s="97"/>
      <c r="ERG73" s="97"/>
      <c r="ERH73" s="97"/>
      <c r="ERI73" s="97"/>
      <c r="ERJ73" s="97"/>
      <c r="ERK73" s="97"/>
      <c r="ERL73" s="97"/>
      <c r="ERM73" s="97"/>
      <c r="ERN73" s="97"/>
      <c r="ERO73" s="97"/>
      <c r="ERP73" s="97"/>
      <c r="ERQ73" s="97"/>
      <c r="ERR73" s="97"/>
      <c r="ERS73" s="97"/>
      <c r="ERT73" s="97"/>
      <c r="ERU73" s="97"/>
      <c r="ERV73" s="97"/>
      <c r="ERW73" s="97"/>
      <c r="ERX73" s="97"/>
      <c r="ERY73" s="97"/>
      <c r="ERZ73" s="97"/>
      <c r="ESA73" s="97"/>
      <c r="ESB73" s="97"/>
      <c r="ESC73" s="97"/>
      <c r="ESD73" s="97"/>
      <c r="ESE73" s="97"/>
      <c r="ESF73" s="97"/>
      <c r="ESG73" s="97"/>
      <c r="ESH73" s="97"/>
      <c r="ESI73" s="97"/>
      <c r="ESJ73" s="97"/>
      <c r="ESK73" s="97"/>
      <c r="ESL73" s="97"/>
      <c r="ESM73" s="97"/>
      <c r="ESN73" s="97"/>
      <c r="ESO73" s="97"/>
      <c r="ESP73" s="97"/>
      <c r="ESQ73" s="97"/>
      <c r="ESR73" s="97"/>
      <c r="ESS73" s="97"/>
      <c r="EST73" s="97"/>
      <c r="ESU73" s="97"/>
      <c r="ESV73" s="97"/>
      <c r="ESW73" s="97"/>
      <c r="ESX73" s="97"/>
      <c r="ESY73" s="97"/>
      <c r="ESZ73" s="97"/>
      <c r="ETA73" s="97"/>
      <c r="ETB73" s="97"/>
      <c r="ETC73" s="97"/>
      <c r="ETD73" s="97"/>
      <c r="ETE73" s="97"/>
      <c r="ETF73" s="97"/>
      <c r="ETG73" s="97"/>
      <c r="ETH73" s="97"/>
      <c r="ETI73" s="97"/>
      <c r="ETJ73" s="97"/>
      <c r="ETK73" s="97"/>
      <c r="ETL73" s="97"/>
      <c r="ETM73" s="97"/>
      <c r="ETN73" s="97"/>
      <c r="ETO73" s="97"/>
      <c r="ETP73" s="97"/>
      <c r="ETQ73" s="97"/>
      <c r="ETR73" s="97"/>
      <c r="ETS73" s="97"/>
      <c r="ETT73" s="97"/>
      <c r="ETU73" s="97"/>
      <c r="ETV73" s="97"/>
      <c r="ETW73" s="97"/>
      <c r="ETX73" s="97"/>
      <c r="ETY73" s="97"/>
      <c r="ETZ73" s="97"/>
      <c r="EUA73" s="97"/>
      <c r="EUB73" s="97"/>
      <c r="EUC73" s="97"/>
      <c r="EUD73" s="97"/>
      <c r="EUE73" s="97"/>
      <c r="EUF73" s="97"/>
      <c r="EUG73" s="97"/>
      <c r="EUH73" s="97"/>
      <c r="EUI73" s="97"/>
      <c r="EUJ73" s="97"/>
      <c r="EUK73" s="97"/>
      <c r="EUL73" s="97"/>
      <c r="EUM73" s="97"/>
      <c r="EUN73" s="97"/>
      <c r="EUO73" s="97"/>
      <c r="EUP73" s="97"/>
      <c r="EUQ73" s="97"/>
      <c r="EUR73" s="97"/>
      <c r="EUS73" s="97"/>
      <c r="EUT73" s="97"/>
      <c r="EUU73" s="97"/>
      <c r="EUV73" s="97"/>
      <c r="EUW73" s="97"/>
      <c r="EUX73" s="97"/>
      <c r="EUY73" s="97"/>
      <c r="EUZ73" s="97"/>
      <c r="EVA73" s="97"/>
      <c r="EVB73" s="97"/>
      <c r="EVC73" s="97"/>
      <c r="EVD73" s="97"/>
      <c r="EVE73" s="97"/>
      <c r="EVF73" s="97"/>
      <c r="EVG73" s="97"/>
      <c r="EVH73" s="97"/>
      <c r="EVI73" s="97"/>
      <c r="EVJ73" s="97"/>
      <c r="EVK73" s="97"/>
      <c r="EVL73" s="97"/>
      <c r="EVM73" s="97"/>
      <c r="EVN73" s="97"/>
      <c r="EVO73" s="97"/>
      <c r="EVP73" s="97"/>
      <c r="EVQ73" s="97"/>
      <c r="EVR73" s="97"/>
      <c r="EVS73" s="97"/>
      <c r="EVT73" s="97"/>
      <c r="EVU73" s="97"/>
      <c r="EVV73" s="97"/>
      <c r="EVW73" s="97"/>
      <c r="EVX73" s="97"/>
      <c r="EVY73" s="97"/>
      <c r="EVZ73" s="97"/>
      <c r="EWA73" s="97"/>
      <c r="EWB73" s="97"/>
      <c r="EWC73" s="97"/>
      <c r="EWD73" s="97"/>
      <c r="EWE73" s="97"/>
      <c r="EWF73" s="97"/>
      <c r="EWG73" s="97"/>
      <c r="EWH73" s="97"/>
      <c r="EWI73" s="97"/>
      <c r="EWJ73" s="97"/>
      <c r="EWK73" s="97"/>
      <c r="EWL73" s="97"/>
      <c r="EWM73" s="97"/>
      <c r="EWN73" s="97"/>
      <c r="EWO73" s="97"/>
      <c r="EWP73" s="97"/>
      <c r="EWQ73" s="97"/>
      <c r="EWR73" s="97"/>
      <c r="EWS73" s="97"/>
      <c r="EWT73" s="97"/>
      <c r="EWU73" s="97"/>
      <c r="EWV73" s="97"/>
      <c r="EWW73" s="97"/>
      <c r="EWX73" s="97"/>
      <c r="EWY73" s="97"/>
      <c r="EWZ73" s="97"/>
      <c r="EXA73" s="97"/>
      <c r="EXB73" s="97"/>
      <c r="EXC73" s="97"/>
      <c r="EXD73" s="97"/>
      <c r="EXE73" s="97"/>
      <c r="EXF73" s="97"/>
      <c r="EXG73" s="97"/>
      <c r="EXH73" s="97"/>
      <c r="EXI73" s="97"/>
      <c r="EXJ73" s="97"/>
      <c r="EXK73" s="97"/>
      <c r="EXL73" s="97"/>
      <c r="EXM73" s="97"/>
      <c r="EXN73" s="97"/>
      <c r="EXO73" s="97"/>
      <c r="EXP73" s="97"/>
      <c r="EXQ73" s="97"/>
      <c r="EXR73" s="97"/>
      <c r="EXS73" s="97"/>
      <c r="EXT73" s="97"/>
      <c r="EXU73" s="97"/>
      <c r="EXV73" s="97"/>
      <c r="EXW73" s="97"/>
      <c r="EXX73" s="97"/>
      <c r="EXY73" s="97"/>
      <c r="EXZ73" s="97"/>
      <c r="EYA73" s="97"/>
      <c r="EYB73" s="97"/>
      <c r="EYC73" s="97"/>
      <c r="EYD73" s="97"/>
      <c r="EYE73" s="97"/>
      <c r="EYF73" s="97"/>
      <c r="EYG73" s="97"/>
      <c r="EYH73" s="97"/>
      <c r="EYI73" s="97"/>
      <c r="EYJ73" s="97"/>
      <c r="EYK73" s="97"/>
      <c r="EYL73" s="97"/>
      <c r="EYM73" s="97"/>
      <c r="EYN73" s="97"/>
      <c r="EYO73" s="97"/>
      <c r="EYP73" s="97"/>
      <c r="EYQ73" s="97"/>
      <c r="EYR73" s="97"/>
      <c r="EYS73" s="97"/>
      <c r="EYT73" s="97"/>
      <c r="EYU73" s="97"/>
      <c r="EYV73" s="97"/>
      <c r="EYW73" s="97"/>
      <c r="EYX73" s="97"/>
      <c r="EYY73" s="97"/>
      <c r="EYZ73" s="97"/>
      <c r="EZA73" s="97"/>
      <c r="EZB73" s="97"/>
      <c r="EZC73" s="97"/>
      <c r="EZD73" s="97"/>
      <c r="EZE73" s="97"/>
      <c r="EZF73" s="97"/>
      <c r="EZG73" s="97"/>
      <c r="EZH73" s="97"/>
      <c r="EZI73" s="97"/>
      <c r="EZJ73" s="97"/>
      <c r="EZK73" s="97"/>
      <c r="EZL73" s="97"/>
      <c r="EZM73" s="97"/>
      <c r="EZN73" s="97"/>
      <c r="EZO73" s="97"/>
      <c r="EZP73" s="97"/>
      <c r="EZQ73" s="97"/>
      <c r="EZR73" s="97"/>
      <c r="EZS73" s="97"/>
      <c r="EZT73" s="97"/>
      <c r="EZU73" s="97"/>
      <c r="EZV73" s="97"/>
      <c r="EZW73" s="97"/>
      <c r="EZX73" s="97"/>
      <c r="EZY73" s="97"/>
      <c r="EZZ73" s="97"/>
      <c r="FAA73" s="97"/>
      <c r="FAB73" s="97"/>
      <c r="FAC73" s="97"/>
      <c r="FAD73" s="97"/>
      <c r="FAE73" s="97"/>
      <c r="FAF73" s="97"/>
      <c r="FAG73" s="97"/>
      <c r="FAH73" s="97"/>
      <c r="FAI73" s="97"/>
      <c r="FAJ73" s="97"/>
      <c r="FAK73" s="97"/>
      <c r="FAL73" s="97"/>
      <c r="FAM73" s="97"/>
      <c r="FAN73" s="97"/>
      <c r="FAO73" s="97"/>
      <c r="FAP73" s="97"/>
      <c r="FAQ73" s="97"/>
      <c r="FAR73" s="97"/>
      <c r="FAS73" s="97"/>
      <c r="FAT73" s="97"/>
      <c r="FAU73" s="97"/>
      <c r="FAV73" s="97"/>
      <c r="FAW73" s="97"/>
      <c r="FAX73" s="97"/>
      <c r="FAY73" s="97"/>
      <c r="FAZ73" s="97"/>
      <c r="FBA73" s="97"/>
      <c r="FBB73" s="97"/>
      <c r="FBC73" s="97"/>
      <c r="FBD73" s="97"/>
      <c r="FBE73" s="97"/>
      <c r="FBF73" s="97"/>
      <c r="FBG73" s="97"/>
      <c r="FBH73" s="97"/>
      <c r="FBI73" s="97"/>
      <c r="FBJ73" s="97"/>
      <c r="FBK73" s="97"/>
      <c r="FBL73" s="97"/>
      <c r="FBM73" s="97"/>
      <c r="FBN73" s="97"/>
      <c r="FBO73" s="97"/>
      <c r="FBP73" s="97"/>
      <c r="FBQ73" s="97"/>
      <c r="FBR73" s="97"/>
      <c r="FBS73" s="97"/>
      <c r="FBT73" s="97"/>
      <c r="FBU73" s="97"/>
      <c r="FBV73" s="97"/>
      <c r="FBW73" s="97"/>
      <c r="FBX73" s="97"/>
      <c r="FBY73" s="97"/>
      <c r="FBZ73" s="97"/>
      <c r="FCA73" s="97"/>
      <c r="FCB73" s="97"/>
      <c r="FCC73" s="97"/>
      <c r="FCD73" s="97"/>
      <c r="FCE73" s="97"/>
      <c r="FCF73" s="97"/>
      <c r="FCG73" s="97"/>
      <c r="FCH73" s="97"/>
      <c r="FCI73" s="97"/>
      <c r="FCJ73" s="97"/>
      <c r="FCK73" s="97"/>
      <c r="FCL73" s="97"/>
      <c r="FCM73" s="97"/>
      <c r="FCN73" s="97"/>
      <c r="FCO73" s="97"/>
      <c r="FCP73" s="97"/>
      <c r="FCQ73" s="97"/>
      <c r="FCR73" s="97"/>
      <c r="FCS73" s="97"/>
      <c r="FCT73" s="97"/>
      <c r="FCU73" s="97"/>
      <c r="FCV73" s="97"/>
      <c r="FCW73" s="97"/>
      <c r="FCX73" s="97"/>
      <c r="FCY73" s="97"/>
      <c r="FCZ73" s="97"/>
      <c r="FDA73" s="97"/>
      <c r="FDB73" s="97"/>
      <c r="FDC73" s="97"/>
      <c r="FDD73" s="97"/>
      <c r="FDE73" s="97"/>
      <c r="FDF73" s="97"/>
      <c r="FDG73" s="97"/>
      <c r="FDH73" s="97"/>
      <c r="FDI73" s="97"/>
      <c r="FDJ73" s="97"/>
      <c r="FDK73" s="97"/>
      <c r="FDL73" s="97"/>
      <c r="FDM73" s="97"/>
      <c r="FDN73" s="97"/>
      <c r="FDO73" s="97"/>
      <c r="FDP73" s="97"/>
      <c r="FDQ73" s="97"/>
      <c r="FDR73" s="97"/>
      <c r="FDS73" s="97"/>
      <c r="FDT73" s="97"/>
      <c r="FDU73" s="97"/>
      <c r="FDV73" s="97"/>
      <c r="FDW73" s="97"/>
      <c r="FDX73" s="97"/>
      <c r="FDY73" s="97"/>
      <c r="FDZ73" s="97"/>
      <c r="FEA73" s="97"/>
      <c r="FEB73" s="97"/>
      <c r="FEC73" s="97"/>
      <c r="FED73" s="97"/>
      <c r="FEE73" s="97"/>
      <c r="FEF73" s="97"/>
      <c r="FEG73" s="97"/>
      <c r="FEH73" s="97"/>
      <c r="FEI73" s="97"/>
      <c r="FEJ73" s="97"/>
      <c r="FEK73" s="97"/>
      <c r="FEL73" s="97"/>
      <c r="FEM73" s="97"/>
      <c r="FEN73" s="97"/>
      <c r="FEO73" s="97"/>
      <c r="FEP73" s="97"/>
      <c r="FEQ73" s="97"/>
      <c r="FER73" s="97"/>
      <c r="FES73" s="97"/>
      <c r="FET73" s="97"/>
      <c r="FEU73" s="97"/>
      <c r="FEV73" s="97"/>
      <c r="FEW73" s="97"/>
      <c r="FEX73" s="97"/>
      <c r="FEY73" s="97"/>
      <c r="FEZ73" s="97"/>
      <c r="FFA73" s="97"/>
      <c r="FFB73" s="97"/>
      <c r="FFC73" s="97"/>
      <c r="FFD73" s="97"/>
      <c r="FFE73" s="97"/>
      <c r="FFF73" s="97"/>
      <c r="FFG73" s="97"/>
      <c r="FFH73" s="97"/>
      <c r="FFI73" s="97"/>
      <c r="FFJ73" s="97"/>
      <c r="FFK73" s="97"/>
      <c r="FFL73" s="97"/>
      <c r="FFM73" s="97"/>
      <c r="FFN73" s="97"/>
      <c r="FFO73" s="97"/>
      <c r="FFP73" s="97"/>
      <c r="FFQ73" s="97"/>
      <c r="FFR73" s="97"/>
      <c r="FFS73" s="97"/>
      <c r="FFT73" s="97"/>
      <c r="FFU73" s="97"/>
      <c r="FFV73" s="97"/>
      <c r="FFW73" s="97"/>
      <c r="FFX73" s="97"/>
      <c r="FFY73" s="97"/>
      <c r="FFZ73" s="97"/>
      <c r="FGA73" s="97"/>
      <c r="FGB73" s="97"/>
      <c r="FGC73" s="97"/>
      <c r="FGD73" s="97"/>
      <c r="FGE73" s="97"/>
      <c r="FGF73" s="97"/>
      <c r="FGG73" s="97"/>
      <c r="FGH73" s="97"/>
      <c r="FGI73" s="97"/>
      <c r="FGJ73" s="97"/>
      <c r="FGK73" s="97"/>
      <c r="FGL73" s="97"/>
      <c r="FGM73" s="97"/>
      <c r="FGN73" s="97"/>
      <c r="FGO73" s="97"/>
      <c r="FGP73" s="97"/>
      <c r="FGQ73" s="97"/>
      <c r="FGR73" s="97"/>
      <c r="FGS73" s="97"/>
      <c r="FGT73" s="97"/>
      <c r="FGU73" s="97"/>
      <c r="FGV73" s="97"/>
      <c r="FGW73" s="97"/>
      <c r="FGX73" s="97"/>
      <c r="FGY73" s="97"/>
      <c r="FGZ73" s="97"/>
      <c r="FHA73" s="97"/>
      <c r="FHB73" s="97"/>
      <c r="FHC73" s="97"/>
      <c r="FHD73" s="97"/>
      <c r="FHE73" s="97"/>
      <c r="FHF73" s="97"/>
      <c r="FHG73" s="97"/>
      <c r="FHH73" s="97"/>
      <c r="FHI73" s="97"/>
      <c r="FHJ73" s="97"/>
      <c r="FHK73" s="97"/>
      <c r="FHL73" s="97"/>
      <c r="FHM73" s="97"/>
      <c r="FHN73" s="97"/>
      <c r="FHO73" s="97"/>
      <c r="FHP73" s="97"/>
      <c r="FHQ73" s="97"/>
      <c r="FHR73" s="97"/>
      <c r="FHS73" s="97"/>
      <c r="FHT73" s="97"/>
      <c r="FHU73" s="97"/>
      <c r="FHV73" s="97"/>
      <c r="FHW73" s="97"/>
      <c r="FHX73" s="97"/>
      <c r="FHY73" s="97"/>
      <c r="FHZ73" s="97"/>
      <c r="FIA73" s="97"/>
      <c r="FIB73" s="97"/>
      <c r="FIC73" s="97"/>
      <c r="FID73" s="97"/>
      <c r="FIE73" s="97"/>
      <c r="FIF73" s="97"/>
      <c r="FIG73" s="97"/>
      <c r="FIH73" s="97"/>
      <c r="FII73" s="97"/>
      <c r="FIJ73" s="97"/>
      <c r="FIK73" s="97"/>
      <c r="FIL73" s="97"/>
      <c r="FIM73" s="97"/>
      <c r="FIN73" s="97"/>
      <c r="FIO73" s="97"/>
      <c r="FIP73" s="97"/>
      <c r="FIQ73" s="97"/>
      <c r="FIR73" s="97"/>
      <c r="FIS73" s="97"/>
      <c r="FIT73" s="97"/>
      <c r="FIU73" s="97"/>
      <c r="FIV73" s="97"/>
      <c r="FIW73" s="97"/>
      <c r="FIX73" s="97"/>
      <c r="FIY73" s="97"/>
      <c r="FIZ73" s="97"/>
      <c r="FJA73" s="97"/>
      <c r="FJB73" s="97"/>
      <c r="FJC73" s="97"/>
      <c r="FJD73" s="97"/>
      <c r="FJE73" s="97"/>
      <c r="FJF73" s="97"/>
      <c r="FJG73" s="97"/>
      <c r="FJH73" s="97"/>
      <c r="FJI73" s="97"/>
      <c r="FJJ73" s="97"/>
      <c r="FJK73" s="97"/>
      <c r="FJL73" s="97"/>
      <c r="FJM73" s="97"/>
      <c r="FJN73" s="97"/>
      <c r="FJO73" s="97"/>
      <c r="FJP73" s="97"/>
      <c r="FJQ73" s="97"/>
      <c r="FJR73" s="97"/>
      <c r="FJS73" s="97"/>
      <c r="FJT73" s="97"/>
      <c r="FJU73" s="97"/>
      <c r="FJV73" s="97"/>
      <c r="FJW73" s="97"/>
      <c r="FJX73" s="97"/>
      <c r="FJY73" s="97"/>
      <c r="FJZ73" s="97"/>
      <c r="FKA73" s="97"/>
      <c r="FKB73" s="97"/>
      <c r="FKC73" s="97"/>
      <c r="FKD73" s="97"/>
      <c r="FKE73" s="97"/>
      <c r="FKF73" s="97"/>
      <c r="FKG73" s="97"/>
      <c r="FKH73" s="97"/>
      <c r="FKI73" s="97"/>
      <c r="FKJ73" s="97"/>
      <c r="FKK73" s="97"/>
      <c r="FKL73" s="97"/>
      <c r="FKM73" s="97"/>
      <c r="FKN73" s="97"/>
      <c r="FKO73" s="97"/>
      <c r="FKP73" s="97"/>
      <c r="FKQ73" s="97"/>
      <c r="FKR73" s="97"/>
      <c r="FKS73" s="97"/>
      <c r="FKT73" s="97"/>
      <c r="FKU73" s="97"/>
      <c r="FKV73" s="97"/>
      <c r="FKW73" s="97"/>
      <c r="FKX73" s="97"/>
      <c r="FKY73" s="97"/>
      <c r="FKZ73" s="97"/>
      <c r="FLA73" s="97"/>
      <c r="FLB73" s="97"/>
      <c r="FLC73" s="97"/>
      <c r="FLD73" s="97"/>
      <c r="FLE73" s="97"/>
      <c r="FLF73" s="97"/>
      <c r="FLG73" s="97"/>
      <c r="FLH73" s="97"/>
      <c r="FLI73" s="97"/>
      <c r="FLJ73" s="97"/>
      <c r="FLK73" s="97"/>
      <c r="FLL73" s="97"/>
      <c r="FLM73" s="97"/>
      <c r="FLN73" s="97"/>
      <c r="FLO73" s="97"/>
      <c r="FLP73" s="97"/>
      <c r="FLQ73" s="97"/>
      <c r="FLR73" s="97"/>
      <c r="FLS73" s="97"/>
      <c r="FLT73" s="97"/>
      <c r="FLU73" s="97"/>
      <c r="FLV73" s="97"/>
      <c r="FLW73" s="97"/>
      <c r="FLX73" s="97"/>
      <c r="FLY73" s="97"/>
      <c r="FLZ73" s="97"/>
      <c r="FMA73" s="97"/>
      <c r="FMB73" s="97"/>
      <c r="FMC73" s="97"/>
      <c r="FMD73" s="97"/>
      <c r="FME73" s="97"/>
      <c r="FMF73" s="97"/>
      <c r="FMG73" s="97"/>
      <c r="FMH73" s="97"/>
      <c r="FMI73" s="97"/>
      <c r="FMJ73" s="97"/>
      <c r="FMK73" s="97"/>
      <c r="FML73" s="97"/>
      <c r="FMM73" s="97"/>
      <c r="FMN73" s="97"/>
      <c r="FMO73" s="97"/>
      <c r="FMP73" s="97"/>
      <c r="FMQ73" s="97"/>
      <c r="FMR73" s="97"/>
      <c r="FMS73" s="97"/>
      <c r="FMT73" s="97"/>
      <c r="FMU73" s="97"/>
      <c r="FMV73" s="97"/>
      <c r="FMW73" s="97"/>
      <c r="FMX73" s="97"/>
      <c r="FMY73" s="97"/>
      <c r="FMZ73" s="97"/>
      <c r="FNA73" s="97"/>
      <c r="FNB73" s="97"/>
      <c r="FNC73" s="97"/>
      <c r="FND73" s="97"/>
      <c r="FNE73" s="97"/>
      <c r="FNF73" s="97"/>
      <c r="FNG73" s="97"/>
      <c r="FNH73" s="97"/>
      <c r="FNI73" s="97"/>
      <c r="FNJ73" s="97"/>
      <c r="FNK73" s="97"/>
      <c r="FNL73" s="97"/>
      <c r="FNM73" s="97"/>
      <c r="FNN73" s="97"/>
      <c r="FNO73" s="97"/>
      <c r="FNP73" s="97"/>
      <c r="FNQ73" s="97"/>
      <c r="FNR73" s="97"/>
      <c r="FNS73" s="97"/>
      <c r="FNT73" s="97"/>
      <c r="FNU73" s="97"/>
      <c r="FNV73" s="97"/>
      <c r="FNW73" s="97"/>
      <c r="FNX73" s="97"/>
      <c r="FNY73" s="97"/>
      <c r="FNZ73" s="97"/>
      <c r="FOA73" s="97"/>
      <c r="FOB73" s="97"/>
      <c r="FOC73" s="97"/>
      <c r="FOD73" s="97"/>
      <c r="FOE73" s="97"/>
      <c r="FOF73" s="97"/>
      <c r="FOG73" s="97"/>
      <c r="FOH73" s="97"/>
      <c r="FOI73" s="97"/>
      <c r="FOJ73" s="97"/>
      <c r="FOK73" s="97"/>
      <c r="FOL73" s="97"/>
      <c r="FOM73" s="97"/>
      <c r="FON73" s="97"/>
      <c r="FOO73" s="97"/>
      <c r="FOP73" s="97"/>
      <c r="FOQ73" s="97"/>
      <c r="FOR73" s="97"/>
      <c r="FOS73" s="97"/>
      <c r="FOT73" s="97"/>
      <c r="FOU73" s="97"/>
      <c r="FOV73" s="97"/>
      <c r="FOW73" s="97"/>
      <c r="FOX73" s="97"/>
      <c r="FOY73" s="97"/>
      <c r="FOZ73" s="97"/>
      <c r="FPA73" s="97"/>
      <c r="FPB73" s="97"/>
      <c r="FPC73" s="97"/>
      <c r="FPD73" s="97"/>
      <c r="FPE73" s="97"/>
      <c r="FPF73" s="97"/>
      <c r="FPG73" s="97"/>
      <c r="FPH73" s="97"/>
      <c r="FPI73" s="97"/>
      <c r="FPJ73" s="97"/>
      <c r="FPK73" s="97"/>
      <c r="FPL73" s="97"/>
      <c r="FPM73" s="97"/>
      <c r="FPN73" s="97"/>
      <c r="FPO73" s="97"/>
      <c r="FPP73" s="97"/>
      <c r="FPQ73" s="97"/>
      <c r="FPR73" s="97"/>
      <c r="FPS73" s="97"/>
      <c r="FPT73" s="97"/>
      <c r="FPU73" s="97"/>
      <c r="FPV73" s="97"/>
      <c r="FPW73" s="97"/>
      <c r="FPX73" s="97"/>
      <c r="FPY73" s="97"/>
      <c r="FPZ73" s="97"/>
      <c r="FQA73" s="97"/>
      <c r="FQB73" s="97"/>
      <c r="FQC73" s="97"/>
      <c r="FQD73" s="97"/>
      <c r="FQE73" s="97"/>
      <c r="FQF73" s="97"/>
      <c r="FQG73" s="97"/>
      <c r="FQH73" s="97"/>
      <c r="FQI73" s="97"/>
      <c r="FQJ73" s="97"/>
      <c r="FQK73" s="97"/>
      <c r="FQL73" s="97"/>
      <c r="FQM73" s="97"/>
      <c r="FQN73" s="97"/>
      <c r="FQO73" s="97"/>
      <c r="FQP73" s="97"/>
      <c r="FQQ73" s="97"/>
      <c r="FQR73" s="97"/>
      <c r="FQS73" s="97"/>
      <c r="FQT73" s="97"/>
      <c r="FQU73" s="97"/>
      <c r="FQV73" s="97"/>
      <c r="FQW73" s="97"/>
      <c r="FQX73" s="97"/>
      <c r="FQY73" s="97"/>
      <c r="FQZ73" s="97"/>
      <c r="FRA73" s="97"/>
      <c r="FRB73" s="97"/>
      <c r="FRC73" s="97"/>
      <c r="FRD73" s="97"/>
      <c r="FRE73" s="97"/>
      <c r="FRF73" s="97"/>
      <c r="FRG73" s="97"/>
      <c r="FRH73" s="97"/>
      <c r="FRI73" s="97"/>
      <c r="FRJ73" s="97"/>
      <c r="FRK73" s="97"/>
      <c r="FRL73" s="97"/>
      <c r="FRM73" s="97"/>
      <c r="FRN73" s="97"/>
      <c r="FRO73" s="97"/>
      <c r="FRP73" s="97"/>
      <c r="FRQ73" s="97"/>
      <c r="FRR73" s="97"/>
      <c r="FRS73" s="97"/>
      <c r="FRT73" s="97"/>
      <c r="FRU73" s="97"/>
      <c r="FRV73" s="97"/>
      <c r="FRW73" s="97"/>
      <c r="FRX73" s="97"/>
      <c r="FRY73" s="97"/>
      <c r="FRZ73" s="97"/>
      <c r="FSA73" s="97"/>
      <c r="FSB73" s="97"/>
      <c r="FSC73" s="97"/>
      <c r="FSD73" s="97"/>
      <c r="FSE73" s="97"/>
      <c r="FSF73" s="97"/>
      <c r="FSG73" s="97"/>
      <c r="FSH73" s="97"/>
      <c r="FSI73" s="97"/>
      <c r="FSJ73" s="97"/>
      <c r="FSK73" s="97"/>
      <c r="FSL73" s="97"/>
      <c r="FSM73" s="97"/>
      <c r="FSN73" s="97"/>
      <c r="FSO73" s="97"/>
      <c r="FSP73" s="97"/>
      <c r="FSQ73" s="97"/>
      <c r="FSR73" s="97"/>
      <c r="FSS73" s="97"/>
      <c r="FST73" s="97"/>
      <c r="FSU73" s="97"/>
      <c r="FSV73" s="97"/>
      <c r="FSW73" s="97"/>
      <c r="FSX73" s="97"/>
      <c r="FSY73" s="97"/>
      <c r="FSZ73" s="97"/>
      <c r="FTA73" s="97"/>
      <c r="FTB73" s="97"/>
      <c r="FTC73" s="97"/>
      <c r="FTD73" s="97"/>
      <c r="FTE73" s="97"/>
      <c r="FTF73" s="97"/>
      <c r="FTG73" s="97"/>
      <c r="FTH73" s="97"/>
      <c r="FTI73" s="97"/>
      <c r="FTJ73" s="97"/>
      <c r="FTK73" s="97"/>
      <c r="FTL73" s="97"/>
      <c r="FTM73" s="97"/>
      <c r="FTN73" s="97"/>
      <c r="FTO73" s="97"/>
      <c r="FTP73" s="97"/>
      <c r="FTQ73" s="97"/>
      <c r="FTR73" s="97"/>
      <c r="FTS73" s="97"/>
      <c r="FTT73" s="97"/>
      <c r="FTU73" s="97"/>
      <c r="FTV73" s="97"/>
      <c r="FTW73" s="97"/>
      <c r="FTX73" s="97"/>
      <c r="FTY73" s="97"/>
      <c r="FTZ73" s="97"/>
      <c r="FUA73" s="97"/>
      <c r="FUB73" s="97"/>
      <c r="FUC73" s="97"/>
      <c r="FUD73" s="97"/>
      <c r="FUE73" s="97"/>
      <c r="FUF73" s="97"/>
      <c r="FUG73" s="97"/>
      <c r="FUH73" s="97"/>
      <c r="FUI73" s="97"/>
      <c r="FUJ73" s="97"/>
      <c r="FUK73" s="97"/>
      <c r="FUL73" s="97"/>
      <c r="FUM73" s="97"/>
      <c r="FUN73" s="97"/>
      <c r="FUO73" s="97"/>
      <c r="FUP73" s="97"/>
      <c r="FUQ73" s="97"/>
      <c r="FUR73" s="97"/>
      <c r="FUS73" s="97"/>
      <c r="FUT73" s="97"/>
      <c r="FUU73" s="97"/>
      <c r="FUV73" s="97"/>
      <c r="FUW73" s="97"/>
      <c r="FUX73" s="97"/>
      <c r="FUY73" s="97"/>
      <c r="FUZ73" s="97"/>
      <c r="FVA73" s="97"/>
      <c r="FVB73" s="97"/>
      <c r="FVC73" s="97"/>
      <c r="FVD73" s="97"/>
      <c r="FVE73" s="97"/>
      <c r="FVF73" s="97"/>
      <c r="FVG73" s="97"/>
      <c r="FVH73" s="97"/>
      <c r="FVI73" s="97"/>
      <c r="FVJ73" s="97"/>
      <c r="FVK73" s="97"/>
      <c r="FVL73" s="97"/>
      <c r="FVM73" s="97"/>
      <c r="FVN73" s="97"/>
      <c r="FVO73" s="97"/>
      <c r="FVP73" s="97"/>
      <c r="FVQ73" s="97"/>
      <c r="FVR73" s="97"/>
      <c r="FVS73" s="97"/>
      <c r="FVT73" s="97"/>
      <c r="FVU73" s="97"/>
      <c r="FVV73" s="97"/>
      <c r="FVW73" s="97"/>
      <c r="FVX73" s="97"/>
      <c r="FVY73" s="97"/>
      <c r="FVZ73" s="97"/>
      <c r="FWA73" s="97"/>
      <c r="FWB73" s="97"/>
      <c r="FWC73" s="97"/>
      <c r="FWD73" s="97"/>
      <c r="FWE73" s="97"/>
      <c r="FWF73" s="97"/>
      <c r="FWG73" s="97"/>
      <c r="FWH73" s="97"/>
      <c r="FWI73" s="97"/>
      <c r="FWJ73" s="97"/>
      <c r="FWK73" s="97"/>
      <c r="FWL73" s="97"/>
      <c r="FWM73" s="97"/>
      <c r="FWN73" s="97"/>
      <c r="FWO73" s="97"/>
      <c r="FWP73" s="97"/>
      <c r="FWQ73" s="97"/>
      <c r="FWR73" s="97"/>
      <c r="FWS73" s="97"/>
      <c r="FWT73" s="97"/>
      <c r="FWU73" s="97"/>
      <c r="FWV73" s="97"/>
      <c r="FWW73" s="97"/>
      <c r="FWX73" s="97"/>
      <c r="FWY73" s="97"/>
      <c r="FWZ73" s="97"/>
      <c r="FXA73" s="97"/>
      <c r="FXB73" s="97"/>
      <c r="FXC73" s="97"/>
      <c r="FXD73" s="97"/>
      <c r="FXE73" s="97"/>
      <c r="FXF73" s="97"/>
      <c r="FXG73" s="97"/>
      <c r="FXH73" s="97"/>
      <c r="FXI73" s="97"/>
      <c r="FXJ73" s="97"/>
      <c r="FXK73" s="97"/>
      <c r="FXL73" s="97"/>
      <c r="FXM73" s="97"/>
      <c r="FXN73" s="97"/>
      <c r="FXO73" s="97"/>
      <c r="FXP73" s="97"/>
      <c r="FXQ73" s="97"/>
      <c r="FXR73" s="97"/>
      <c r="FXS73" s="97"/>
      <c r="FXT73" s="97"/>
      <c r="FXU73" s="97"/>
      <c r="FXV73" s="97"/>
      <c r="FXW73" s="97"/>
      <c r="FXX73" s="97"/>
      <c r="FXY73" s="97"/>
      <c r="FXZ73" s="97"/>
      <c r="FYA73" s="97"/>
      <c r="FYB73" s="97"/>
      <c r="FYC73" s="97"/>
      <c r="FYD73" s="97"/>
      <c r="FYE73" s="97"/>
      <c r="FYF73" s="97"/>
      <c r="FYG73" s="97"/>
      <c r="FYH73" s="97"/>
      <c r="FYI73" s="97"/>
      <c r="FYJ73" s="97"/>
      <c r="FYK73" s="97"/>
      <c r="FYL73" s="97"/>
      <c r="FYM73" s="97"/>
      <c r="FYN73" s="97"/>
      <c r="FYO73" s="97"/>
      <c r="FYP73" s="97"/>
      <c r="FYQ73" s="97"/>
      <c r="FYR73" s="97"/>
      <c r="FYS73" s="97"/>
      <c r="FYT73" s="97"/>
      <c r="FYU73" s="97"/>
      <c r="FYV73" s="97"/>
      <c r="FYW73" s="97"/>
      <c r="FYX73" s="97"/>
      <c r="FYY73" s="97"/>
      <c r="FYZ73" s="97"/>
      <c r="FZA73" s="97"/>
      <c r="FZB73" s="97"/>
      <c r="FZC73" s="97"/>
      <c r="FZD73" s="97"/>
      <c r="FZE73" s="97"/>
      <c r="FZF73" s="97"/>
      <c r="FZG73" s="97"/>
      <c r="FZH73" s="97"/>
      <c r="FZI73" s="97"/>
      <c r="FZJ73" s="97"/>
      <c r="FZK73" s="97"/>
      <c r="FZL73" s="97"/>
      <c r="FZM73" s="97"/>
      <c r="FZN73" s="97"/>
      <c r="FZO73" s="97"/>
      <c r="FZP73" s="97"/>
      <c r="FZQ73" s="97"/>
      <c r="FZR73" s="97"/>
      <c r="FZS73" s="97"/>
      <c r="FZT73" s="97"/>
      <c r="FZU73" s="97"/>
      <c r="FZV73" s="97"/>
      <c r="FZW73" s="97"/>
      <c r="FZX73" s="97"/>
      <c r="FZY73" s="97"/>
      <c r="FZZ73" s="97"/>
      <c r="GAA73" s="97"/>
      <c r="GAB73" s="97"/>
      <c r="GAC73" s="97"/>
      <c r="GAD73" s="97"/>
      <c r="GAE73" s="97"/>
      <c r="GAF73" s="97"/>
      <c r="GAG73" s="97"/>
      <c r="GAH73" s="97"/>
      <c r="GAI73" s="97"/>
      <c r="GAJ73" s="97"/>
      <c r="GAK73" s="97"/>
      <c r="GAL73" s="97"/>
      <c r="GAM73" s="97"/>
      <c r="GAN73" s="97"/>
      <c r="GAO73" s="97"/>
      <c r="GAP73" s="97"/>
      <c r="GAQ73" s="97"/>
      <c r="GAR73" s="97"/>
      <c r="GAS73" s="97"/>
      <c r="GAT73" s="97"/>
      <c r="GAU73" s="97"/>
      <c r="GAV73" s="97"/>
      <c r="GAW73" s="97"/>
      <c r="GAX73" s="97"/>
      <c r="GAY73" s="97"/>
      <c r="GAZ73" s="97"/>
      <c r="GBA73" s="97"/>
      <c r="GBB73" s="97"/>
      <c r="GBC73" s="97"/>
      <c r="GBD73" s="97"/>
      <c r="GBE73" s="97"/>
      <c r="GBF73" s="97"/>
      <c r="GBG73" s="97"/>
      <c r="GBH73" s="97"/>
      <c r="GBI73" s="97"/>
      <c r="GBJ73" s="97"/>
      <c r="GBK73" s="97"/>
      <c r="GBL73" s="97"/>
      <c r="GBM73" s="97"/>
      <c r="GBN73" s="97"/>
      <c r="GBO73" s="97"/>
      <c r="GBP73" s="97"/>
      <c r="GBQ73" s="97"/>
      <c r="GBR73" s="97"/>
      <c r="GBS73" s="97"/>
      <c r="GBT73" s="97"/>
      <c r="GBU73" s="97"/>
      <c r="GBV73" s="97"/>
      <c r="GBW73" s="97"/>
      <c r="GBX73" s="97"/>
      <c r="GBY73" s="97"/>
      <c r="GBZ73" s="97"/>
      <c r="GCA73" s="97"/>
      <c r="GCB73" s="97"/>
      <c r="GCC73" s="97"/>
      <c r="GCD73" s="97"/>
      <c r="GCE73" s="97"/>
      <c r="GCF73" s="97"/>
      <c r="GCG73" s="97"/>
      <c r="GCH73" s="97"/>
      <c r="GCI73" s="97"/>
      <c r="GCJ73" s="97"/>
      <c r="GCK73" s="97"/>
      <c r="GCL73" s="97"/>
      <c r="GCM73" s="97"/>
      <c r="GCN73" s="97"/>
      <c r="GCO73" s="97"/>
      <c r="GCP73" s="97"/>
      <c r="GCQ73" s="97"/>
      <c r="GCR73" s="97"/>
      <c r="GCS73" s="97"/>
      <c r="GCT73" s="97"/>
      <c r="GCU73" s="97"/>
      <c r="GCV73" s="97"/>
      <c r="GCW73" s="97"/>
      <c r="GCX73" s="97"/>
      <c r="GCY73" s="97"/>
      <c r="GCZ73" s="97"/>
      <c r="GDA73" s="97"/>
      <c r="GDB73" s="97"/>
      <c r="GDC73" s="97"/>
      <c r="GDD73" s="97"/>
      <c r="GDE73" s="97"/>
      <c r="GDF73" s="97"/>
      <c r="GDG73" s="97"/>
      <c r="GDH73" s="97"/>
      <c r="GDI73" s="97"/>
      <c r="GDJ73" s="97"/>
      <c r="GDK73" s="97"/>
      <c r="GDL73" s="97"/>
      <c r="GDM73" s="97"/>
      <c r="GDN73" s="97"/>
      <c r="GDO73" s="97"/>
      <c r="GDP73" s="97"/>
      <c r="GDQ73" s="97"/>
      <c r="GDR73" s="97"/>
      <c r="GDS73" s="97"/>
      <c r="GDT73" s="97"/>
      <c r="GDU73" s="97"/>
      <c r="GDV73" s="97"/>
      <c r="GDW73" s="97"/>
      <c r="GDX73" s="97"/>
      <c r="GDY73" s="97"/>
      <c r="GDZ73" s="97"/>
      <c r="GEA73" s="97"/>
      <c r="GEB73" s="97"/>
      <c r="GEC73" s="97"/>
      <c r="GED73" s="97"/>
      <c r="GEE73" s="97"/>
      <c r="GEF73" s="97"/>
      <c r="GEG73" s="97"/>
      <c r="GEH73" s="97"/>
      <c r="GEI73" s="97"/>
      <c r="GEJ73" s="97"/>
      <c r="GEK73" s="97"/>
      <c r="GEL73" s="97"/>
      <c r="GEM73" s="97"/>
      <c r="GEN73" s="97"/>
      <c r="GEO73" s="97"/>
      <c r="GEP73" s="97"/>
      <c r="GEQ73" s="97"/>
      <c r="GER73" s="97"/>
      <c r="GES73" s="97"/>
      <c r="GET73" s="97"/>
      <c r="GEU73" s="97"/>
      <c r="GEV73" s="97"/>
      <c r="GEW73" s="97"/>
      <c r="GEX73" s="97"/>
      <c r="GEY73" s="97"/>
      <c r="GEZ73" s="97"/>
      <c r="GFA73" s="97"/>
      <c r="GFB73" s="97"/>
      <c r="GFC73" s="97"/>
      <c r="GFD73" s="97"/>
      <c r="GFE73" s="97"/>
      <c r="GFF73" s="97"/>
      <c r="GFG73" s="97"/>
      <c r="GFH73" s="97"/>
      <c r="GFI73" s="97"/>
      <c r="GFJ73" s="97"/>
      <c r="GFK73" s="97"/>
      <c r="GFL73" s="97"/>
      <c r="GFM73" s="97"/>
      <c r="GFN73" s="97"/>
      <c r="GFO73" s="97"/>
      <c r="GFP73" s="97"/>
      <c r="GFQ73" s="97"/>
      <c r="GFR73" s="97"/>
      <c r="GFS73" s="97"/>
      <c r="GFT73" s="97"/>
      <c r="GFU73" s="97"/>
      <c r="GFV73" s="97"/>
      <c r="GFW73" s="97"/>
      <c r="GFX73" s="97"/>
      <c r="GFY73" s="97"/>
      <c r="GFZ73" s="97"/>
      <c r="GGA73" s="97"/>
      <c r="GGB73" s="97"/>
      <c r="GGC73" s="97"/>
      <c r="GGD73" s="97"/>
      <c r="GGE73" s="97"/>
      <c r="GGF73" s="97"/>
      <c r="GGG73" s="97"/>
      <c r="GGH73" s="97"/>
      <c r="GGI73" s="97"/>
      <c r="GGJ73" s="97"/>
      <c r="GGK73" s="97"/>
      <c r="GGL73" s="97"/>
      <c r="GGM73" s="97"/>
      <c r="GGN73" s="97"/>
      <c r="GGO73" s="97"/>
      <c r="GGP73" s="97"/>
      <c r="GGQ73" s="97"/>
      <c r="GGR73" s="97"/>
      <c r="GGS73" s="97"/>
      <c r="GGT73" s="97"/>
      <c r="GGU73" s="97"/>
      <c r="GGV73" s="97"/>
      <c r="GGW73" s="97"/>
      <c r="GGX73" s="97"/>
      <c r="GGY73" s="97"/>
      <c r="GGZ73" s="97"/>
      <c r="GHA73" s="97"/>
      <c r="GHB73" s="97"/>
      <c r="GHC73" s="97"/>
      <c r="GHD73" s="97"/>
      <c r="GHE73" s="97"/>
      <c r="GHF73" s="97"/>
      <c r="GHG73" s="97"/>
      <c r="GHH73" s="97"/>
      <c r="GHI73" s="97"/>
      <c r="GHJ73" s="97"/>
      <c r="GHK73" s="97"/>
      <c r="GHL73" s="97"/>
      <c r="GHM73" s="97"/>
      <c r="GHN73" s="97"/>
      <c r="GHO73" s="97"/>
      <c r="GHP73" s="97"/>
      <c r="GHQ73" s="97"/>
      <c r="GHR73" s="97"/>
      <c r="GHS73" s="97"/>
      <c r="GHT73" s="97"/>
      <c r="GHU73" s="97"/>
      <c r="GHV73" s="97"/>
      <c r="GHW73" s="97"/>
      <c r="GHX73" s="97"/>
      <c r="GHY73" s="97"/>
      <c r="GHZ73" s="97"/>
      <c r="GIA73" s="97"/>
      <c r="GIB73" s="97"/>
      <c r="GIC73" s="97"/>
      <c r="GID73" s="97"/>
      <c r="GIE73" s="97"/>
      <c r="GIF73" s="97"/>
      <c r="GIG73" s="97"/>
      <c r="GIH73" s="97"/>
      <c r="GII73" s="97"/>
      <c r="GIJ73" s="97"/>
      <c r="GIK73" s="97"/>
      <c r="GIL73" s="97"/>
      <c r="GIM73" s="97"/>
      <c r="GIN73" s="97"/>
      <c r="GIO73" s="97"/>
      <c r="GIP73" s="97"/>
      <c r="GIQ73" s="97"/>
      <c r="GIR73" s="97"/>
      <c r="GIS73" s="97"/>
      <c r="GIT73" s="97"/>
      <c r="GIU73" s="97"/>
      <c r="GIV73" s="97"/>
      <c r="GIW73" s="97"/>
      <c r="GIX73" s="97"/>
      <c r="GIY73" s="97"/>
      <c r="GIZ73" s="97"/>
      <c r="GJA73" s="97"/>
      <c r="GJB73" s="97"/>
      <c r="GJC73" s="97"/>
      <c r="GJD73" s="97"/>
      <c r="GJE73" s="97"/>
      <c r="GJF73" s="97"/>
      <c r="GJG73" s="97"/>
      <c r="GJH73" s="97"/>
      <c r="GJI73" s="97"/>
      <c r="GJJ73" s="97"/>
      <c r="GJK73" s="97"/>
      <c r="GJL73" s="97"/>
      <c r="GJM73" s="97"/>
      <c r="GJN73" s="97"/>
      <c r="GJO73" s="97"/>
      <c r="GJP73" s="97"/>
      <c r="GJQ73" s="97"/>
      <c r="GJR73" s="97"/>
      <c r="GJS73" s="97"/>
      <c r="GJT73" s="97"/>
      <c r="GJU73" s="97"/>
      <c r="GJV73" s="97"/>
      <c r="GJW73" s="97"/>
      <c r="GJX73" s="97"/>
      <c r="GJY73" s="97"/>
      <c r="GJZ73" s="97"/>
      <c r="GKA73" s="97"/>
      <c r="GKB73" s="97"/>
      <c r="GKC73" s="97"/>
      <c r="GKD73" s="97"/>
      <c r="GKE73" s="97"/>
      <c r="GKF73" s="97"/>
      <c r="GKG73" s="97"/>
      <c r="GKH73" s="97"/>
      <c r="GKI73" s="97"/>
      <c r="GKJ73" s="97"/>
      <c r="GKK73" s="97"/>
      <c r="GKL73" s="97"/>
      <c r="GKM73" s="97"/>
      <c r="GKN73" s="97"/>
      <c r="GKO73" s="97"/>
      <c r="GKP73" s="97"/>
      <c r="GKQ73" s="97"/>
      <c r="GKR73" s="97"/>
      <c r="GKS73" s="97"/>
      <c r="GKT73" s="97"/>
      <c r="GKU73" s="97"/>
      <c r="GKV73" s="97"/>
      <c r="GKW73" s="97"/>
      <c r="GKX73" s="97"/>
      <c r="GKY73" s="97"/>
      <c r="GKZ73" s="97"/>
      <c r="GLA73" s="97"/>
      <c r="GLB73" s="97"/>
      <c r="GLC73" s="97"/>
      <c r="GLD73" s="97"/>
      <c r="GLE73" s="97"/>
      <c r="GLF73" s="97"/>
      <c r="GLG73" s="97"/>
      <c r="GLH73" s="97"/>
      <c r="GLI73" s="97"/>
      <c r="GLJ73" s="97"/>
      <c r="GLK73" s="97"/>
      <c r="GLL73" s="97"/>
      <c r="GLM73" s="97"/>
      <c r="GLN73" s="97"/>
      <c r="GLO73" s="97"/>
      <c r="GLP73" s="97"/>
      <c r="GLQ73" s="97"/>
      <c r="GLR73" s="97"/>
      <c r="GLS73" s="97"/>
      <c r="GLT73" s="97"/>
      <c r="GLU73" s="97"/>
      <c r="GLV73" s="97"/>
      <c r="GLW73" s="97"/>
      <c r="GLX73" s="97"/>
      <c r="GLY73" s="97"/>
      <c r="GLZ73" s="97"/>
      <c r="GMA73" s="97"/>
      <c r="GMB73" s="97"/>
      <c r="GMC73" s="97"/>
      <c r="GMD73" s="97"/>
      <c r="GME73" s="97"/>
      <c r="GMF73" s="97"/>
      <c r="GMG73" s="97"/>
      <c r="GMH73" s="97"/>
      <c r="GMI73" s="97"/>
      <c r="GMJ73" s="97"/>
      <c r="GMK73" s="97"/>
      <c r="GML73" s="97"/>
      <c r="GMM73" s="97"/>
      <c r="GMN73" s="97"/>
      <c r="GMO73" s="97"/>
      <c r="GMP73" s="97"/>
      <c r="GMQ73" s="97"/>
      <c r="GMR73" s="97"/>
      <c r="GMS73" s="97"/>
      <c r="GMT73" s="97"/>
      <c r="GMU73" s="97"/>
      <c r="GMV73" s="97"/>
      <c r="GMW73" s="97"/>
      <c r="GMX73" s="97"/>
      <c r="GMY73" s="97"/>
      <c r="GMZ73" s="97"/>
      <c r="GNA73" s="97"/>
      <c r="GNB73" s="97"/>
      <c r="GNC73" s="97"/>
      <c r="GND73" s="97"/>
      <c r="GNE73" s="97"/>
      <c r="GNF73" s="97"/>
      <c r="GNG73" s="97"/>
      <c r="GNH73" s="97"/>
      <c r="GNI73" s="97"/>
      <c r="GNJ73" s="97"/>
      <c r="GNK73" s="97"/>
      <c r="GNL73" s="97"/>
      <c r="GNM73" s="97"/>
      <c r="GNN73" s="97"/>
      <c r="GNO73" s="97"/>
      <c r="GNP73" s="97"/>
      <c r="GNQ73" s="97"/>
      <c r="GNR73" s="97"/>
      <c r="GNS73" s="97"/>
      <c r="GNT73" s="97"/>
      <c r="GNU73" s="97"/>
      <c r="GNV73" s="97"/>
      <c r="GNW73" s="97"/>
      <c r="GNX73" s="97"/>
      <c r="GNY73" s="97"/>
      <c r="GNZ73" s="97"/>
      <c r="GOA73" s="97"/>
      <c r="GOB73" s="97"/>
      <c r="GOC73" s="97"/>
      <c r="GOD73" s="97"/>
      <c r="GOE73" s="97"/>
      <c r="GOF73" s="97"/>
      <c r="GOG73" s="97"/>
      <c r="GOH73" s="97"/>
      <c r="GOI73" s="97"/>
      <c r="GOJ73" s="97"/>
      <c r="GOK73" s="97"/>
      <c r="GOL73" s="97"/>
      <c r="GOM73" s="97"/>
      <c r="GON73" s="97"/>
      <c r="GOO73" s="97"/>
      <c r="GOP73" s="97"/>
      <c r="GOQ73" s="97"/>
      <c r="GOR73" s="97"/>
      <c r="GOS73" s="97"/>
      <c r="GOT73" s="97"/>
      <c r="GOU73" s="97"/>
      <c r="GOV73" s="97"/>
      <c r="GOW73" s="97"/>
      <c r="GOX73" s="97"/>
      <c r="GOY73" s="97"/>
      <c r="GOZ73" s="97"/>
      <c r="GPA73" s="97"/>
      <c r="GPB73" s="97"/>
      <c r="GPC73" s="97"/>
      <c r="GPD73" s="97"/>
      <c r="GPE73" s="97"/>
      <c r="GPF73" s="97"/>
      <c r="GPG73" s="97"/>
      <c r="GPH73" s="97"/>
      <c r="GPI73" s="97"/>
      <c r="GPJ73" s="97"/>
      <c r="GPK73" s="97"/>
      <c r="GPL73" s="97"/>
      <c r="GPM73" s="97"/>
      <c r="GPN73" s="97"/>
      <c r="GPO73" s="97"/>
      <c r="GPP73" s="97"/>
      <c r="GPQ73" s="97"/>
      <c r="GPR73" s="97"/>
      <c r="GPS73" s="97"/>
      <c r="GPT73" s="97"/>
      <c r="GPU73" s="97"/>
      <c r="GPV73" s="97"/>
      <c r="GPW73" s="97"/>
      <c r="GPX73" s="97"/>
      <c r="GPY73" s="97"/>
      <c r="GPZ73" s="97"/>
      <c r="GQA73" s="97"/>
      <c r="GQB73" s="97"/>
      <c r="GQC73" s="97"/>
      <c r="GQD73" s="97"/>
      <c r="GQE73" s="97"/>
      <c r="GQF73" s="97"/>
      <c r="GQG73" s="97"/>
      <c r="GQH73" s="97"/>
      <c r="GQI73" s="97"/>
      <c r="GQJ73" s="97"/>
      <c r="GQK73" s="97"/>
      <c r="GQL73" s="97"/>
      <c r="GQM73" s="97"/>
      <c r="GQN73" s="97"/>
      <c r="GQO73" s="97"/>
      <c r="GQP73" s="97"/>
      <c r="GQQ73" s="97"/>
      <c r="GQR73" s="97"/>
      <c r="GQS73" s="97"/>
      <c r="GQT73" s="97"/>
      <c r="GQU73" s="97"/>
      <c r="GQV73" s="97"/>
      <c r="GQW73" s="97"/>
      <c r="GQX73" s="97"/>
      <c r="GQY73" s="97"/>
      <c r="GQZ73" s="97"/>
      <c r="GRA73" s="97"/>
      <c r="GRB73" s="97"/>
      <c r="GRC73" s="97"/>
      <c r="GRD73" s="97"/>
      <c r="GRE73" s="97"/>
      <c r="GRF73" s="97"/>
      <c r="GRG73" s="97"/>
      <c r="GRH73" s="97"/>
      <c r="GRI73" s="97"/>
      <c r="GRJ73" s="97"/>
      <c r="GRK73" s="97"/>
      <c r="GRL73" s="97"/>
      <c r="GRM73" s="97"/>
      <c r="GRN73" s="97"/>
      <c r="GRO73" s="97"/>
      <c r="GRP73" s="97"/>
      <c r="GRQ73" s="97"/>
      <c r="GRR73" s="97"/>
      <c r="GRS73" s="97"/>
      <c r="GRT73" s="97"/>
      <c r="GRU73" s="97"/>
      <c r="GRV73" s="97"/>
      <c r="GRW73" s="97"/>
      <c r="GRX73" s="97"/>
      <c r="GRY73" s="97"/>
      <c r="GRZ73" s="97"/>
      <c r="GSA73" s="97"/>
      <c r="GSB73" s="97"/>
      <c r="GSC73" s="97"/>
      <c r="GSD73" s="97"/>
      <c r="GSE73" s="97"/>
      <c r="GSF73" s="97"/>
      <c r="GSG73" s="97"/>
      <c r="GSH73" s="97"/>
      <c r="GSI73" s="97"/>
      <c r="GSJ73" s="97"/>
      <c r="GSK73" s="97"/>
      <c r="GSL73" s="97"/>
      <c r="GSM73" s="97"/>
      <c r="GSN73" s="97"/>
      <c r="GSO73" s="97"/>
      <c r="GSP73" s="97"/>
      <c r="GSQ73" s="97"/>
      <c r="GSR73" s="97"/>
      <c r="GSS73" s="97"/>
      <c r="GST73" s="97"/>
      <c r="GSU73" s="97"/>
      <c r="GSV73" s="97"/>
      <c r="GSW73" s="97"/>
      <c r="GSX73" s="97"/>
      <c r="GSY73" s="97"/>
      <c r="GSZ73" s="97"/>
      <c r="GTA73" s="97"/>
      <c r="GTB73" s="97"/>
      <c r="GTC73" s="97"/>
      <c r="GTD73" s="97"/>
      <c r="GTE73" s="97"/>
      <c r="GTF73" s="97"/>
      <c r="GTG73" s="97"/>
      <c r="GTH73" s="97"/>
      <c r="GTI73" s="97"/>
      <c r="GTJ73" s="97"/>
      <c r="GTK73" s="97"/>
      <c r="GTL73" s="97"/>
      <c r="GTM73" s="97"/>
      <c r="GTN73" s="97"/>
      <c r="GTO73" s="97"/>
      <c r="GTP73" s="97"/>
      <c r="GTQ73" s="97"/>
      <c r="GTR73" s="97"/>
      <c r="GTS73" s="97"/>
      <c r="GTT73" s="97"/>
      <c r="GTU73" s="97"/>
      <c r="GTV73" s="97"/>
      <c r="GTW73" s="97"/>
      <c r="GTX73" s="97"/>
      <c r="GTY73" s="97"/>
      <c r="GTZ73" s="97"/>
      <c r="GUA73" s="97"/>
      <c r="GUB73" s="97"/>
      <c r="GUC73" s="97"/>
      <c r="GUD73" s="97"/>
      <c r="GUE73" s="97"/>
      <c r="GUF73" s="97"/>
      <c r="GUG73" s="97"/>
      <c r="GUH73" s="97"/>
      <c r="GUI73" s="97"/>
      <c r="GUJ73" s="97"/>
      <c r="GUK73" s="97"/>
      <c r="GUL73" s="97"/>
      <c r="GUM73" s="97"/>
      <c r="GUN73" s="97"/>
      <c r="GUO73" s="97"/>
      <c r="GUP73" s="97"/>
      <c r="GUQ73" s="97"/>
      <c r="GUR73" s="97"/>
      <c r="GUS73" s="97"/>
      <c r="GUT73" s="97"/>
      <c r="GUU73" s="97"/>
      <c r="GUV73" s="97"/>
      <c r="GUW73" s="97"/>
      <c r="GUX73" s="97"/>
      <c r="GUY73" s="97"/>
      <c r="GUZ73" s="97"/>
      <c r="GVA73" s="97"/>
      <c r="GVB73" s="97"/>
      <c r="GVC73" s="97"/>
      <c r="GVD73" s="97"/>
      <c r="GVE73" s="97"/>
      <c r="GVF73" s="97"/>
      <c r="GVG73" s="97"/>
      <c r="GVH73" s="97"/>
      <c r="GVI73" s="97"/>
      <c r="GVJ73" s="97"/>
      <c r="GVK73" s="97"/>
      <c r="GVL73" s="97"/>
      <c r="GVM73" s="97"/>
      <c r="GVN73" s="97"/>
      <c r="GVO73" s="97"/>
      <c r="GVP73" s="97"/>
      <c r="GVQ73" s="97"/>
      <c r="GVR73" s="97"/>
      <c r="GVS73" s="97"/>
      <c r="GVT73" s="97"/>
      <c r="GVU73" s="97"/>
      <c r="GVV73" s="97"/>
      <c r="GVW73" s="97"/>
      <c r="GVX73" s="97"/>
      <c r="GVY73" s="97"/>
      <c r="GVZ73" s="97"/>
      <c r="GWA73" s="97"/>
      <c r="GWB73" s="97"/>
      <c r="GWC73" s="97"/>
      <c r="GWD73" s="97"/>
      <c r="GWE73" s="97"/>
      <c r="GWF73" s="97"/>
      <c r="GWG73" s="97"/>
      <c r="GWH73" s="97"/>
      <c r="GWI73" s="97"/>
      <c r="GWJ73" s="97"/>
      <c r="GWK73" s="97"/>
      <c r="GWL73" s="97"/>
      <c r="GWM73" s="97"/>
      <c r="GWN73" s="97"/>
      <c r="GWO73" s="97"/>
      <c r="GWP73" s="97"/>
      <c r="GWQ73" s="97"/>
      <c r="GWR73" s="97"/>
      <c r="GWS73" s="97"/>
      <c r="GWT73" s="97"/>
      <c r="GWU73" s="97"/>
      <c r="GWV73" s="97"/>
      <c r="GWW73" s="97"/>
      <c r="GWX73" s="97"/>
      <c r="GWY73" s="97"/>
      <c r="GWZ73" s="97"/>
      <c r="GXA73" s="97"/>
      <c r="GXB73" s="97"/>
      <c r="GXC73" s="97"/>
      <c r="GXD73" s="97"/>
      <c r="GXE73" s="97"/>
      <c r="GXF73" s="97"/>
      <c r="GXG73" s="97"/>
      <c r="GXH73" s="97"/>
      <c r="GXI73" s="97"/>
      <c r="GXJ73" s="97"/>
      <c r="GXK73" s="97"/>
      <c r="GXL73" s="97"/>
      <c r="GXM73" s="97"/>
      <c r="GXN73" s="97"/>
      <c r="GXO73" s="97"/>
      <c r="GXP73" s="97"/>
      <c r="GXQ73" s="97"/>
      <c r="GXR73" s="97"/>
      <c r="GXS73" s="97"/>
      <c r="GXT73" s="97"/>
      <c r="GXU73" s="97"/>
      <c r="GXV73" s="97"/>
      <c r="GXW73" s="97"/>
      <c r="GXX73" s="97"/>
      <c r="GXY73" s="97"/>
      <c r="GXZ73" s="97"/>
      <c r="GYA73" s="97"/>
      <c r="GYB73" s="97"/>
      <c r="GYC73" s="97"/>
      <c r="GYD73" s="97"/>
      <c r="GYE73" s="97"/>
      <c r="GYF73" s="97"/>
      <c r="GYG73" s="97"/>
      <c r="GYH73" s="97"/>
      <c r="GYI73" s="97"/>
      <c r="GYJ73" s="97"/>
      <c r="GYK73" s="97"/>
      <c r="GYL73" s="97"/>
      <c r="GYM73" s="97"/>
      <c r="GYN73" s="97"/>
      <c r="GYO73" s="97"/>
      <c r="GYP73" s="97"/>
      <c r="GYQ73" s="97"/>
      <c r="GYR73" s="97"/>
      <c r="GYS73" s="97"/>
      <c r="GYT73" s="97"/>
      <c r="GYU73" s="97"/>
      <c r="GYV73" s="97"/>
      <c r="GYW73" s="97"/>
      <c r="GYX73" s="97"/>
      <c r="GYY73" s="97"/>
      <c r="GYZ73" s="97"/>
      <c r="GZA73" s="97"/>
      <c r="GZB73" s="97"/>
      <c r="GZC73" s="97"/>
      <c r="GZD73" s="97"/>
      <c r="GZE73" s="97"/>
      <c r="GZF73" s="97"/>
      <c r="GZG73" s="97"/>
      <c r="GZH73" s="97"/>
      <c r="GZI73" s="97"/>
      <c r="GZJ73" s="97"/>
      <c r="GZK73" s="97"/>
      <c r="GZL73" s="97"/>
      <c r="GZM73" s="97"/>
      <c r="GZN73" s="97"/>
      <c r="GZO73" s="97"/>
      <c r="GZP73" s="97"/>
      <c r="GZQ73" s="97"/>
      <c r="GZR73" s="97"/>
      <c r="GZS73" s="97"/>
      <c r="GZT73" s="97"/>
      <c r="GZU73" s="97"/>
      <c r="GZV73" s="97"/>
      <c r="GZW73" s="97"/>
      <c r="GZX73" s="97"/>
      <c r="GZY73" s="97"/>
      <c r="GZZ73" s="97"/>
      <c r="HAA73" s="97"/>
      <c r="HAB73" s="97"/>
      <c r="HAC73" s="97"/>
      <c r="HAD73" s="97"/>
      <c r="HAE73" s="97"/>
      <c r="HAF73" s="97"/>
      <c r="HAG73" s="97"/>
      <c r="HAH73" s="97"/>
      <c r="HAI73" s="97"/>
      <c r="HAJ73" s="97"/>
      <c r="HAK73" s="97"/>
      <c r="HAL73" s="97"/>
      <c r="HAM73" s="97"/>
      <c r="HAN73" s="97"/>
      <c r="HAO73" s="97"/>
      <c r="HAP73" s="97"/>
      <c r="HAQ73" s="97"/>
      <c r="HAR73" s="97"/>
      <c r="HAS73" s="97"/>
      <c r="HAT73" s="97"/>
      <c r="HAU73" s="97"/>
      <c r="HAV73" s="97"/>
      <c r="HAW73" s="97"/>
      <c r="HAX73" s="97"/>
      <c r="HAY73" s="97"/>
      <c r="HAZ73" s="97"/>
      <c r="HBA73" s="97"/>
      <c r="HBB73" s="97"/>
      <c r="HBC73" s="97"/>
      <c r="HBD73" s="97"/>
      <c r="HBE73" s="97"/>
      <c r="HBF73" s="97"/>
      <c r="HBG73" s="97"/>
      <c r="HBH73" s="97"/>
      <c r="HBI73" s="97"/>
      <c r="HBJ73" s="97"/>
      <c r="HBK73" s="97"/>
      <c r="HBL73" s="97"/>
      <c r="HBM73" s="97"/>
      <c r="HBN73" s="97"/>
      <c r="HBO73" s="97"/>
      <c r="HBP73" s="97"/>
      <c r="HBQ73" s="97"/>
      <c r="HBR73" s="97"/>
      <c r="HBS73" s="97"/>
      <c r="HBT73" s="97"/>
      <c r="HBU73" s="97"/>
      <c r="HBV73" s="97"/>
      <c r="HBW73" s="97"/>
      <c r="HBX73" s="97"/>
      <c r="HBY73" s="97"/>
      <c r="HBZ73" s="97"/>
      <c r="HCA73" s="97"/>
      <c r="HCB73" s="97"/>
      <c r="HCC73" s="97"/>
      <c r="HCD73" s="97"/>
      <c r="HCE73" s="97"/>
      <c r="HCF73" s="97"/>
      <c r="HCG73" s="97"/>
      <c r="HCH73" s="97"/>
      <c r="HCI73" s="97"/>
      <c r="HCJ73" s="97"/>
      <c r="HCK73" s="97"/>
      <c r="HCL73" s="97"/>
      <c r="HCM73" s="97"/>
      <c r="HCN73" s="97"/>
      <c r="HCO73" s="97"/>
      <c r="HCP73" s="97"/>
      <c r="HCQ73" s="97"/>
      <c r="HCR73" s="97"/>
      <c r="HCS73" s="97"/>
      <c r="HCT73" s="97"/>
      <c r="HCU73" s="97"/>
      <c r="HCV73" s="97"/>
      <c r="HCW73" s="97"/>
      <c r="HCX73" s="97"/>
      <c r="HCY73" s="97"/>
      <c r="HCZ73" s="97"/>
      <c r="HDA73" s="97"/>
      <c r="HDB73" s="97"/>
      <c r="HDC73" s="97"/>
      <c r="HDD73" s="97"/>
      <c r="HDE73" s="97"/>
      <c r="HDF73" s="97"/>
      <c r="HDG73" s="97"/>
      <c r="HDH73" s="97"/>
      <c r="HDI73" s="97"/>
      <c r="HDJ73" s="97"/>
      <c r="HDK73" s="97"/>
      <c r="HDL73" s="97"/>
      <c r="HDM73" s="97"/>
      <c r="HDN73" s="97"/>
      <c r="HDO73" s="97"/>
      <c r="HDP73" s="97"/>
      <c r="HDQ73" s="97"/>
      <c r="HDR73" s="97"/>
      <c r="HDS73" s="97"/>
      <c r="HDT73" s="97"/>
      <c r="HDU73" s="97"/>
      <c r="HDV73" s="97"/>
      <c r="HDW73" s="97"/>
      <c r="HDX73" s="97"/>
      <c r="HDY73" s="97"/>
      <c r="HDZ73" s="97"/>
      <c r="HEA73" s="97"/>
      <c r="HEB73" s="97"/>
      <c r="HEC73" s="97"/>
      <c r="HED73" s="97"/>
      <c r="HEE73" s="97"/>
      <c r="HEF73" s="97"/>
      <c r="HEG73" s="97"/>
      <c r="HEH73" s="97"/>
      <c r="HEI73" s="97"/>
      <c r="HEJ73" s="97"/>
      <c r="HEK73" s="97"/>
      <c r="HEL73" s="97"/>
      <c r="HEM73" s="97"/>
      <c r="HEN73" s="97"/>
      <c r="HEO73" s="97"/>
      <c r="HEP73" s="97"/>
      <c r="HEQ73" s="97"/>
      <c r="HER73" s="97"/>
      <c r="HES73" s="97"/>
      <c r="HET73" s="97"/>
      <c r="HEU73" s="97"/>
      <c r="HEV73" s="97"/>
      <c r="HEW73" s="97"/>
      <c r="HEX73" s="97"/>
      <c r="HEY73" s="97"/>
      <c r="HEZ73" s="97"/>
      <c r="HFA73" s="97"/>
      <c r="HFB73" s="97"/>
      <c r="HFC73" s="97"/>
      <c r="HFD73" s="97"/>
      <c r="HFE73" s="97"/>
      <c r="HFF73" s="97"/>
      <c r="HFG73" s="97"/>
      <c r="HFH73" s="97"/>
      <c r="HFI73" s="97"/>
      <c r="HFJ73" s="97"/>
      <c r="HFK73" s="97"/>
      <c r="HFL73" s="97"/>
      <c r="HFM73" s="97"/>
      <c r="HFN73" s="97"/>
      <c r="HFO73" s="97"/>
      <c r="HFP73" s="97"/>
      <c r="HFQ73" s="97"/>
      <c r="HFR73" s="97"/>
      <c r="HFS73" s="97"/>
      <c r="HFT73" s="97"/>
      <c r="HFU73" s="97"/>
      <c r="HFV73" s="97"/>
      <c r="HFW73" s="97"/>
      <c r="HFX73" s="97"/>
      <c r="HFY73" s="97"/>
      <c r="HFZ73" s="97"/>
      <c r="HGA73" s="97"/>
      <c r="HGB73" s="97"/>
      <c r="HGC73" s="97"/>
      <c r="HGD73" s="97"/>
      <c r="HGE73" s="97"/>
      <c r="HGF73" s="97"/>
      <c r="HGG73" s="97"/>
      <c r="HGH73" s="97"/>
      <c r="HGI73" s="97"/>
      <c r="HGJ73" s="97"/>
      <c r="HGK73" s="97"/>
      <c r="HGL73" s="97"/>
      <c r="HGM73" s="97"/>
      <c r="HGN73" s="97"/>
      <c r="HGO73" s="97"/>
      <c r="HGP73" s="97"/>
      <c r="HGQ73" s="97"/>
      <c r="HGR73" s="97"/>
      <c r="HGS73" s="97"/>
      <c r="HGT73" s="97"/>
      <c r="HGU73" s="97"/>
      <c r="HGV73" s="97"/>
      <c r="HGW73" s="97"/>
      <c r="HGX73" s="97"/>
      <c r="HGY73" s="97"/>
      <c r="HGZ73" s="97"/>
      <c r="HHA73" s="97"/>
      <c r="HHB73" s="97"/>
      <c r="HHC73" s="97"/>
      <c r="HHD73" s="97"/>
      <c r="HHE73" s="97"/>
      <c r="HHF73" s="97"/>
      <c r="HHG73" s="97"/>
      <c r="HHH73" s="97"/>
      <c r="HHI73" s="97"/>
      <c r="HHJ73" s="97"/>
      <c r="HHK73" s="97"/>
      <c r="HHL73" s="97"/>
      <c r="HHM73" s="97"/>
      <c r="HHN73" s="97"/>
      <c r="HHO73" s="97"/>
      <c r="HHP73" s="97"/>
      <c r="HHQ73" s="97"/>
      <c r="HHR73" s="97"/>
      <c r="HHS73" s="97"/>
      <c r="HHT73" s="97"/>
      <c r="HHU73" s="97"/>
      <c r="HHV73" s="97"/>
      <c r="HHW73" s="97"/>
      <c r="HHX73" s="97"/>
      <c r="HHY73" s="97"/>
      <c r="HHZ73" s="97"/>
      <c r="HIA73" s="97"/>
      <c r="HIB73" s="97"/>
      <c r="HIC73" s="97"/>
      <c r="HID73" s="97"/>
      <c r="HIE73" s="97"/>
      <c r="HIF73" s="97"/>
      <c r="HIG73" s="97"/>
      <c r="HIH73" s="97"/>
      <c r="HII73" s="97"/>
      <c r="HIJ73" s="97"/>
      <c r="HIK73" s="97"/>
      <c r="HIL73" s="97"/>
      <c r="HIM73" s="97"/>
      <c r="HIN73" s="97"/>
      <c r="HIO73" s="97"/>
      <c r="HIP73" s="97"/>
      <c r="HIQ73" s="97"/>
      <c r="HIR73" s="97"/>
      <c r="HIS73" s="97"/>
      <c r="HIT73" s="97"/>
      <c r="HIU73" s="97"/>
      <c r="HIV73" s="97"/>
      <c r="HIW73" s="97"/>
      <c r="HIX73" s="97"/>
      <c r="HIY73" s="97"/>
      <c r="HIZ73" s="97"/>
      <c r="HJA73" s="97"/>
      <c r="HJB73" s="97"/>
      <c r="HJC73" s="97"/>
      <c r="HJD73" s="97"/>
      <c r="HJE73" s="97"/>
      <c r="HJF73" s="97"/>
      <c r="HJG73" s="97"/>
      <c r="HJH73" s="97"/>
      <c r="HJI73" s="97"/>
      <c r="HJJ73" s="97"/>
      <c r="HJK73" s="97"/>
      <c r="HJL73" s="97"/>
      <c r="HJM73" s="97"/>
      <c r="HJN73" s="97"/>
      <c r="HJO73" s="97"/>
      <c r="HJP73" s="97"/>
      <c r="HJQ73" s="97"/>
      <c r="HJR73" s="97"/>
      <c r="HJS73" s="97"/>
      <c r="HJT73" s="97"/>
      <c r="HJU73" s="97"/>
      <c r="HJV73" s="97"/>
      <c r="HJW73" s="97"/>
      <c r="HJX73" s="97"/>
      <c r="HJY73" s="97"/>
      <c r="HJZ73" s="97"/>
      <c r="HKA73" s="97"/>
      <c r="HKB73" s="97"/>
      <c r="HKC73" s="97"/>
      <c r="HKD73" s="97"/>
      <c r="HKE73" s="97"/>
      <c r="HKF73" s="97"/>
      <c r="HKG73" s="97"/>
      <c r="HKH73" s="97"/>
      <c r="HKI73" s="97"/>
      <c r="HKJ73" s="97"/>
      <c r="HKK73" s="97"/>
      <c r="HKL73" s="97"/>
      <c r="HKM73" s="97"/>
      <c r="HKN73" s="97"/>
      <c r="HKO73" s="97"/>
      <c r="HKP73" s="97"/>
      <c r="HKQ73" s="97"/>
      <c r="HKR73" s="97"/>
      <c r="HKS73" s="97"/>
      <c r="HKT73" s="97"/>
      <c r="HKU73" s="97"/>
      <c r="HKV73" s="97"/>
      <c r="HKW73" s="97"/>
      <c r="HKX73" s="97"/>
      <c r="HKY73" s="97"/>
      <c r="HKZ73" s="97"/>
      <c r="HLA73" s="97"/>
      <c r="HLB73" s="97"/>
      <c r="HLC73" s="97"/>
      <c r="HLD73" s="97"/>
      <c r="HLE73" s="97"/>
      <c r="HLF73" s="97"/>
      <c r="HLG73" s="97"/>
      <c r="HLH73" s="97"/>
      <c r="HLI73" s="97"/>
      <c r="HLJ73" s="97"/>
      <c r="HLK73" s="97"/>
      <c r="HLL73" s="97"/>
      <c r="HLM73" s="97"/>
      <c r="HLN73" s="97"/>
      <c r="HLO73" s="97"/>
      <c r="HLP73" s="97"/>
      <c r="HLQ73" s="97"/>
      <c r="HLR73" s="97"/>
      <c r="HLS73" s="97"/>
      <c r="HLT73" s="97"/>
      <c r="HLU73" s="97"/>
      <c r="HLV73" s="97"/>
      <c r="HLW73" s="97"/>
      <c r="HLX73" s="97"/>
      <c r="HLY73" s="97"/>
      <c r="HLZ73" s="97"/>
      <c r="HMA73" s="97"/>
      <c r="HMB73" s="97"/>
      <c r="HMC73" s="97"/>
      <c r="HMD73" s="97"/>
      <c r="HME73" s="97"/>
      <c r="HMF73" s="97"/>
      <c r="HMG73" s="97"/>
      <c r="HMH73" s="97"/>
      <c r="HMI73" s="97"/>
      <c r="HMJ73" s="97"/>
      <c r="HMK73" s="97"/>
      <c r="HML73" s="97"/>
      <c r="HMM73" s="97"/>
      <c r="HMN73" s="97"/>
      <c r="HMO73" s="97"/>
      <c r="HMP73" s="97"/>
      <c r="HMQ73" s="97"/>
      <c r="HMR73" s="97"/>
      <c r="HMS73" s="97"/>
      <c r="HMT73" s="97"/>
      <c r="HMU73" s="97"/>
      <c r="HMV73" s="97"/>
      <c r="HMW73" s="97"/>
      <c r="HMX73" s="97"/>
      <c r="HMY73" s="97"/>
      <c r="HMZ73" s="97"/>
      <c r="HNA73" s="97"/>
      <c r="HNB73" s="97"/>
      <c r="HNC73" s="97"/>
      <c r="HND73" s="97"/>
      <c r="HNE73" s="97"/>
      <c r="HNF73" s="97"/>
      <c r="HNG73" s="97"/>
      <c r="HNH73" s="97"/>
      <c r="HNI73" s="97"/>
      <c r="HNJ73" s="97"/>
      <c r="HNK73" s="97"/>
      <c r="HNL73" s="97"/>
      <c r="HNM73" s="97"/>
      <c r="HNN73" s="97"/>
      <c r="HNO73" s="97"/>
      <c r="HNP73" s="97"/>
      <c r="HNQ73" s="97"/>
      <c r="HNR73" s="97"/>
      <c r="HNS73" s="97"/>
      <c r="HNT73" s="97"/>
      <c r="HNU73" s="97"/>
      <c r="HNV73" s="97"/>
      <c r="HNW73" s="97"/>
      <c r="HNX73" s="97"/>
      <c r="HNY73" s="97"/>
      <c r="HNZ73" s="97"/>
      <c r="HOA73" s="97"/>
      <c r="HOB73" s="97"/>
      <c r="HOC73" s="97"/>
      <c r="HOD73" s="97"/>
      <c r="HOE73" s="97"/>
      <c r="HOF73" s="97"/>
      <c r="HOG73" s="97"/>
      <c r="HOH73" s="97"/>
      <c r="HOI73" s="97"/>
      <c r="HOJ73" s="97"/>
      <c r="HOK73" s="97"/>
      <c r="HOL73" s="97"/>
      <c r="HOM73" s="97"/>
      <c r="HON73" s="97"/>
      <c r="HOO73" s="97"/>
      <c r="HOP73" s="97"/>
      <c r="HOQ73" s="97"/>
      <c r="HOR73" s="97"/>
      <c r="HOS73" s="97"/>
      <c r="HOT73" s="97"/>
      <c r="HOU73" s="97"/>
      <c r="HOV73" s="97"/>
      <c r="HOW73" s="97"/>
      <c r="HOX73" s="97"/>
      <c r="HOY73" s="97"/>
      <c r="HOZ73" s="97"/>
      <c r="HPA73" s="97"/>
      <c r="HPB73" s="97"/>
      <c r="HPC73" s="97"/>
      <c r="HPD73" s="97"/>
      <c r="HPE73" s="97"/>
      <c r="HPF73" s="97"/>
      <c r="HPG73" s="97"/>
      <c r="HPH73" s="97"/>
      <c r="HPI73" s="97"/>
      <c r="HPJ73" s="97"/>
      <c r="HPK73" s="97"/>
      <c r="HPL73" s="97"/>
      <c r="HPM73" s="97"/>
      <c r="HPN73" s="97"/>
      <c r="HPO73" s="97"/>
      <c r="HPP73" s="97"/>
      <c r="HPQ73" s="97"/>
      <c r="HPR73" s="97"/>
      <c r="HPS73" s="97"/>
      <c r="HPT73" s="97"/>
      <c r="HPU73" s="97"/>
      <c r="HPV73" s="97"/>
      <c r="HPW73" s="97"/>
      <c r="HPX73" s="97"/>
      <c r="HPY73" s="97"/>
      <c r="HPZ73" s="97"/>
      <c r="HQA73" s="97"/>
      <c r="HQB73" s="97"/>
      <c r="HQC73" s="97"/>
      <c r="HQD73" s="97"/>
      <c r="HQE73" s="97"/>
      <c r="HQF73" s="97"/>
      <c r="HQG73" s="97"/>
      <c r="HQH73" s="97"/>
      <c r="HQI73" s="97"/>
      <c r="HQJ73" s="97"/>
      <c r="HQK73" s="97"/>
      <c r="HQL73" s="97"/>
      <c r="HQM73" s="97"/>
      <c r="HQN73" s="97"/>
      <c r="HQO73" s="97"/>
      <c r="HQP73" s="97"/>
      <c r="HQQ73" s="97"/>
      <c r="HQR73" s="97"/>
      <c r="HQS73" s="97"/>
      <c r="HQT73" s="97"/>
      <c r="HQU73" s="97"/>
      <c r="HQV73" s="97"/>
      <c r="HQW73" s="97"/>
      <c r="HQX73" s="97"/>
      <c r="HQY73" s="97"/>
      <c r="HQZ73" s="97"/>
      <c r="HRA73" s="97"/>
      <c r="HRB73" s="97"/>
      <c r="HRC73" s="97"/>
      <c r="HRD73" s="97"/>
      <c r="HRE73" s="97"/>
      <c r="HRF73" s="97"/>
      <c r="HRG73" s="97"/>
      <c r="HRH73" s="97"/>
      <c r="HRI73" s="97"/>
      <c r="HRJ73" s="97"/>
      <c r="HRK73" s="97"/>
      <c r="HRL73" s="97"/>
      <c r="HRM73" s="97"/>
      <c r="HRN73" s="97"/>
      <c r="HRO73" s="97"/>
      <c r="HRP73" s="97"/>
      <c r="HRQ73" s="97"/>
      <c r="HRR73" s="97"/>
      <c r="HRS73" s="97"/>
      <c r="HRT73" s="97"/>
      <c r="HRU73" s="97"/>
      <c r="HRV73" s="97"/>
      <c r="HRW73" s="97"/>
      <c r="HRX73" s="97"/>
      <c r="HRY73" s="97"/>
      <c r="HRZ73" s="97"/>
      <c r="HSA73" s="97"/>
      <c r="HSB73" s="97"/>
      <c r="HSC73" s="97"/>
      <c r="HSD73" s="97"/>
      <c r="HSE73" s="97"/>
      <c r="HSF73" s="97"/>
      <c r="HSG73" s="97"/>
      <c r="HSH73" s="97"/>
      <c r="HSI73" s="97"/>
      <c r="HSJ73" s="97"/>
      <c r="HSK73" s="97"/>
      <c r="HSL73" s="97"/>
      <c r="HSM73" s="97"/>
      <c r="HSN73" s="97"/>
      <c r="HSO73" s="97"/>
      <c r="HSP73" s="97"/>
      <c r="HSQ73" s="97"/>
      <c r="HSR73" s="97"/>
      <c r="HSS73" s="97"/>
      <c r="HST73" s="97"/>
      <c r="HSU73" s="97"/>
      <c r="HSV73" s="97"/>
      <c r="HSW73" s="97"/>
      <c r="HSX73" s="97"/>
      <c r="HSY73" s="97"/>
      <c r="HSZ73" s="97"/>
      <c r="HTA73" s="97"/>
      <c r="HTB73" s="97"/>
      <c r="HTC73" s="97"/>
      <c r="HTD73" s="97"/>
      <c r="HTE73" s="97"/>
      <c r="HTF73" s="97"/>
      <c r="HTG73" s="97"/>
      <c r="HTH73" s="97"/>
      <c r="HTI73" s="97"/>
      <c r="HTJ73" s="97"/>
      <c r="HTK73" s="97"/>
      <c r="HTL73" s="97"/>
      <c r="HTM73" s="97"/>
      <c r="HTN73" s="97"/>
      <c r="HTO73" s="97"/>
      <c r="HTP73" s="97"/>
      <c r="HTQ73" s="97"/>
      <c r="HTR73" s="97"/>
      <c r="HTS73" s="97"/>
      <c r="HTT73" s="97"/>
      <c r="HTU73" s="97"/>
      <c r="HTV73" s="97"/>
      <c r="HTW73" s="97"/>
      <c r="HTX73" s="97"/>
      <c r="HTY73" s="97"/>
      <c r="HTZ73" s="97"/>
      <c r="HUA73" s="97"/>
      <c r="HUB73" s="97"/>
      <c r="HUC73" s="97"/>
      <c r="HUD73" s="97"/>
      <c r="HUE73" s="97"/>
      <c r="HUF73" s="97"/>
      <c r="HUG73" s="97"/>
      <c r="HUH73" s="97"/>
      <c r="HUI73" s="97"/>
      <c r="HUJ73" s="97"/>
      <c r="HUK73" s="97"/>
      <c r="HUL73" s="97"/>
      <c r="HUM73" s="97"/>
      <c r="HUN73" s="97"/>
      <c r="HUO73" s="97"/>
      <c r="HUP73" s="97"/>
      <c r="HUQ73" s="97"/>
      <c r="HUR73" s="97"/>
      <c r="HUS73" s="97"/>
      <c r="HUT73" s="97"/>
      <c r="HUU73" s="97"/>
      <c r="HUV73" s="97"/>
      <c r="HUW73" s="97"/>
      <c r="HUX73" s="97"/>
      <c r="HUY73" s="97"/>
      <c r="HUZ73" s="97"/>
      <c r="HVA73" s="97"/>
      <c r="HVB73" s="97"/>
      <c r="HVC73" s="97"/>
      <c r="HVD73" s="97"/>
      <c r="HVE73" s="97"/>
      <c r="HVF73" s="97"/>
      <c r="HVG73" s="97"/>
      <c r="HVH73" s="97"/>
      <c r="HVI73" s="97"/>
      <c r="HVJ73" s="97"/>
      <c r="HVK73" s="97"/>
      <c r="HVL73" s="97"/>
      <c r="HVM73" s="97"/>
      <c r="HVN73" s="97"/>
      <c r="HVO73" s="97"/>
      <c r="HVP73" s="97"/>
      <c r="HVQ73" s="97"/>
      <c r="HVR73" s="97"/>
      <c r="HVS73" s="97"/>
      <c r="HVT73" s="97"/>
      <c r="HVU73" s="97"/>
      <c r="HVV73" s="97"/>
      <c r="HVW73" s="97"/>
      <c r="HVX73" s="97"/>
      <c r="HVY73" s="97"/>
      <c r="HVZ73" s="97"/>
      <c r="HWA73" s="97"/>
      <c r="HWB73" s="97"/>
      <c r="HWC73" s="97"/>
      <c r="HWD73" s="97"/>
      <c r="HWE73" s="97"/>
      <c r="HWF73" s="97"/>
      <c r="HWG73" s="97"/>
      <c r="HWH73" s="97"/>
      <c r="HWI73" s="97"/>
      <c r="HWJ73" s="97"/>
      <c r="HWK73" s="97"/>
      <c r="HWL73" s="97"/>
      <c r="HWM73" s="97"/>
      <c r="HWN73" s="97"/>
      <c r="HWO73" s="97"/>
      <c r="HWP73" s="97"/>
      <c r="HWQ73" s="97"/>
      <c r="HWR73" s="97"/>
      <c r="HWS73" s="97"/>
      <c r="HWT73" s="97"/>
      <c r="HWU73" s="97"/>
      <c r="HWV73" s="97"/>
      <c r="HWW73" s="97"/>
      <c r="HWX73" s="97"/>
      <c r="HWY73" s="97"/>
      <c r="HWZ73" s="97"/>
      <c r="HXA73" s="97"/>
      <c r="HXB73" s="97"/>
      <c r="HXC73" s="97"/>
      <c r="HXD73" s="97"/>
      <c r="HXE73" s="97"/>
      <c r="HXF73" s="97"/>
      <c r="HXG73" s="97"/>
      <c r="HXH73" s="97"/>
      <c r="HXI73" s="97"/>
      <c r="HXJ73" s="97"/>
      <c r="HXK73" s="97"/>
      <c r="HXL73" s="97"/>
      <c r="HXM73" s="97"/>
      <c r="HXN73" s="97"/>
      <c r="HXO73" s="97"/>
      <c r="HXP73" s="97"/>
      <c r="HXQ73" s="97"/>
      <c r="HXR73" s="97"/>
      <c r="HXS73" s="97"/>
      <c r="HXT73" s="97"/>
      <c r="HXU73" s="97"/>
      <c r="HXV73" s="97"/>
      <c r="HXW73" s="97"/>
      <c r="HXX73" s="97"/>
      <c r="HXY73" s="97"/>
      <c r="HXZ73" s="97"/>
      <c r="HYA73" s="97"/>
      <c r="HYB73" s="97"/>
      <c r="HYC73" s="97"/>
      <c r="HYD73" s="97"/>
      <c r="HYE73" s="97"/>
      <c r="HYF73" s="97"/>
      <c r="HYG73" s="97"/>
      <c r="HYH73" s="97"/>
      <c r="HYI73" s="97"/>
      <c r="HYJ73" s="97"/>
      <c r="HYK73" s="97"/>
      <c r="HYL73" s="97"/>
      <c r="HYM73" s="97"/>
      <c r="HYN73" s="97"/>
      <c r="HYO73" s="97"/>
      <c r="HYP73" s="97"/>
      <c r="HYQ73" s="97"/>
      <c r="HYR73" s="97"/>
      <c r="HYS73" s="97"/>
      <c r="HYT73" s="97"/>
      <c r="HYU73" s="97"/>
      <c r="HYV73" s="97"/>
      <c r="HYW73" s="97"/>
      <c r="HYX73" s="97"/>
      <c r="HYY73" s="97"/>
      <c r="HYZ73" s="97"/>
      <c r="HZA73" s="97"/>
      <c r="HZB73" s="97"/>
      <c r="HZC73" s="97"/>
      <c r="HZD73" s="97"/>
      <c r="HZE73" s="97"/>
      <c r="HZF73" s="97"/>
      <c r="HZG73" s="97"/>
      <c r="HZH73" s="97"/>
      <c r="HZI73" s="97"/>
      <c r="HZJ73" s="97"/>
      <c r="HZK73" s="97"/>
      <c r="HZL73" s="97"/>
      <c r="HZM73" s="97"/>
      <c r="HZN73" s="97"/>
      <c r="HZO73" s="97"/>
      <c r="HZP73" s="97"/>
      <c r="HZQ73" s="97"/>
      <c r="HZR73" s="97"/>
      <c r="HZS73" s="97"/>
      <c r="HZT73" s="97"/>
      <c r="HZU73" s="97"/>
      <c r="HZV73" s="97"/>
      <c r="HZW73" s="97"/>
      <c r="HZX73" s="97"/>
      <c r="HZY73" s="97"/>
      <c r="HZZ73" s="97"/>
      <c r="IAA73" s="97"/>
      <c r="IAB73" s="97"/>
      <c r="IAC73" s="97"/>
      <c r="IAD73" s="97"/>
      <c r="IAE73" s="97"/>
      <c r="IAF73" s="97"/>
      <c r="IAG73" s="97"/>
      <c r="IAH73" s="97"/>
      <c r="IAI73" s="97"/>
      <c r="IAJ73" s="97"/>
      <c r="IAK73" s="97"/>
      <c r="IAL73" s="97"/>
      <c r="IAM73" s="97"/>
      <c r="IAN73" s="97"/>
      <c r="IAO73" s="97"/>
      <c r="IAP73" s="97"/>
      <c r="IAQ73" s="97"/>
      <c r="IAR73" s="97"/>
      <c r="IAS73" s="97"/>
      <c r="IAT73" s="97"/>
      <c r="IAU73" s="97"/>
      <c r="IAV73" s="97"/>
      <c r="IAW73" s="97"/>
      <c r="IAX73" s="97"/>
      <c r="IAY73" s="97"/>
      <c r="IAZ73" s="97"/>
      <c r="IBA73" s="97"/>
      <c r="IBB73" s="97"/>
      <c r="IBC73" s="97"/>
      <c r="IBD73" s="97"/>
      <c r="IBE73" s="97"/>
      <c r="IBF73" s="97"/>
      <c r="IBG73" s="97"/>
      <c r="IBH73" s="97"/>
      <c r="IBI73" s="97"/>
      <c r="IBJ73" s="97"/>
      <c r="IBK73" s="97"/>
      <c r="IBL73" s="97"/>
      <c r="IBM73" s="97"/>
      <c r="IBN73" s="97"/>
      <c r="IBO73" s="97"/>
      <c r="IBP73" s="97"/>
      <c r="IBQ73" s="97"/>
      <c r="IBR73" s="97"/>
      <c r="IBS73" s="97"/>
      <c r="IBT73" s="97"/>
      <c r="IBU73" s="97"/>
      <c r="IBV73" s="97"/>
      <c r="IBW73" s="97"/>
      <c r="IBX73" s="97"/>
      <c r="IBY73" s="97"/>
      <c r="IBZ73" s="97"/>
      <c r="ICA73" s="97"/>
      <c r="ICB73" s="97"/>
      <c r="ICC73" s="97"/>
      <c r="ICD73" s="97"/>
      <c r="ICE73" s="97"/>
      <c r="ICF73" s="97"/>
      <c r="ICG73" s="97"/>
      <c r="ICH73" s="97"/>
      <c r="ICI73" s="97"/>
      <c r="ICJ73" s="97"/>
      <c r="ICK73" s="97"/>
      <c r="ICL73" s="97"/>
      <c r="ICM73" s="97"/>
      <c r="ICN73" s="97"/>
      <c r="ICO73" s="97"/>
      <c r="ICP73" s="97"/>
      <c r="ICQ73" s="97"/>
      <c r="ICR73" s="97"/>
      <c r="ICS73" s="97"/>
      <c r="ICT73" s="97"/>
      <c r="ICU73" s="97"/>
      <c r="ICV73" s="97"/>
      <c r="ICW73" s="97"/>
      <c r="ICX73" s="97"/>
      <c r="ICY73" s="97"/>
      <c r="ICZ73" s="97"/>
      <c r="IDA73" s="97"/>
      <c r="IDB73" s="97"/>
      <c r="IDC73" s="97"/>
      <c r="IDD73" s="97"/>
      <c r="IDE73" s="97"/>
      <c r="IDF73" s="97"/>
      <c r="IDG73" s="97"/>
      <c r="IDH73" s="97"/>
      <c r="IDI73" s="97"/>
      <c r="IDJ73" s="97"/>
      <c r="IDK73" s="97"/>
      <c r="IDL73" s="97"/>
      <c r="IDM73" s="97"/>
      <c r="IDN73" s="97"/>
      <c r="IDO73" s="97"/>
      <c r="IDP73" s="97"/>
      <c r="IDQ73" s="97"/>
      <c r="IDR73" s="97"/>
      <c r="IDS73" s="97"/>
      <c r="IDT73" s="97"/>
      <c r="IDU73" s="97"/>
      <c r="IDV73" s="97"/>
      <c r="IDW73" s="97"/>
      <c r="IDX73" s="97"/>
      <c r="IDY73" s="97"/>
      <c r="IDZ73" s="97"/>
      <c r="IEA73" s="97"/>
      <c r="IEB73" s="97"/>
      <c r="IEC73" s="97"/>
      <c r="IED73" s="97"/>
      <c r="IEE73" s="97"/>
      <c r="IEF73" s="97"/>
      <c r="IEG73" s="97"/>
      <c r="IEH73" s="97"/>
      <c r="IEI73" s="97"/>
      <c r="IEJ73" s="97"/>
      <c r="IEK73" s="97"/>
      <c r="IEL73" s="97"/>
      <c r="IEM73" s="97"/>
      <c r="IEN73" s="97"/>
      <c r="IEO73" s="97"/>
      <c r="IEP73" s="97"/>
      <c r="IEQ73" s="97"/>
      <c r="IER73" s="97"/>
      <c r="IES73" s="97"/>
      <c r="IET73" s="97"/>
      <c r="IEU73" s="97"/>
      <c r="IEV73" s="97"/>
      <c r="IEW73" s="97"/>
      <c r="IEX73" s="97"/>
      <c r="IEY73" s="97"/>
      <c r="IEZ73" s="97"/>
      <c r="IFA73" s="97"/>
      <c r="IFB73" s="97"/>
      <c r="IFC73" s="97"/>
      <c r="IFD73" s="97"/>
      <c r="IFE73" s="97"/>
      <c r="IFF73" s="97"/>
      <c r="IFG73" s="97"/>
      <c r="IFH73" s="97"/>
      <c r="IFI73" s="97"/>
      <c r="IFJ73" s="97"/>
      <c r="IFK73" s="97"/>
      <c r="IFL73" s="97"/>
      <c r="IFM73" s="97"/>
      <c r="IFN73" s="97"/>
      <c r="IFO73" s="97"/>
      <c r="IFP73" s="97"/>
      <c r="IFQ73" s="97"/>
      <c r="IFR73" s="97"/>
      <c r="IFS73" s="97"/>
      <c r="IFT73" s="97"/>
      <c r="IFU73" s="97"/>
      <c r="IFV73" s="97"/>
      <c r="IFW73" s="97"/>
      <c r="IFX73" s="97"/>
      <c r="IFY73" s="97"/>
      <c r="IFZ73" s="97"/>
      <c r="IGA73" s="97"/>
      <c r="IGB73" s="97"/>
      <c r="IGC73" s="97"/>
      <c r="IGD73" s="97"/>
      <c r="IGE73" s="97"/>
      <c r="IGF73" s="97"/>
      <c r="IGG73" s="97"/>
      <c r="IGH73" s="97"/>
      <c r="IGI73" s="97"/>
      <c r="IGJ73" s="97"/>
      <c r="IGK73" s="97"/>
      <c r="IGL73" s="97"/>
      <c r="IGM73" s="97"/>
      <c r="IGN73" s="97"/>
      <c r="IGO73" s="97"/>
      <c r="IGP73" s="97"/>
      <c r="IGQ73" s="97"/>
      <c r="IGR73" s="97"/>
      <c r="IGS73" s="97"/>
      <c r="IGT73" s="97"/>
      <c r="IGU73" s="97"/>
      <c r="IGV73" s="97"/>
      <c r="IGW73" s="97"/>
      <c r="IGX73" s="97"/>
      <c r="IGY73" s="97"/>
      <c r="IGZ73" s="97"/>
      <c r="IHA73" s="97"/>
      <c r="IHB73" s="97"/>
      <c r="IHC73" s="97"/>
      <c r="IHD73" s="97"/>
      <c r="IHE73" s="97"/>
      <c r="IHF73" s="97"/>
      <c r="IHG73" s="97"/>
      <c r="IHH73" s="97"/>
      <c r="IHI73" s="97"/>
      <c r="IHJ73" s="97"/>
      <c r="IHK73" s="97"/>
      <c r="IHL73" s="97"/>
      <c r="IHM73" s="97"/>
      <c r="IHN73" s="97"/>
      <c r="IHO73" s="97"/>
      <c r="IHP73" s="97"/>
      <c r="IHQ73" s="97"/>
      <c r="IHR73" s="97"/>
      <c r="IHS73" s="97"/>
      <c r="IHT73" s="97"/>
      <c r="IHU73" s="97"/>
      <c r="IHV73" s="97"/>
      <c r="IHW73" s="97"/>
      <c r="IHX73" s="97"/>
      <c r="IHY73" s="97"/>
      <c r="IHZ73" s="97"/>
      <c r="IIA73" s="97"/>
      <c r="IIB73" s="97"/>
      <c r="IIC73" s="97"/>
      <c r="IID73" s="97"/>
      <c r="IIE73" s="97"/>
      <c r="IIF73" s="97"/>
      <c r="IIG73" s="97"/>
      <c r="IIH73" s="97"/>
      <c r="III73" s="97"/>
      <c r="IIJ73" s="97"/>
      <c r="IIK73" s="97"/>
      <c r="IIL73" s="97"/>
      <c r="IIM73" s="97"/>
      <c r="IIN73" s="97"/>
      <c r="IIO73" s="97"/>
      <c r="IIP73" s="97"/>
      <c r="IIQ73" s="97"/>
      <c r="IIR73" s="97"/>
      <c r="IIS73" s="97"/>
      <c r="IIT73" s="97"/>
      <c r="IIU73" s="97"/>
      <c r="IIV73" s="97"/>
      <c r="IIW73" s="97"/>
      <c r="IIX73" s="97"/>
      <c r="IIY73" s="97"/>
      <c r="IIZ73" s="97"/>
      <c r="IJA73" s="97"/>
      <c r="IJB73" s="97"/>
      <c r="IJC73" s="97"/>
      <c r="IJD73" s="97"/>
      <c r="IJE73" s="97"/>
      <c r="IJF73" s="97"/>
      <c r="IJG73" s="97"/>
      <c r="IJH73" s="97"/>
      <c r="IJI73" s="97"/>
      <c r="IJJ73" s="97"/>
      <c r="IJK73" s="97"/>
      <c r="IJL73" s="97"/>
      <c r="IJM73" s="97"/>
      <c r="IJN73" s="97"/>
      <c r="IJO73" s="97"/>
      <c r="IJP73" s="97"/>
      <c r="IJQ73" s="97"/>
      <c r="IJR73" s="97"/>
      <c r="IJS73" s="97"/>
      <c r="IJT73" s="97"/>
      <c r="IJU73" s="97"/>
      <c r="IJV73" s="97"/>
      <c r="IJW73" s="97"/>
      <c r="IJX73" s="97"/>
      <c r="IJY73" s="97"/>
      <c r="IJZ73" s="97"/>
      <c r="IKA73" s="97"/>
      <c r="IKB73" s="97"/>
      <c r="IKC73" s="97"/>
      <c r="IKD73" s="97"/>
      <c r="IKE73" s="97"/>
      <c r="IKF73" s="97"/>
      <c r="IKG73" s="97"/>
      <c r="IKH73" s="97"/>
      <c r="IKI73" s="97"/>
      <c r="IKJ73" s="97"/>
      <c r="IKK73" s="97"/>
      <c r="IKL73" s="97"/>
      <c r="IKM73" s="97"/>
      <c r="IKN73" s="97"/>
      <c r="IKO73" s="97"/>
      <c r="IKP73" s="97"/>
      <c r="IKQ73" s="97"/>
      <c r="IKR73" s="97"/>
      <c r="IKS73" s="97"/>
      <c r="IKT73" s="97"/>
      <c r="IKU73" s="97"/>
      <c r="IKV73" s="97"/>
      <c r="IKW73" s="97"/>
      <c r="IKX73" s="97"/>
      <c r="IKY73" s="97"/>
      <c r="IKZ73" s="97"/>
      <c r="ILA73" s="97"/>
      <c r="ILB73" s="97"/>
      <c r="ILC73" s="97"/>
      <c r="ILD73" s="97"/>
      <c r="ILE73" s="97"/>
      <c r="ILF73" s="97"/>
      <c r="ILG73" s="97"/>
      <c r="ILH73" s="97"/>
      <c r="ILI73" s="97"/>
      <c r="ILJ73" s="97"/>
      <c r="ILK73" s="97"/>
      <c r="ILL73" s="97"/>
      <c r="ILM73" s="97"/>
      <c r="ILN73" s="97"/>
      <c r="ILO73" s="97"/>
      <c r="ILP73" s="97"/>
      <c r="ILQ73" s="97"/>
      <c r="ILR73" s="97"/>
      <c r="ILS73" s="97"/>
      <c r="ILT73" s="97"/>
      <c r="ILU73" s="97"/>
      <c r="ILV73" s="97"/>
      <c r="ILW73" s="97"/>
      <c r="ILX73" s="97"/>
      <c r="ILY73" s="97"/>
      <c r="ILZ73" s="97"/>
      <c r="IMA73" s="97"/>
      <c r="IMB73" s="97"/>
      <c r="IMC73" s="97"/>
      <c r="IMD73" s="97"/>
      <c r="IME73" s="97"/>
      <c r="IMF73" s="97"/>
      <c r="IMG73" s="97"/>
      <c r="IMH73" s="97"/>
      <c r="IMI73" s="97"/>
      <c r="IMJ73" s="97"/>
      <c r="IMK73" s="97"/>
      <c r="IML73" s="97"/>
      <c r="IMM73" s="97"/>
      <c r="IMN73" s="97"/>
      <c r="IMO73" s="97"/>
      <c r="IMP73" s="97"/>
      <c r="IMQ73" s="97"/>
      <c r="IMR73" s="97"/>
      <c r="IMS73" s="97"/>
      <c r="IMT73" s="97"/>
      <c r="IMU73" s="97"/>
      <c r="IMV73" s="97"/>
      <c r="IMW73" s="97"/>
      <c r="IMX73" s="97"/>
      <c r="IMY73" s="97"/>
      <c r="IMZ73" s="97"/>
      <c r="INA73" s="97"/>
      <c r="INB73" s="97"/>
      <c r="INC73" s="97"/>
      <c r="IND73" s="97"/>
      <c r="INE73" s="97"/>
      <c r="INF73" s="97"/>
      <c r="ING73" s="97"/>
      <c r="INH73" s="97"/>
      <c r="INI73" s="97"/>
      <c r="INJ73" s="97"/>
      <c r="INK73" s="97"/>
      <c r="INL73" s="97"/>
      <c r="INM73" s="97"/>
      <c r="INN73" s="97"/>
      <c r="INO73" s="97"/>
      <c r="INP73" s="97"/>
      <c r="INQ73" s="97"/>
      <c r="INR73" s="97"/>
      <c r="INS73" s="97"/>
      <c r="INT73" s="97"/>
      <c r="INU73" s="97"/>
      <c r="INV73" s="97"/>
      <c r="INW73" s="97"/>
      <c r="INX73" s="97"/>
      <c r="INY73" s="97"/>
      <c r="INZ73" s="97"/>
      <c r="IOA73" s="97"/>
      <c r="IOB73" s="97"/>
      <c r="IOC73" s="97"/>
      <c r="IOD73" s="97"/>
      <c r="IOE73" s="97"/>
      <c r="IOF73" s="97"/>
      <c r="IOG73" s="97"/>
      <c r="IOH73" s="97"/>
      <c r="IOI73" s="97"/>
      <c r="IOJ73" s="97"/>
      <c r="IOK73" s="97"/>
      <c r="IOL73" s="97"/>
      <c r="IOM73" s="97"/>
      <c r="ION73" s="97"/>
      <c r="IOO73" s="97"/>
      <c r="IOP73" s="97"/>
      <c r="IOQ73" s="97"/>
      <c r="IOR73" s="97"/>
      <c r="IOS73" s="97"/>
      <c r="IOT73" s="97"/>
      <c r="IOU73" s="97"/>
      <c r="IOV73" s="97"/>
      <c r="IOW73" s="97"/>
      <c r="IOX73" s="97"/>
      <c r="IOY73" s="97"/>
      <c r="IOZ73" s="97"/>
      <c r="IPA73" s="97"/>
      <c r="IPB73" s="97"/>
      <c r="IPC73" s="97"/>
      <c r="IPD73" s="97"/>
      <c r="IPE73" s="97"/>
      <c r="IPF73" s="97"/>
      <c r="IPG73" s="97"/>
      <c r="IPH73" s="97"/>
      <c r="IPI73" s="97"/>
      <c r="IPJ73" s="97"/>
      <c r="IPK73" s="97"/>
      <c r="IPL73" s="97"/>
      <c r="IPM73" s="97"/>
      <c r="IPN73" s="97"/>
      <c r="IPO73" s="97"/>
      <c r="IPP73" s="97"/>
      <c r="IPQ73" s="97"/>
      <c r="IPR73" s="97"/>
      <c r="IPS73" s="97"/>
      <c r="IPT73" s="97"/>
      <c r="IPU73" s="97"/>
      <c r="IPV73" s="97"/>
      <c r="IPW73" s="97"/>
      <c r="IPX73" s="97"/>
      <c r="IPY73" s="97"/>
      <c r="IPZ73" s="97"/>
      <c r="IQA73" s="97"/>
      <c r="IQB73" s="97"/>
      <c r="IQC73" s="97"/>
      <c r="IQD73" s="97"/>
      <c r="IQE73" s="97"/>
      <c r="IQF73" s="97"/>
      <c r="IQG73" s="97"/>
      <c r="IQH73" s="97"/>
      <c r="IQI73" s="97"/>
      <c r="IQJ73" s="97"/>
      <c r="IQK73" s="97"/>
      <c r="IQL73" s="97"/>
      <c r="IQM73" s="97"/>
      <c r="IQN73" s="97"/>
      <c r="IQO73" s="97"/>
      <c r="IQP73" s="97"/>
      <c r="IQQ73" s="97"/>
      <c r="IQR73" s="97"/>
      <c r="IQS73" s="97"/>
      <c r="IQT73" s="97"/>
      <c r="IQU73" s="97"/>
      <c r="IQV73" s="97"/>
      <c r="IQW73" s="97"/>
      <c r="IQX73" s="97"/>
      <c r="IQY73" s="97"/>
      <c r="IQZ73" s="97"/>
      <c r="IRA73" s="97"/>
      <c r="IRB73" s="97"/>
      <c r="IRC73" s="97"/>
      <c r="IRD73" s="97"/>
      <c r="IRE73" s="97"/>
      <c r="IRF73" s="97"/>
      <c r="IRG73" s="97"/>
      <c r="IRH73" s="97"/>
      <c r="IRI73" s="97"/>
      <c r="IRJ73" s="97"/>
      <c r="IRK73" s="97"/>
      <c r="IRL73" s="97"/>
      <c r="IRM73" s="97"/>
      <c r="IRN73" s="97"/>
      <c r="IRO73" s="97"/>
      <c r="IRP73" s="97"/>
      <c r="IRQ73" s="97"/>
      <c r="IRR73" s="97"/>
      <c r="IRS73" s="97"/>
      <c r="IRT73" s="97"/>
      <c r="IRU73" s="97"/>
      <c r="IRV73" s="97"/>
      <c r="IRW73" s="97"/>
      <c r="IRX73" s="97"/>
      <c r="IRY73" s="97"/>
      <c r="IRZ73" s="97"/>
      <c r="ISA73" s="97"/>
      <c r="ISB73" s="97"/>
      <c r="ISC73" s="97"/>
      <c r="ISD73" s="97"/>
      <c r="ISE73" s="97"/>
      <c r="ISF73" s="97"/>
      <c r="ISG73" s="97"/>
      <c r="ISH73" s="97"/>
      <c r="ISI73" s="97"/>
      <c r="ISJ73" s="97"/>
      <c r="ISK73" s="97"/>
      <c r="ISL73" s="97"/>
      <c r="ISM73" s="97"/>
      <c r="ISN73" s="97"/>
      <c r="ISO73" s="97"/>
      <c r="ISP73" s="97"/>
      <c r="ISQ73" s="97"/>
      <c r="ISR73" s="97"/>
      <c r="ISS73" s="97"/>
      <c r="IST73" s="97"/>
      <c r="ISU73" s="97"/>
      <c r="ISV73" s="97"/>
      <c r="ISW73" s="97"/>
      <c r="ISX73" s="97"/>
      <c r="ISY73" s="97"/>
      <c r="ISZ73" s="97"/>
      <c r="ITA73" s="97"/>
      <c r="ITB73" s="97"/>
      <c r="ITC73" s="97"/>
      <c r="ITD73" s="97"/>
      <c r="ITE73" s="97"/>
      <c r="ITF73" s="97"/>
      <c r="ITG73" s="97"/>
      <c r="ITH73" s="97"/>
      <c r="ITI73" s="97"/>
      <c r="ITJ73" s="97"/>
      <c r="ITK73" s="97"/>
      <c r="ITL73" s="97"/>
      <c r="ITM73" s="97"/>
      <c r="ITN73" s="97"/>
      <c r="ITO73" s="97"/>
      <c r="ITP73" s="97"/>
      <c r="ITQ73" s="97"/>
      <c r="ITR73" s="97"/>
      <c r="ITS73" s="97"/>
      <c r="ITT73" s="97"/>
      <c r="ITU73" s="97"/>
      <c r="ITV73" s="97"/>
      <c r="ITW73" s="97"/>
      <c r="ITX73" s="97"/>
      <c r="ITY73" s="97"/>
      <c r="ITZ73" s="97"/>
      <c r="IUA73" s="97"/>
      <c r="IUB73" s="97"/>
      <c r="IUC73" s="97"/>
      <c r="IUD73" s="97"/>
      <c r="IUE73" s="97"/>
      <c r="IUF73" s="97"/>
      <c r="IUG73" s="97"/>
      <c r="IUH73" s="97"/>
      <c r="IUI73" s="97"/>
      <c r="IUJ73" s="97"/>
      <c r="IUK73" s="97"/>
      <c r="IUL73" s="97"/>
      <c r="IUM73" s="97"/>
      <c r="IUN73" s="97"/>
      <c r="IUO73" s="97"/>
      <c r="IUP73" s="97"/>
      <c r="IUQ73" s="97"/>
      <c r="IUR73" s="97"/>
      <c r="IUS73" s="97"/>
      <c r="IUT73" s="97"/>
      <c r="IUU73" s="97"/>
      <c r="IUV73" s="97"/>
      <c r="IUW73" s="97"/>
      <c r="IUX73" s="97"/>
      <c r="IUY73" s="97"/>
      <c r="IUZ73" s="97"/>
      <c r="IVA73" s="97"/>
      <c r="IVB73" s="97"/>
      <c r="IVC73" s="97"/>
      <c r="IVD73" s="97"/>
      <c r="IVE73" s="97"/>
      <c r="IVF73" s="97"/>
      <c r="IVG73" s="97"/>
      <c r="IVH73" s="97"/>
      <c r="IVI73" s="97"/>
      <c r="IVJ73" s="97"/>
      <c r="IVK73" s="97"/>
      <c r="IVL73" s="97"/>
      <c r="IVM73" s="97"/>
      <c r="IVN73" s="97"/>
      <c r="IVO73" s="97"/>
      <c r="IVP73" s="97"/>
      <c r="IVQ73" s="97"/>
      <c r="IVR73" s="97"/>
      <c r="IVS73" s="97"/>
      <c r="IVT73" s="97"/>
      <c r="IVU73" s="97"/>
      <c r="IVV73" s="97"/>
      <c r="IVW73" s="97"/>
      <c r="IVX73" s="97"/>
      <c r="IVY73" s="97"/>
      <c r="IVZ73" s="97"/>
      <c r="IWA73" s="97"/>
      <c r="IWB73" s="97"/>
      <c r="IWC73" s="97"/>
      <c r="IWD73" s="97"/>
      <c r="IWE73" s="97"/>
      <c r="IWF73" s="97"/>
      <c r="IWG73" s="97"/>
      <c r="IWH73" s="97"/>
      <c r="IWI73" s="97"/>
      <c r="IWJ73" s="97"/>
      <c r="IWK73" s="97"/>
      <c r="IWL73" s="97"/>
      <c r="IWM73" s="97"/>
      <c r="IWN73" s="97"/>
      <c r="IWO73" s="97"/>
      <c r="IWP73" s="97"/>
      <c r="IWQ73" s="97"/>
      <c r="IWR73" s="97"/>
      <c r="IWS73" s="97"/>
      <c r="IWT73" s="97"/>
      <c r="IWU73" s="97"/>
      <c r="IWV73" s="97"/>
      <c r="IWW73" s="97"/>
      <c r="IWX73" s="97"/>
      <c r="IWY73" s="97"/>
      <c r="IWZ73" s="97"/>
      <c r="IXA73" s="97"/>
      <c r="IXB73" s="97"/>
      <c r="IXC73" s="97"/>
      <c r="IXD73" s="97"/>
      <c r="IXE73" s="97"/>
      <c r="IXF73" s="97"/>
      <c r="IXG73" s="97"/>
      <c r="IXH73" s="97"/>
      <c r="IXI73" s="97"/>
      <c r="IXJ73" s="97"/>
      <c r="IXK73" s="97"/>
      <c r="IXL73" s="97"/>
      <c r="IXM73" s="97"/>
      <c r="IXN73" s="97"/>
      <c r="IXO73" s="97"/>
      <c r="IXP73" s="97"/>
      <c r="IXQ73" s="97"/>
      <c r="IXR73" s="97"/>
      <c r="IXS73" s="97"/>
      <c r="IXT73" s="97"/>
      <c r="IXU73" s="97"/>
      <c r="IXV73" s="97"/>
      <c r="IXW73" s="97"/>
      <c r="IXX73" s="97"/>
      <c r="IXY73" s="97"/>
      <c r="IXZ73" s="97"/>
      <c r="IYA73" s="97"/>
      <c r="IYB73" s="97"/>
      <c r="IYC73" s="97"/>
      <c r="IYD73" s="97"/>
      <c r="IYE73" s="97"/>
      <c r="IYF73" s="97"/>
      <c r="IYG73" s="97"/>
      <c r="IYH73" s="97"/>
      <c r="IYI73" s="97"/>
      <c r="IYJ73" s="97"/>
      <c r="IYK73" s="97"/>
      <c r="IYL73" s="97"/>
      <c r="IYM73" s="97"/>
      <c r="IYN73" s="97"/>
      <c r="IYO73" s="97"/>
      <c r="IYP73" s="97"/>
      <c r="IYQ73" s="97"/>
      <c r="IYR73" s="97"/>
      <c r="IYS73" s="97"/>
      <c r="IYT73" s="97"/>
      <c r="IYU73" s="97"/>
      <c r="IYV73" s="97"/>
      <c r="IYW73" s="97"/>
      <c r="IYX73" s="97"/>
      <c r="IYY73" s="97"/>
      <c r="IYZ73" s="97"/>
      <c r="IZA73" s="97"/>
      <c r="IZB73" s="97"/>
      <c r="IZC73" s="97"/>
      <c r="IZD73" s="97"/>
      <c r="IZE73" s="97"/>
      <c r="IZF73" s="97"/>
      <c r="IZG73" s="97"/>
      <c r="IZH73" s="97"/>
      <c r="IZI73" s="97"/>
      <c r="IZJ73" s="97"/>
      <c r="IZK73" s="97"/>
      <c r="IZL73" s="97"/>
      <c r="IZM73" s="97"/>
      <c r="IZN73" s="97"/>
      <c r="IZO73" s="97"/>
      <c r="IZP73" s="97"/>
      <c r="IZQ73" s="97"/>
      <c r="IZR73" s="97"/>
      <c r="IZS73" s="97"/>
      <c r="IZT73" s="97"/>
      <c r="IZU73" s="97"/>
      <c r="IZV73" s="97"/>
      <c r="IZW73" s="97"/>
      <c r="IZX73" s="97"/>
      <c r="IZY73" s="97"/>
      <c r="IZZ73" s="97"/>
      <c r="JAA73" s="97"/>
      <c r="JAB73" s="97"/>
      <c r="JAC73" s="97"/>
      <c r="JAD73" s="97"/>
      <c r="JAE73" s="97"/>
      <c r="JAF73" s="97"/>
      <c r="JAG73" s="97"/>
      <c r="JAH73" s="97"/>
      <c r="JAI73" s="97"/>
      <c r="JAJ73" s="97"/>
      <c r="JAK73" s="97"/>
      <c r="JAL73" s="97"/>
      <c r="JAM73" s="97"/>
      <c r="JAN73" s="97"/>
      <c r="JAO73" s="97"/>
      <c r="JAP73" s="97"/>
      <c r="JAQ73" s="97"/>
      <c r="JAR73" s="97"/>
      <c r="JAS73" s="97"/>
      <c r="JAT73" s="97"/>
      <c r="JAU73" s="97"/>
      <c r="JAV73" s="97"/>
      <c r="JAW73" s="97"/>
      <c r="JAX73" s="97"/>
      <c r="JAY73" s="97"/>
      <c r="JAZ73" s="97"/>
      <c r="JBA73" s="97"/>
      <c r="JBB73" s="97"/>
      <c r="JBC73" s="97"/>
      <c r="JBD73" s="97"/>
      <c r="JBE73" s="97"/>
      <c r="JBF73" s="97"/>
      <c r="JBG73" s="97"/>
      <c r="JBH73" s="97"/>
      <c r="JBI73" s="97"/>
      <c r="JBJ73" s="97"/>
      <c r="JBK73" s="97"/>
      <c r="JBL73" s="97"/>
      <c r="JBM73" s="97"/>
      <c r="JBN73" s="97"/>
      <c r="JBO73" s="97"/>
      <c r="JBP73" s="97"/>
      <c r="JBQ73" s="97"/>
      <c r="JBR73" s="97"/>
      <c r="JBS73" s="97"/>
      <c r="JBT73" s="97"/>
      <c r="JBU73" s="97"/>
      <c r="JBV73" s="97"/>
      <c r="JBW73" s="97"/>
      <c r="JBX73" s="97"/>
      <c r="JBY73" s="97"/>
      <c r="JBZ73" s="97"/>
      <c r="JCA73" s="97"/>
      <c r="JCB73" s="97"/>
      <c r="JCC73" s="97"/>
      <c r="JCD73" s="97"/>
      <c r="JCE73" s="97"/>
      <c r="JCF73" s="97"/>
      <c r="JCG73" s="97"/>
      <c r="JCH73" s="97"/>
      <c r="JCI73" s="97"/>
      <c r="JCJ73" s="97"/>
      <c r="JCK73" s="97"/>
      <c r="JCL73" s="97"/>
      <c r="JCM73" s="97"/>
      <c r="JCN73" s="97"/>
      <c r="JCO73" s="97"/>
      <c r="JCP73" s="97"/>
      <c r="JCQ73" s="97"/>
      <c r="JCR73" s="97"/>
      <c r="JCS73" s="97"/>
      <c r="JCT73" s="97"/>
      <c r="JCU73" s="97"/>
      <c r="JCV73" s="97"/>
      <c r="JCW73" s="97"/>
      <c r="JCX73" s="97"/>
      <c r="JCY73" s="97"/>
      <c r="JCZ73" s="97"/>
      <c r="JDA73" s="97"/>
      <c r="JDB73" s="97"/>
      <c r="JDC73" s="97"/>
      <c r="JDD73" s="97"/>
      <c r="JDE73" s="97"/>
      <c r="JDF73" s="97"/>
      <c r="JDG73" s="97"/>
      <c r="JDH73" s="97"/>
      <c r="JDI73" s="97"/>
      <c r="JDJ73" s="97"/>
      <c r="JDK73" s="97"/>
      <c r="JDL73" s="97"/>
      <c r="JDM73" s="97"/>
      <c r="JDN73" s="97"/>
      <c r="JDO73" s="97"/>
      <c r="JDP73" s="97"/>
      <c r="JDQ73" s="97"/>
      <c r="JDR73" s="97"/>
      <c r="JDS73" s="97"/>
      <c r="JDT73" s="97"/>
      <c r="JDU73" s="97"/>
      <c r="JDV73" s="97"/>
      <c r="JDW73" s="97"/>
      <c r="JDX73" s="97"/>
      <c r="JDY73" s="97"/>
      <c r="JDZ73" s="97"/>
      <c r="JEA73" s="97"/>
      <c r="JEB73" s="97"/>
      <c r="JEC73" s="97"/>
      <c r="JED73" s="97"/>
      <c r="JEE73" s="97"/>
      <c r="JEF73" s="97"/>
      <c r="JEG73" s="97"/>
      <c r="JEH73" s="97"/>
      <c r="JEI73" s="97"/>
      <c r="JEJ73" s="97"/>
      <c r="JEK73" s="97"/>
      <c r="JEL73" s="97"/>
      <c r="JEM73" s="97"/>
      <c r="JEN73" s="97"/>
      <c r="JEO73" s="97"/>
      <c r="JEP73" s="97"/>
      <c r="JEQ73" s="97"/>
      <c r="JER73" s="97"/>
      <c r="JES73" s="97"/>
      <c r="JET73" s="97"/>
      <c r="JEU73" s="97"/>
      <c r="JEV73" s="97"/>
      <c r="JEW73" s="97"/>
      <c r="JEX73" s="97"/>
      <c r="JEY73" s="97"/>
      <c r="JEZ73" s="97"/>
      <c r="JFA73" s="97"/>
      <c r="JFB73" s="97"/>
      <c r="JFC73" s="97"/>
      <c r="JFD73" s="97"/>
      <c r="JFE73" s="97"/>
      <c r="JFF73" s="97"/>
      <c r="JFG73" s="97"/>
      <c r="JFH73" s="97"/>
      <c r="JFI73" s="97"/>
      <c r="JFJ73" s="97"/>
      <c r="JFK73" s="97"/>
      <c r="JFL73" s="97"/>
      <c r="JFM73" s="97"/>
      <c r="JFN73" s="97"/>
      <c r="JFO73" s="97"/>
      <c r="JFP73" s="97"/>
      <c r="JFQ73" s="97"/>
      <c r="JFR73" s="97"/>
      <c r="JFS73" s="97"/>
      <c r="JFT73" s="97"/>
      <c r="JFU73" s="97"/>
      <c r="JFV73" s="97"/>
      <c r="JFW73" s="97"/>
      <c r="JFX73" s="97"/>
      <c r="JFY73" s="97"/>
      <c r="JFZ73" s="97"/>
      <c r="JGA73" s="97"/>
      <c r="JGB73" s="97"/>
      <c r="JGC73" s="97"/>
      <c r="JGD73" s="97"/>
      <c r="JGE73" s="97"/>
      <c r="JGF73" s="97"/>
      <c r="JGG73" s="97"/>
      <c r="JGH73" s="97"/>
      <c r="JGI73" s="97"/>
      <c r="JGJ73" s="97"/>
      <c r="JGK73" s="97"/>
      <c r="JGL73" s="97"/>
      <c r="JGM73" s="97"/>
      <c r="JGN73" s="97"/>
      <c r="JGO73" s="97"/>
      <c r="JGP73" s="97"/>
      <c r="JGQ73" s="97"/>
      <c r="JGR73" s="97"/>
      <c r="JGS73" s="97"/>
      <c r="JGT73" s="97"/>
      <c r="JGU73" s="97"/>
      <c r="JGV73" s="97"/>
      <c r="JGW73" s="97"/>
      <c r="JGX73" s="97"/>
      <c r="JGY73" s="97"/>
      <c r="JGZ73" s="97"/>
      <c r="JHA73" s="97"/>
      <c r="JHB73" s="97"/>
      <c r="JHC73" s="97"/>
      <c r="JHD73" s="97"/>
      <c r="JHE73" s="97"/>
      <c r="JHF73" s="97"/>
      <c r="JHG73" s="97"/>
      <c r="JHH73" s="97"/>
      <c r="JHI73" s="97"/>
      <c r="JHJ73" s="97"/>
      <c r="JHK73" s="97"/>
      <c r="JHL73" s="97"/>
      <c r="JHM73" s="97"/>
      <c r="JHN73" s="97"/>
      <c r="JHO73" s="97"/>
      <c r="JHP73" s="97"/>
      <c r="JHQ73" s="97"/>
      <c r="JHR73" s="97"/>
      <c r="JHS73" s="97"/>
      <c r="JHT73" s="97"/>
      <c r="JHU73" s="97"/>
      <c r="JHV73" s="97"/>
      <c r="JHW73" s="97"/>
      <c r="JHX73" s="97"/>
      <c r="JHY73" s="97"/>
      <c r="JHZ73" s="97"/>
      <c r="JIA73" s="97"/>
      <c r="JIB73" s="97"/>
      <c r="JIC73" s="97"/>
      <c r="JID73" s="97"/>
      <c r="JIE73" s="97"/>
      <c r="JIF73" s="97"/>
      <c r="JIG73" s="97"/>
      <c r="JIH73" s="97"/>
      <c r="JII73" s="97"/>
      <c r="JIJ73" s="97"/>
      <c r="JIK73" s="97"/>
      <c r="JIL73" s="97"/>
      <c r="JIM73" s="97"/>
      <c r="JIN73" s="97"/>
      <c r="JIO73" s="97"/>
      <c r="JIP73" s="97"/>
      <c r="JIQ73" s="97"/>
      <c r="JIR73" s="97"/>
      <c r="JIS73" s="97"/>
      <c r="JIT73" s="97"/>
      <c r="JIU73" s="97"/>
      <c r="JIV73" s="97"/>
      <c r="JIW73" s="97"/>
      <c r="JIX73" s="97"/>
      <c r="JIY73" s="97"/>
      <c r="JIZ73" s="97"/>
      <c r="JJA73" s="97"/>
      <c r="JJB73" s="97"/>
      <c r="JJC73" s="97"/>
      <c r="JJD73" s="97"/>
      <c r="JJE73" s="97"/>
      <c r="JJF73" s="97"/>
      <c r="JJG73" s="97"/>
      <c r="JJH73" s="97"/>
      <c r="JJI73" s="97"/>
      <c r="JJJ73" s="97"/>
      <c r="JJK73" s="97"/>
      <c r="JJL73" s="97"/>
      <c r="JJM73" s="97"/>
      <c r="JJN73" s="97"/>
      <c r="JJO73" s="97"/>
      <c r="JJP73" s="97"/>
      <c r="JJQ73" s="97"/>
      <c r="JJR73" s="97"/>
      <c r="JJS73" s="97"/>
      <c r="JJT73" s="97"/>
      <c r="JJU73" s="97"/>
      <c r="JJV73" s="97"/>
      <c r="JJW73" s="97"/>
      <c r="JJX73" s="97"/>
      <c r="JJY73" s="97"/>
      <c r="JJZ73" s="97"/>
      <c r="JKA73" s="97"/>
      <c r="JKB73" s="97"/>
      <c r="JKC73" s="97"/>
      <c r="JKD73" s="97"/>
      <c r="JKE73" s="97"/>
      <c r="JKF73" s="97"/>
      <c r="JKG73" s="97"/>
      <c r="JKH73" s="97"/>
      <c r="JKI73" s="97"/>
      <c r="JKJ73" s="97"/>
      <c r="JKK73" s="97"/>
      <c r="JKL73" s="97"/>
      <c r="JKM73" s="97"/>
      <c r="JKN73" s="97"/>
      <c r="JKO73" s="97"/>
      <c r="JKP73" s="97"/>
      <c r="JKQ73" s="97"/>
      <c r="JKR73" s="97"/>
      <c r="JKS73" s="97"/>
      <c r="JKT73" s="97"/>
      <c r="JKU73" s="97"/>
      <c r="JKV73" s="97"/>
      <c r="JKW73" s="97"/>
      <c r="JKX73" s="97"/>
      <c r="JKY73" s="97"/>
      <c r="JKZ73" s="97"/>
      <c r="JLA73" s="97"/>
      <c r="JLB73" s="97"/>
      <c r="JLC73" s="97"/>
      <c r="JLD73" s="97"/>
      <c r="JLE73" s="97"/>
      <c r="JLF73" s="97"/>
      <c r="JLG73" s="97"/>
      <c r="JLH73" s="97"/>
      <c r="JLI73" s="97"/>
      <c r="JLJ73" s="97"/>
      <c r="JLK73" s="97"/>
      <c r="JLL73" s="97"/>
      <c r="JLM73" s="97"/>
      <c r="JLN73" s="97"/>
      <c r="JLO73" s="97"/>
      <c r="JLP73" s="97"/>
      <c r="JLQ73" s="97"/>
      <c r="JLR73" s="97"/>
      <c r="JLS73" s="97"/>
      <c r="JLT73" s="97"/>
      <c r="JLU73" s="97"/>
      <c r="JLV73" s="97"/>
      <c r="JLW73" s="97"/>
      <c r="JLX73" s="97"/>
      <c r="JLY73" s="97"/>
      <c r="JLZ73" s="97"/>
      <c r="JMA73" s="97"/>
      <c r="JMB73" s="97"/>
      <c r="JMC73" s="97"/>
      <c r="JMD73" s="97"/>
      <c r="JME73" s="97"/>
      <c r="JMF73" s="97"/>
      <c r="JMG73" s="97"/>
      <c r="JMH73" s="97"/>
      <c r="JMI73" s="97"/>
      <c r="JMJ73" s="97"/>
      <c r="JMK73" s="97"/>
      <c r="JML73" s="97"/>
      <c r="JMM73" s="97"/>
      <c r="JMN73" s="97"/>
      <c r="JMO73" s="97"/>
      <c r="JMP73" s="97"/>
      <c r="JMQ73" s="97"/>
      <c r="JMR73" s="97"/>
      <c r="JMS73" s="97"/>
      <c r="JMT73" s="97"/>
      <c r="JMU73" s="97"/>
      <c r="JMV73" s="97"/>
      <c r="JMW73" s="97"/>
      <c r="JMX73" s="97"/>
      <c r="JMY73" s="97"/>
      <c r="JMZ73" s="97"/>
      <c r="JNA73" s="97"/>
      <c r="JNB73" s="97"/>
      <c r="JNC73" s="97"/>
      <c r="JND73" s="97"/>
      <c r="JNE73" s="97"/>
      <c r="JNF73" s="97"/>
      <c r="JNG73" s="97"/>
      <c r="JNH73" s="97"/>
      <c r="JNI73" s="97"/>
      <c r="JNJ73" s="97"/>
      <c r="JNK73" s="97"/>
      <c r="JNL73" s="97"/>
      <c r="JNM73" s="97"/>
      <c r="JNN73" s="97"/>
      <c r="JNO73" s="97"/>
      <c r="JNP73" s="97"/>
      <c r="JNQ73" s="97"/>
      <c r="JNR73" s="97"/>
      <c r="JNS73" s="97"/>
      <c r="JNT73" s="97"/>
      <c r="JNU73" s="97"/>
      <c r="JNV73" s="97"/>
      <c r="JNW73" s="97"/>
      <c r="JNX73" s="97"/>
      <c r="JNY73" s="97"/>
      <c r="JNZ73" s="97"/>
      <c r="JOA73" s="97"/>
      <c r="JOB73" s="97"/>
      <c r="JOC73" s="97"/>
      <c r="JOD73" s="97"/>
      <c r="JOE73" s="97"/>
      <c r="JOF73" s="97"/>
      <c r="JOG73" s="97"/>
      <c r="JOH73" s="97"/>
      <c r="JOI73" s="97"/>
      <c r="JOJ73" s="97"/>
      <c r="JOK73" s="97"/>
      <c r="JOL73" s="97"/>
      <c r="JOM73" s="97"/>
      <c r="JON73" s="97"/>
      <c r="JOO73" s="97"/>
      <c r="JOP73" s="97"/>
      <c r="JOQ73" s="97"/>
      <c r="JOR73" s="97"/>
      <c r="JOS73" s="97"/>
      <c r="JOT73" s="97"/>
      <c r="JOU73" s="97"/>
      <c r="JOV73" s="97"/>
      <c r="JOW73" s="97"/>
      <c r="JOX73" s="97"/>
      <c r="JOY73" s="97"/>
      <c r="JOZ73" s="97"/>
      <c r="JPA73" s="97"/>
      <c r="JPB73" s="97"/>
      <c r="JPC73" s="97"/>
      <c r="JPD73" s="97"/>
      <c r="JPE73" s="97"/>
      <c r="JPF73" s="97"/>
      <c r="JPG73" s="97"/>
      <c r="JPH73" s="97"/>
      <c r="JPI73" s="97"/>
      <c r="JPJ73" s="97"/>
      <c r="JPK73" s="97"/>
      <c r="JPL73" s="97"/>
      <c r="JPM73" s="97"/>
      <c r="JPN73" s="97"/>
      <c r="JPO73" s="97"/>
      <c r="JPP73" s="97"/>
      <c r="JPQ73" s="97"/>
      <c r="JPR73" s="97"/>
      <c r="JPS73" s="97"/>
      <c r="JPT73" s="97"/>
      <c r="JPU73" s="97"/>
      <c r="JPV73" s="97"/>
      <c r="JPW73" s="97"/>
      <c r="JPX73" s="97"/>
      <c r="JPY73" s="97"/>
      <c r="JPZ73" s="97"/>
      <c r="JQA73" s="97"/>
      <c r="JQB73" s="97"/>
      <c r="JQC73" s="97"/>
      <c r="JQD73" s="97"/>
      <c r="JQE73" s="97"/>
      <c r="JQF73" s="97"/>
      <c r="JQG73" s="97"/>
      <c r="JQH73" s="97"/>
      <c r="JQI73" s="97"/>
      <c r="JQJ73" s="97"/>
      <c r="JQK73" s="97"/>
      <c r="JQL73" s="97"/>
      <c r="JQM73" s="97"/>
      <c r="JQN73" s="97"/>
      <c r="JQO73" s="97"/>
      <c r="JQP73" s="97"/>
      <c r="JQQ73" s="97"/>
      <c r="JQR73" s="97"/>
      <c r="JQS73" s="97"/>
      <c r="JQT73" s="97"/>
      <c r="JQU73" s="97"/>
      <c r="JQV73" s="97"/>
      <c r="JQW73" s="97"/>
      <c r="JQX73" s="97"/>
      <c r="JQY73" s="97"/>
      <c r="JQZ73" s="97"/>
      <c r="JRA73" s="97"/>
      <c r="JRB73" s="97"/>
      <c r="JRC73" s="97"/>
      <c r="JRD73" s="97"/>
      <c r="JRE73" s="97"/>
      <c r="JRF73" s="97"/>
      <c r="JRG73" s="97"/>
      <c r="JRH73" s="97"/>
      <c r="JRI73" s="97"/>
      <c r="JRJ73" s="97"/>
      <c r="JRK73" s="97"/>
      <c r="JRL73" s="97"/>
      <c r="JRM73" s="97"/>
      <c r="JRN73" s="97"/>
      <c r="JRO73" s="97"/>
      <c r="JRP73" s="97"/>
      <c r="JRQ73" s="97"/>
      <c r="JRR73" s="97"/>
      <c r="JRS73" s="97"/>
      <c r="JRT73" s="97"/>
      <c r="JRU73" s="97"/>
      <c r="JRV73" s="97"/>
      <c r="JRW73" s="97"/>
      <c r="JRX73" s="97"/>
      <c r="JRY73" s="97"/>
      <c r="JRZ73" s="97"/>
      <c r="JSA73" s="97"/>
      <c r="JSB73" s="97"/>
      <c r="JSC73" s="97"/>
      <c r="JSD73" s="97"/>
      <c r="JSE73" s="97"/>
      <c r="JSF73" s="97"/>
      <c r="JSG73" s="97"/>
      <c r="JSH73" s="97"/>
      <c r="JSI73" s="97"/>
      <c r="JSJ73" s="97"/>
      <c r="JSK73" s="97"/>
      <c r="JSL73" s="97"/>
      <c r="JSM73" s="97"/>
      <c r="JSN73" s="97"/>
      <c r="JSO73" s="97"/>
      <c r="JSP73" s="97"/>
      <c r="JSQ73" s="97"/>
      <c r="JSR73" s="97"/>
      <c r="JSS73" s="97"/>
      <c r="JST73" s="97"/>
      <c r="JSU73" s="97"/>
      <c r="JSV73" s="97"/>
      <c r="JSW73" s="97"/>
      <c r="JSX73" s="97"/>
      <c r="JSY73" s="97"/>
      <c r="JSZ73" s="97"/>
      <c r="JTA73" s="97"/>
      <c r="JTB73" s="97"/>
      <c r="JTC73" s="97"/>
      <c r="JTD73" s="97"/>
      <c r="JTE73" s="97"/>
      <c r="JTF73" s="97"/>
      <c r="JTG73" s="97"/>
      <c r="JTH73" s="97"/>
      <c r="JTI73" s="97"/>
      <c r="JTJ73" s="97"/>
      <c r="JTK73" s="97"/>
      <c r="JTL73" s="97"/>
      <c r="JTM73" s="97"/>
      <c r="JTN73" s="97"/>
      <c r="JTO73" s="97"/>
      <c r="JTP73" s="97"/>
      <c r="JTQ73" s="97"/>
      <c r="JTR73" s="97"/>
      <c r="JTS73" s="97"/>
      <c r="JTT73" s="97"/>
      <c r="JTU73" s="97"/>
      <c r="JTV73" s="97"/>
      <c r="JTW73" s="97"/>
      <c r="JTX73" s="97"/>
      <c r="JTY73" s="97"/>
      <c r="JTZ73" s="97"/>
      <c r="JUA73" s="97"/>
      <c r="JUB73" s="97"/>
      <c r="JUC73" s="97"/>
      <c r="JUD73" s="97"/>
      <c r="JUE73" s="97"/>
      <c r="JUF73" s="97"/>
      <c r="JUG73" s="97"/>
      <c r="JUH73" s="97"/>
      <c r="JUI73" s="97"/>
      <c r="JUJ73" s="97"/>
      <c r="JUK73" s="97"/>
      <c r="JUL73" s="97"/>
      <c r="JUM73" s="97"/>
      <c r="JUN73" s="97"/>
      <c r="JUO73" s="97"/>
      <c r="JUP73" s="97"/>
      <c r="JUQ73" s="97"/>
      <c r="JUR73" s="97"/>
      <c r="JUS73" s="97"/>
      <c r="JUT73" s="97"/>
      <c r="JUU73" s="97"/>
      <c r="JUV73" s="97"/>
      <c r="JUW73" s="97"/>
      <c r="JUX73" s="97"/>
      <c r="JUY73" s="97"/>
      <c r="JUZ73" s="97"/>
      <c r="JVA73" s="97"/>
      <c r="JVB73" s="97"/>
      <c r="JVC73" s="97"/>
      <c r="JVD73" s="97"/>
      <c r="JVE73" s="97"/>
      <c r="JVF73" s="97"/>
      <c r="JVG73" s="97"/>
      <c r="JVH73" s="97"/>
      <c r="JVI73" s="97"/>
      <c r="JVJ73" s="97"/>
      <c r="JVK73" s="97"/>
      <c r="JVL73" s="97"/>
      <c r="JVM73" s="97"/>
      <c r="JVN73" s="97"/>
      <c r="JVO73" s="97"/>
      <c r="JVP73" s="97"/>
      <c r="JVQ73" s="97"/>
      <c r="JVR73" s="97"/>
      <c r="JVS73" s="97"/>
      <c r="JVT73" s="97"/>
      <c r="JVU73" s="97"/>
      <c r="JVV73" s="97"/>
      <c r="JVW73" s="97"/>
      <c r="JVX73" s="97"/>
      <c r="JVY73" s="97"/>
      <c r="JVZ73" s="97"/>
      <c r="JWA73" s="97"/>
      <c r="JWB73" s="97"/>
      <c r="JWC73" s="97"/>
      <c r="JWD73" s="97"/>
      <c r="JWE73" s="97"/>
      <c r="JWF73" s="97"/>
      <c r="JWG73" s="97"/>
      <c r="JWH73" s="97"/>
      <c r="JWI73" s="97"/>
      <c r="JWJ73" s="97"/>
      <c r="JWK73" s="97"/>
      <c r="JWL73" s="97"/>
      <c r="JWM73" s="97"/>
      <c r="JWN73" s="97"/>
      <c r="JWO73" s="97"/>
      <c r="JWP73" s="97"/>
      <c r="JWQ73" s="97"/>
      <c r="JWR73" s="97"/>
      <c r="JWS73" s="97"/>
      <c r="JWT73" s="97"/>
      <c r="JWU73" s="97"/>
      <c r="JWV73" s="97"/>
      <c r="JWW73" s="97"/>
      <c r="JWX73" s="97"/>
      <c r="JWY73" s="97"/>
      <c r="JWZ73" s="97"/>
      <c r="JXA73" s="97"/>
      <c r="JXB73" s="97"/>
      <c r="JXC73" s="97"/>
      <c r="JXD73" s="97"/>
      <c r="JXE73" s="97"/>
      <c r="JXF73" s="97"/>
      <c r="JXG73" s="97"/>
      <c r="JXH73" s="97"/>
      <c r="JXI73" s="97"/>
      <c r="JXJ73" s="97"/>
      <c r="JXK73" s="97"/>
      <c r="JXL73" s="97"/>
      <c r="JXM73" s="97"/>
      <c r="JXN73" s="97"/>
      <c r="JXO73" s="97"/>
      <c r="JXP73" s="97"/>
      <c r="JXQ73" s="97"/>
      <c r="JXR73" s="97"/>
      <c r="JXS73" s="97"/>
      <c r="JXT73" s="97"/>
      <c r="JXU73" s="97"/>
      <c r="JXV73" s="97"/>
      <c r="JXW73" s="97"/>
      <c r="JXX73" s="97"/>
      <c r="JXY73" s="97"/>
      <c r="JXZ73" s="97"/>
      <c r="JYA73" s="97"/>
      <c r="JYB73" s="97"/>
      <c r="JYC73" s="97"/>
      <c r="JYD73" s="97"/>
      <c r="JYE73" s="97"/>
      <c r="JYF73" s="97"/>
      <c r="JYG73" s="97"/>
      <c r="JYH73" s="97"/>
      <c r="JYI73" s="97"/>
      <c r="JYJ73" s="97"/>
      <c r="JYK73" s="97"/>
      <c r="JYL73" s="97"/>
      <c r="JYM73" s="97"/>
      <c r="JYN73" s="97"/>
      <c r="JYO73" s="97"/>
      <c r="JYP73" s="97"/>
      <c r="JYQ73" s="97"/>
      <c r="JYR73" s="97"/>
      <c r="JYS73" s="97"/>
      <c r="JYT73" s="97"/>
      <c r="JYU73" s="97"/>
      <c r="JYV73" s="97"/>
      <c r="JYW73" s="97"/>
      <c r="JYX73" s="97"/>
      <c r="JYY73" s="97"/>
      <c r="JYZ73" s="97"/>
      <c r="JZA73" s="97"/>
      <c r="JZB73" s="97"/>
      <c r="JZC73" s="97"/>
      <c r="JZD73" s="97"/>
      <c r="JZE73" s="97"/>
      <c r="JZF73" s="97"/>
      <c r="JZG73" s="97"/>
      <c r="JZH73" s="97"/>
      <c r="JZI73" s="97"/>
      <c r="JZJ73" s="97"/>
      <c r="JZK73" s="97"/>
      <c r="JZL73" s="97"/>
      <c r="JZM73" s="97"/>
      <c r="JZN73" s="97"/>
      <c r="JZO73" s="97"/>
      <c r="JZP73" s="97"/>
      <c r="JZQ73" s="97"/>
      <c r="JZR73" s="97"/>
      <c r="JZS73" s="97"/>
      <c r="JZT73" s="97"/>
      <c r="JZU73" s="97"/>
      <c r="JZV73" s="97"/>
      <c r="JZW73" s="97"/>
      <c r="JZX73" s="97"/>
      <c r="JZY73" s="97"/>
      <c r="JZZ73" s="97"/>
      <c r="KAA73" s="97"/>
      <c r="KAB73" s="97"/>
      <c r="KAC73" s="97"/>
      <c r="KAD73" s="97"/>
      <c r="KAE73" s="97"/>
      <c r="KAF73" s="97"/>
      <c r="KAG73" s="97"/>
      <c r="KAH73" s="97"/>
      <c r="KAI73" s="97"/>
      <c r="KAJ73" s="97"/>
      <c r="KAK73" s="97"/>
      <c r="KAL73" s="97"/>
      <c r="KAM73" s="97"/>
      <c r="KAN73" s="97"/>
      <c r="KAO73" s="97"/>
      <c r="KAP73" s="97"/>
      <c r="KAQ73" s="97"/>
      <c r="KAR73" s="97"/>
      <c r="KAS73" s="97"/>
      <c r="KAT73" s="97"/>
      <c r="KAU73" s="97"/>
      <c r="KAV73" s="97"/>
      <c r="KAW73" s="97"/>
      <c r="KAX73" s="97"/>
      <c r="KAY73" s="97"/>
      <c r="KAZ73" s="97"/>
      <c r="KBA73" s="97"/>
      <c r="KBB73" s="97"/>
      <c r="KBC73" s="97"/>
      <c r="KBD73" s="97"/>
      <c r="KBE73" s="97"/>
      <c r="KBF73" s="97"/>
      <c r="KBG73" s="97"/>
      <c r="KBH73" s="97"/>
      <c r="KBI73" s="97"/>
      <c r="KBJ73" s="97"/>
      <c r="KBK73" s="97"/>
      <c r="KBL73" s="97"/>
      <c r="KBM73" s="97"/>
      <c r="KBN73" s="97"/>
      <c r="KBO73" s="97"/>
      <c r="KBP73" s="97"/>
      <c r="KBQ73" s="97"/>
      <c r="KBR73" s="97"/>
      <c r="KBS73" s="97"/>
      <c r="KBT73" s="97"/>
      <c r="KBU73" s="97"/>
      <c r="KBV73" s="97"/>
      <c r="KBW73" s="97"/>
      <c r="KBX73" s="97"/>
      <c r="KBY73" s="97"/>
      <c r="KBZ73" s="97"/>
      <c r="KCA73" s="97"/>
      <c r="KCB73" s="97"/>
      <c r="KCC73" s="97"/>
      <c r="KCD73" s="97"/>
      <c r="KCE73" s="97"/>
      <c r="KCF73" s="97"/>
      <c r="KCG73" s="97"/>
      <c r="KCH73" s="97"/>
      <c r="KCI73" s="97"/>
      <c r="KCJ73" s="97"/>
      <c r="KCK73" s="97"/>
      <c r="KCL73" s="97"/>
      <c r="KCM73" s="97"/>
      <c r="KCN73" s="97"/>
      <c r="KCO73" s="97"/>
      <c r="KCP73" s="97"/>
      <c r="KCQ73" s="97"/>
      <c r="KCR73" s="97"/>
      <c r="KCS73" s="97"/>
      <c r="KCT73" s="97"/>
      <c r="KCU73" s="97"/>
      <c r="KCV73" s="97"/>
      <c r="KCW73" s="97"/>
      <c r="KCX73" s="97"/>
      <c r="KCY73" s="97"/>
      <c r="KCZ73" s="97"/>
      <c r="KDA73" s="97"/>
      <c r="KDB73" s="97"/>
      <c r="KDC73" s="97"/>
      <c r="KDD73" s="97"/>
      <c r="KDE73" s="97"/>
      <c r="KDF73" s="97"/>
      <c r="KDG73" s="97"/>
      <c r="KDH73" s="97"/>
      <c r="KDI73" s="97"/>
      <c r="KDJ73" s="97"/>
      <c r="KDK73" s="97"/>
      <c r="KDL73" s="97"/>
      <c r="KDM73" s="97"/>
      <c r="KDN73" s="97"/>
      <c r="KDO73" s="97"/>
      <c r="KDP73" s="97"/>
      <c r="KDQ73" s="97"/>
      <c r="KDR73" s="97"/>
      <c r="KDS73" s="97"/>
      <c r="KDT73" s="97"/>
      <c r="KDU73" s="97"/>
      <c r="KDV73" s="97"/>
      <c r="KDW73" s="97"/>
      <c r="KDX73" s="97"/>
      <c r="KDY73" s="97"/>
      <c r="KDZ73" s="97"/>
      <c r="KEA73" s="97"/>
      <c r="KEB73" s="97"/>
      <c r="KEC73" s="97"/>
      <c r="KED73" s="97"/>
      <c r="KEE73" s="97"/>
      <c r="KEF73" s="97"/>
      <c r="KEG73" s="97"/>
      <c r="KEH73" s="97"/>
      <c r="KEI73" s="97"/>
      <c r="KEJ73" s="97"/>
      <c r="KEK73" s="97"/>
      <c r="KEL73" s="97"/>
      <c r="KEM73" s="97"/>
      <c r="KEN73" s="97"/>
      <c r="KEO73" s="97"/>
      <c r="KEP73" s="97"/>
      <c r="KEQ73" s="97"/>
      <c r="KER73" s="97"/>
      <c r="KES73" s="97"/>
      <c r="KET73" s="97"/>
      <c r="KEU73" s="97"/>
      <c r="KEV73" s="97"/>
      <c r="KEW73" s="97"/>
      <c r="KEX73" s="97"/>
      <c r="KEY73" s="97"/>
      <c r="KEZ73" s="97"/>
      <c r="KFA73" s="97"/>
      <c r="KFB73" s="97"/>
      <c r="KFC73" s="97"/>
      <c r="KFD73" s="97"/>
      <c r="KFE73" s="97"/>
      <c r="KFF73" s="97"/>
      <c r="KFG73" s="97"/>
      <c r="KFH73" s="97"/>
      <c r="KFI73" s="97"/>
      <c r="KFJ73" s="97"/>
      <c r="KFK73" s="97"/>
      <c r="KFL73" s="97"/>
      <c r="KFM73" s="97"/>
      <c r="KFN73" s="97"/>
      <c r="KFO73" s="97"/>
      <c r="KFP73" s="97"/>
      <c r="KFQ73" s="97"/>
      <c r="KFR73" s="97"/>
      <c r="KFS73" s="97"/>
      <c r="KFT73" s="97"/>
      <c r="KFU73" s="97"/>
      <c r="KFV73" s="97"/>
      <c r="KFW73" s="97"/>
      <c r="KFX73" s="97"/>
      <c r="KFY73" s="97"/>
      <c r="KFZ73" s="97"/>
      <c r="KGA73" s="97"/>
      <c r="KGB73" s="97"/>
      <c r="KGC73" s="97"/>
      <c r="KGD73" s="97"/>
      <c r="KGE73" s="97"/>
      <c r="KGF73" s="97"/>
      <c r="KGG73" s="97"/>
      <c r="KGH73" s="97"/>
      <c r="KGI73" s="97"/>
      <c r="KGJ73" s="97"/>
      <c r="KGK73" s="97"/>
      <c r="KGL73" s="97"/>
      <c r="KGM73" s="97"/>
      <c r="KGN73" s="97"/>
      <c r="KGO73" s="97"/>
      <c r="KGP73" s="97"/>
      <c r="KGQ73" s="97"/>
      <c r="KGR73" s="97"/>
      <c r="KGS73" s="97"/>
      <c r="KGT73" s="97"/>
      <c r="KGU73" s="97"/>
      <c r="KGV73" s="97"/>
      <c r="KGW73" s="97"/>
      <c r="KGX73" s="97"/>
      <c r="KGY73" s="97"/>
      <c r="KGZ73" s="97"/>
      <c r="KHA73" s="97"/>
      <c r="KHB73" s="97"/>
      <c r="KHC73" s="97"/>
      <c r="KHD73" s="97"/>
      <c r="KHE73" s="97"/>
      <c r="KHF73" s="97"/>
      <c r="KHG73" s="97"/>
      <c r="KHH73" s="97"/>
      <c r="KHI73" s="97"/>
      <c r="KHJ73" s="97"/>
      <c r="KHK73" s="97"/>
      <c r="KHL73" s="97"/>
      <c r="KHM73" s="97"/>
      <c r="KHN73" s="97"/>
      <c r="KHO73" s="97"/>
      <c r="KHP73" s="97"/>
      <c r="KHQ73" s="97"/>
      <c r="KHR73" s="97"/>
      <c r="KHS73" s="97"/>
      <c r="KHT73" s="97"/>
      <c r="KHU73" s="97"/>
      <c r="KHV73" s="97"/>
      <c r="KHW73" s="97"/>
      <c r="KHX73" s="97"/>
      <c r="KHY73" s="97"/>
      <c r="KHZ73" s="97"/>
      <c r="KIA73" s="97"/>
      <c r="KIB73" s="97"/>
      <c r="KIC73" s="97"/>
      <c r="KID73" s="97"/>
      <c r="KIE73" s="97"/>
      <c r="KIF73" s="97"/>
      <c r="KIG73" s="97"/>
      <c r="KIH73" s="97"/>
      <c r="KII73" s="97"/>
      <c r="KIJ73" s="97"/>
      <c r="KIK73" s="97"/>
      <c r="KIL73" s="97"/>
      <c r="KIM73" s="97"/>
      <c r="KIN73" s="97"/>
      <c r="KIO73" s="97"/>
      <c r="KIP73" s="97"/>
      <c r="KIQ73" s="97"/>
      <c r="KIR73" s="97"/>
      <c r="KIS73" s="97"/>
      <c r="KIT73" s="97"/>
      <c r="KIU73" s="97"/>
      <c r="KIV73" s="97"/>
      <c r="KIW73" s="97"/>
      <c r="KIX73" s="97"/>
      <c r="KIY73" s="97"/>
      <c r="KIZ73" s="97"/>
      <c r="KJA73" s="97"/>
      <c r="KJB73" s="97"/>
      <c r="KJC73" s="97"/>
      <c r="KJD73" s="97"/>
      <c r="KJE73" s="97"/>
      <c r="KJF73" s="97"/>
      <c r="KJG73" s="97"/>
      <c r="KJH73" s="97"/>
      <c r="KJI73" s="97"/>
      <c r="KJJ73" s="97"/>
      <c r="KJK73" s="97"/>
      <c r="KJL73" s="97"/>
      <c r="KJM73" s="97"/>
      <c r="KJN73" s="97"/>
      <c r="KJO73" s="97"/>
      <c r="KJP73" s="97"/>
      <c r="KJQ73" s="97"/>
      <c r="KJR73" s="97"/>
      <c r="KJS73" s="97"/>
      <c r="KJT73" s="97"/>
      <c r="KJU73" s="97"/>
      <c r="KJV73" s="97"/>
      <c r="KJW73" s="97"/>
      <c r="KJX73" s="97"/>
      <c r="KJY73" s="97"/>
      <c r="KJZ73" s="97"/>
      <c r="KKA73" s="97"/>
      <c r="KKB73" s="97"/>
      <c r="KKC73" s="97"/>
      <c r="KKD73" s="97"/>
      <c r="KKE73" s="97"/>
      <c r="KKF73" s="97"/>
      <c r="KKG73" s="97"/>
      <c r="KKH73" s="97"/>
      <c r="KKI73" s="97"/>
      <c r="KKJ73" s="97"/>
      <c r="KKK73" s="97"/>
      <c r="KKL73" s="97"/>
      <c r="KKM73" s="97"/>
      <c r="KKN73" s="97"/>
      <c r="KKO73" s="97"/>
      <c r="KKP73" s="97"/>
      <c r="KKQ73" s="97"/>
      <c r="KKR73" s="97"/>
      <c r="KKS73" s="97"/>
      <c r="KKT73" s="97"/>
      <c r="KKU73" s="97"/>
      <c r="KKV73" s="97"/>
      <c r="KKW73" s="97"/>
      <c r="KKX73" s="97"/>
      <c r="KKY73" s="97"/>
      <c r="KKZ73" s="97"/>
      <c r="KLA73" s="97"/>
      <c r="KLB73" s="97"/>
      <c r="KLC73" s="97"/>
      <c r="KLD73" s="97"/>
      <c r="KLE73" s="97"/>
      <c r="KLF73" s="97"/>
      <c r="KLG73" s="97"/>
      <c r="KLH73" s="97"/>
      <c r="KLI73" s="97"/>
      <c r="KLJ73" s="97"/>
      <c r="KLK73" s="97"/>
      <c r="KLL73" s="97"/>
      <c r="KLM73" s="97"/>
      <c r="KLN73" s="97"/>
      <c r="KLO73" s="97"/>
      <c r="KLP73" s="97"/>
      <c r="KLQ73" s="97"/>
      <c r="KLR73" s="97"/>
      <c r="KLS73" s="97"/>
      <c r="KLT73" s="97"/>
      <c r="KLU73" s="97"/>
      <c r="KLV73" s="97"/>
      <c r="KLW73" s="97"/>
      <c r="KLX73" s="97"/>
      <c r="KLY73" s="97"/>
      <c r="KLZ73" s="97"/>
      <c r="KMA73" s="97"/>
      <c r="KMB73" s="97"/>
      <c r="KMC73" s="97"/>
      <c r="KMD73" s="97"/>
      <c r="KME73" s="97"/>
      <c r="KMF73" s="97"/>
      <c r="KMG73" s="97"/>
      <c r="KMH73" s="97"/>
      <c r="KMI73" s="97"/>
      <c r="KMJ73" s="97"/>
      <c r="KMK73" s="97"/>
      <c r="KML73" s="97"/>
      <c r="KMM73" s="97"/>
      <c r="KMN73" s="97"/>
      <c r="KMO73" s="97"/>
      <c r="KMP73" s="97"/>
      <c r="KMQ73" s="97"/>
      <c r="KMR73" s="97"/>
      <c r="KMS73" s="97"/>
      <c r="KMT73" s="97"/>
      <c r="KMU73" s="97"/>
      <c r="KMV73" s="97"/>
      <c r="KMW73" s="97"/>
      <c r="KMX73" s="97"/>
      <c r="KMY73" s="97"/>
      <c r="KMZ73" s="97"/>
      <c r="KNA73" s="97"/>
      <c r="KNB73" s="97"/>
      <c r="KNC73" s="97"/>
      <c r="KND73" s="97"/>
      <c r="KNE73" s="97"/>
      <c r="KNF73" s="97"/>
      <c r="KNG73" s="97"/>
      <c r="KNH73" s="97"/>
      <c r="KNI73" s="97"/>
      <c r="KNJ73" s="97"/>
      <c r="KNK73" s="97"/>
      <c r="KNL73" s="97"/>
      <c r="KNM73" s="97"/>
      <c r="KNN73" s="97"/>
      <c r="KNO73" s="97"/>
      <c r="KNP73" s="97"/>
      <c r="KNQ73" s="97"/>
      <c r="KNR73" s="97"/>
      <c r="KNS73" s="97"/>
      <c r="KNT73" s="97"/>
      <c r="KNU73" s="97"/>
      <c r="KNV73" s="97"/>
      <c r="KNW73" s="97"/>
      <c r="KNX73" s="97"/>
      <c r="KNY73" s="97"/>
      <c r="KNZ73" s="97"/>
      <c r="KOA73" s="97"/>
      <c r="KOB73" s="97"/>
      <c r="KOC73" s="97"/>
      <c r="KOD73" s="97"/>
      <c r="KOE73" s="97"/>
      <c r="KOF73" s="97"/>
      <c r="KOG73" s="97"/>
      <c r="KOH73" s="97"/>
      <c r="KOI73" s="97"/>
      <c r="KOJ73" s="97"/>
      <c r="KOK73" s="97"/>
      <c r="KOL73" s="97"/>
      <c r="KOM73" s="97"/>
      <c r="KON73" s="97"/>
      <c r="KOO73" s="97"/>
      <c r="KOP73" s="97"/>
      <c r="KOQ73" s="97"/>
      <c r="KOR73" s="97"/>
      <c r="KOS73" s="97"/>
      <c r="KOT73" s="97"/>
      <c r="KOU73" s="97"/>
      <c r="KOV73" s="97"/>
      <c r="KOW73" s="97"/>
      <c r="KOX73" s="97"/>
      <c r="KOY73" s="97"/>
      <c r="KOZ73" s="97"/>
      <c r="KPA73" s="97"/>
      <c r="KPB73" s="97"/>
      <c r="KPC73" s="97"/>
      <c r="KPD73" s="97"/>
      <c r="KPE73" s="97"/>
      <c r="KPF73" s="97"/>
      <c r="KPG73" s="97"/>
      <c r="KPH73" s="97"/>
      <c r="KPI73" s="97"/>
      <c r="KPJ73" s="97"/>
      <c r="KPK73" s="97"/>
      <c r="KPL73" s="97"/>
      <c r="KPM73" s="97"/>
      <c r="KPN73" s="97"/>
      <c r="KPO73" s="97"/>
      <c r="KPP73" s="97"/>
      <c r="KPQ73" s="97"/>
      <c r="KPR73" s="97"/>
      <c r="KPS73" s="97"/>
      <c r="KPT73" s="97"/>
      <c r="KPU73" s="97"/>
      <c r="KPV73" s="97"/>
      <c r="KPW73" s="97"/>
      <c r="KPX73" s="97"/>
      <c r="KPY73" s="97"/>
      <c r="KPZ73" s="97"/>
      <c r="KQA73" s="97"/>
      <c r="KQB73" s="97"/>
      <c r="KQC73" s="97"/>
      <c r="KQD73" s="97"/>
      <c r="KQE73" s="97"/>
      <c r="KQF73" s="97"/>
      <c r="KQG73" s="97"/>
      <c r="KQH73" s="97"/>
      <c r="KQI73" s="97"/>
      <c r="KQJ73" s="97"/>
      <c r="KQK73" s="97"/>
      <c r="KQL73" s="97"/>
      <c r="KQM73" s="97"/>
      <c r="KQN73" s="97"/>
      <c r="KQO73" s="97"/>
      <c r="KQP73" s="97"/>
      <c r="KQQ73" s="97"/>
      <c r="KQR73" s="97"/>
      <c r="KQS73" s="97"/>
      <c r="KQT73" s="97"/>
      <c r="KQU73" s="97"/>
      <c r="KQV73" s="97"/>
      <c r="KQW73" s="97"/>
      <c r="KQX73" s="97"/>
      <c r="KQY73" s="97"/>
      <c r="KQZ73" s="97"/>
      <c r="KRA73" s="97"/>
      <c r="KRB73" s="97"/>
      <c r="KRC73" s="97"/>
      <c r="KRD73" s="97"/>
      <c r="KRE73" s="97"/>
      <c r="KRF73" s="97"/>
      <c r="KRG73" s="97"/>
      <c r="KRH73" s="97"/>
      <c r="KRI73" s="97"/>
      <c r="KRJ73" s="97"/>
      <c r="KRK73" s="97"/>
      <c r="KRL73" s="97"/>
      <c r="KRM73" s="97"/>
      <c r="KRN73" s="97"/>
      <c r="KRO73" s="97"/>
      <c r="KRP73" s="97"/>
      <c r="KRQ73" s="97"/>
      <c r="KRR73" s="97"/>
      <c r="KRS73" s="97"/>
      <c r="KRT73" s="97"/>
      <c r="KRU73" s="97"/>
      <c r="KRV73" s="97"/>
      <c r="KRW73" s="97"/>
      <c r="KRX73" s="97"/>
      <c r="KRY73" s="97"/>
      <c r="KRZ73" s="97"/>
      <c r="KSA73" s="97"/>
      <c r="KSB73" s="97"/>
      <c r="KSC73" s="97"/>
      <c r="KSD73" s="97"/>
      <c r="KSE73" s="97"/>
      <c r="KSF73" s="97"/>
      <c r="KSG73" s="97"/>
      <c r="KSH73" s="97"/>
      <c r="KSI73" s="97"/>
      <c r="KSJ73" s="97"/>
      <c r="KSK73" s="97"/>
      <c r="KSL73" s="97"/>
      <c r="KSM73" s="97"/>
      <c r="KSN73" s="97"/>
      <c r="KSO73" s="97"/>
      <c r="KSP73" s="97"/>
      <c r="KSQ73" s="97"/>
      <c r="KSR73" s="97"/>
      <c r="KSS73" s="97"/>
      <c r="KST73" s="97"/>
      <c r="KSU73" s="97"/>
      <c r="KSV73" s="97"/>
      <c r="KSW73" s="97"/>
      <c r="KSX73" s="97"/>
      <c r="KSY73" s="97"/>
      <c r="KSZ73" s="97"/>
      <c r="KTA73" s="97"/>
      <c r="KTB73" s="97"/>
      <c r="KTC73" s="97"/>
      <c r="KTD73" s="97"/>
      <c r="KTE73" s="97"/>
      <c r="KTF73" s="97"/>
      <c r="KTG73" s="97"/>
      <c r="KTH73" s="97"/>
      <c r="KTI73" s="97"/>
      <c r="KTJ73" s="97"/>
      <c r="KTK73" s="97"/>
      <c r="KTL73" s="97"/>
      <c r="KTM73" s="97"/>
      <c r="KTN73" s="97"/>
      <c r="KTO73" s="97"/>
      <c r="KTP73" s="97"/>
      <c r="KTQ73" s="97"/>
      <c r="KTR73" s="97"/>
      <c r="KTS73" s="97"/>
      <c r="KTT73" s="97"/>
      <c r="KTU73" s="97"/>
      <c r="KTV73" s="97"/>
      <c r="KTW73" s="97"/>
      <c r="KTX73" s="97"/>
      <c r="KTY73" s="97"/>
      <c r="KTZ73" s="97"/>
      <c r="KUA73" s="97"/>
      <c r="KUB73" s="97"/>
      <c r="KUC73" s="97"/>
      <c r="KUD73" s="97"/>
      <c r="KUE73" s="97"/>
      <c r="KUF73" s="97"/>
      <c r="KUG73" s="97"/>
      <c r="KUH73" s="97"/>
      <c r="KUI73" s="97"/>
      <c r="KUJ73" s="97"/>
      <c r="KUK73" s="97"/>
      <c r="KUL73" s="97"/>
      <c r="KUM73" s="97"/>
      <c r="KUN73" s="97"/>
      <c r="KUO73" s="97"/>
      <c r="KUP73" s="97"/>
      <c r="KUQ73" s="97"/>
      <c r="KUR73" s="97"/>
      <c r="KUS73" s="97"/>
      <c r="KUT73" s="97"/>
      <c r="KUU73" s="97"/>
      <c r="KUV73" s="97"/>
      <c r="KUW73" s="97"/>
      <c r="KUX73" s="97"/>
      <c r="KUY73" s="97"/>
      <c r="KUZ73" s="97"/>
      <c r="KVA73" s="97"/>
      <c r="KVB73" s="97"/>
      <c r="KVC73" s="97"/>
      <c r="KVD73" s="97"/>
      <c r="KVE73" s="97"/>
      <c r="KVF73" s="97"/>
      <c r="KVG73" s="97"/>
      <c r="KVH73" s="97"/>
      <c r="KVI73" s="97"/>
      <c r="KVJ73" s="97"/>
      <c r="KVK73" s="97"/>
      <c r="KVL73" s="97"/>
      <c r="KVM73" s="97"/>
      <c r="KVN73" s="97"/>
      <c r="KVO73" s="97"/>
      <c r="KVP73" s="97"/>
      <c r="KVQ73" s="97"/>
      <c r="KVR73" s="97"/>
      <c r="KVS73" s="97"/>
      <c r="KVT73" s="97"/>
      <c r="KVU73" s="97"/>
      <c r="KVV73" s="97"/>
      <c r="KVW73" s="97"/>
      <c r="KVX73" s="97"/>
      <c r="KVY73" s="97"/>
      <c r="KVZ73" s="97"/>
      <c r="KWA73" s="97"/>
      <c r="KWB73" s="97"/>
      <c r="KWC73" s="97"/>
      <c r="KWD73" s="97"/>
      <c r="KWE73" s="97"/>
      <c r="KWF73" s="97"/>
      <c r="KWG73" s="97"/>
      <c r="KWH73" s="97"/>
      <c r="KWI73" s="97"/>
      <c r="KWJ73" s="97"/>
      <c r="KWK73" s="97"/>
      <c r="KWL73" s="97"/>
      <c r="KWM73" s="97"/>
      <c r="KWN73" s="97"/>
      <c r="KWO73" s="97"/>
      <c r="KWP73" s="97"/>
      <c r="KWQ73" s="97"/>
      <c r="KWR73" s="97"/>
      <c r="KWS73" s="97"/>
      <c r="KWT73" s="97"/>
      <c r="KWU73" s="97"/>
      <c r="KWV73" s="97"/>
      <c r="KWW73" s="97"/>
      <c r="KWX73" s="97"/>
      <c r="KWY73" s="97"/>
      <c r="KWZ73" s="97"/>
      <c r="KXA73" s="97"/>
      <c r="KXB73" s="97"/>
      <c r="KXC73" s="97"/>
      <c r="KXD73" s="97"/>
      <c r="KXE73" s="97"/>
      <c r="KXF73" s="97"/>
      <c r="KXG73" s="97"/>
      <c r="KXH73" s="97"/>
      <c r="KXI73" s="97"/>
      <c r="KXJ73" s="97"/>
      <c r="KXK73" s="97"/>
      <c r="KXL73" s="97"/>
      <c r="KXM73" s="97"/>
      <c r="KXN73" s="97"/>
      <c r="KXO73" s="97"/>
      <c r="KXP73" s="97"/>
      <c r="KXQ73" s="97"/>
      <c r="KXR73" s="97"/>
      <c r="KXS73" s="97"/>
      <c r="KXT73" s="97"/>
      <c r="KXU73" s="97"/>
      <c r="KXV73" s="97"/>
      <c r="KXW73" s="97"/>
      <c r="KXX73" s="97"/>
      <c r="KXY73" s="97"/>
      <c r="KXZ73" s="97"/>
      <c r="KYA73" s="97"/>
      <c r="KYB73" s="97"/>
      <c r="KYC73" s="97"/>
      <c r="KYD73" s="97"/>
      <c r="KYE73" s="97"/>
      <c r="KYF73" s="97"/>
      <c r="KYG73" s="97"/>
      <c r="KYH73" s="97"/>
      <c r="KYI73" s="97"/>
      <c r="KYJ73" s="97"/>
      <c r="KYK73" s="97"/>
      <c r="KYL73" s="97"/>
      <c r="KYM73" s="97"/>
      <c r="KYN73" s="97"/>
      <c r="KYO73" s="97"/>
      <c r="KYP73" s="97"/>
      <c r="KYQ73" s="97"/>
      <c r="KYR73" s="97"/>
      <c r="KYS73" s="97"/>
      <c r="KYT73" s="97"/>
      <c r="KYU73" s="97"/>
      <c r="KYV73" s="97"/>
      <c r="KYW73" s="97"/>
      <c r="KYX73" s="97"/>
      <c r="KYY73" s="97"/>
      <c r="KYZ73" s="97"/>
      <c r="KZA73" s="97"/>
      <c r="KZB73" s="97"/>
      <c r="KZC73" s="97"/>
      <c r="KZD73" s="97"/>
      <c r="KZE73" s="97"/>
      <c r="KZF73" s="97"/>
      <c r="KZG73" s="97"/>
      <c r="KZH73" s="97"/>
      <c r="KZI73" s="97"/>
      <c r="KZJ73" s="97"/>
      <c r="KZK73" s="97"/>
      <c r="KZL73" s="97"/>
      <c r="KZM73" s="97"/>
      <c r="KZN73" s="97"/>
      <c r="KZO73" s="97"/>
      <c r="KZP73" s="97"/>
      <c r="KZQ73" s="97"/>
      <c r="KZR73" s="97"/>
      <c r="KZS73" s="97"/>
      <c r="KZT73" s="97"/>
      <c r="KZU73" s="97"/>
      <c r="KZV73" s="97"/>
      <c r="KZW73" s="97"/>
      <c r="KZX73" s="97"/>
      <c r="KZY73" s="97"/>
      <c r="KZZ73" s="97"/>
      <c r="LAA73" s="97"/>
      <c r="LAB73" s="97"/>
      <c r="LAC73" s="97"/>
      <c r="LAD73" s="97"/>
      <c r="LAE73" s="97"/>
      <c r="LAF73" s="97"/>
      <c r="LAG73" s="97"/>
      <c r="LAH73" s="97"/>
      <c r="LAI73" s="97"/>
      <c r="LAJ73" s="97"/>
      <c r="LAK73" s="97"/>
      <c r="LAL73" s="97"/>
      <c r="LAM73" s="97"/>
      <c r="LAN73" s="97"/>
      <c r="LAO73" s="97"/>
      <c r="LAP73" s="97"/>
      <c r="LAQ73" s="97"/>
      <c r="LAR73" s="97"/>
      <c r="LAS73" s="97"/>
      <c r="LAT73" s="97"/>
      <c r="LAU73" s="97"/>
      <c r="LAV73" s="97"/>
      <c r="LAW73" s="97"/>
      <c r="LAX73" s="97"/>
      <c r="LAY73" s="97"/>
      <c r="LAZ73" s="97"/>
      <c r="LBA73" s="97"/>
      <c r="LBB73" s="97"/>
      <c r="LBC73" s="97"/>
      <c r="LBD73" s="97"/>
      <c r="LBE73" s="97"/>
      <c r="LBF73" s="97"/>
      <c r="LBG73" s="97"/>
      <c r="LBH73" s="97"/>
      <c r="LBI73" s="97"/>
      <c r="LBJ73" s="97"/>
      <c r="LBK73" s="97"/>
      <c r="LBL73" s="97"/>
      <c r="LBM73" s="97"/>
      <c r="LBN73" s="97"/>
      <c r="LBO73" s="97"/>
      <c r="LBP73" s="97"/>
      <c r="LBQ73" s="97"/>
      <c r="LBR73" s="97"/>
      <c r="LBS73" s="97"/>
      <c r="LBT73" s="97"/>
      <c r="LBU73" s="97"/>
      <c r="LBV73" s="97"/>
      <c r="LBW73" s="97"/>
      <c r="LBX73" s="97"/>
      <c r="LBY73" s="97"/>
      <c r="LBZ73" s="97"/>
      <c r="LCA73" s="97"/>
      <c r="LCB73" s="97"/>
      <c r="LCC73" s="97"/>
      <c r="LCD73" s="97"/>
      <c r="LCE73" s="97"/>
      <c r="LCF73" s="97"/>
      <c r="LCG73" s="97"/>
      <c r="LCH73" s="97"/>
      <c r="LCI73" s="97"/>
      <c r="LCJ73" s="97"/>
      <c r="LCK73" s="97"/>
      <c r="LCL73" s="97"/>
      <c r="LCM73" s="97"/>
      <c r="LCN73" s="97"/>
      <c r="LCO73" s="97"/>
      <c r="LCP73" s="97"/>
      <c r="LCQ73" s="97"/>
      <c r="LCR73" s="97"/>
      <c r="LCS73" s="97"/>
      <c r="LCT73" s="97"/>
      <c r="LCU73" s="97"/>
      <c r="LCV73" s="97"/>
      <c r="LCW73" s="97"/>
      <c r="LCX73" s="97"/>
      <c r="LCY73" s="97"/>
      <c r="LCZ73" s="97"/>
      <c r="LDA73" s="97"/>
      <c r="LDB73" s="97"/>
      <c r="LDC73" s="97"/>
      <c r="LDD73" s="97"/>
      <c r="LDE73" s="97"/>
      <c r="LDF73" s="97"/>
      <c r="LDG73" s="97"/>
      <c r="LDH73" s="97"/>
      <c r="LDI73" s="97"/>
      <c r="LDJ73" s="97"/>
      <c r="LDK73" s="97"/>
      <c r="LDL73" s="97"/>
      <c r="LDM73" s="97"/>
      <c r="LDN73" s="97"/>
      <c r="LDO73" s="97"/>
      <c r="LDP73" s="97"/>
      <c r="LDQ73" s="97"/>
      <c r="LDR73" s="97"/>
      <c r="LDS73" s="97"/>
      <c r="LDT73" s="97"/>
      <c r="LDU73" s="97"/>
      <c r="LDV73" s="97"/>
      <c r="LDW73" s="97"/>
      <c r="LDX73" s="97"/>
      <c r="LDY73" s="97"/>
      <c r="LDZ73" s="97"/>
      <c r="LEA73" s="97"/>
      <c r="LEB73" s="97"/>
      <c r="LEC73" s="97"/>
      <c r="LED73" s="97"/>
      <c r="LEE73" s="97"/>
      <c r="LEF73" s="97"/>
      <c r="LEG73" s="97"/>
      <c r="LEH73" s="97"/>
      <c r="LEI73" s="97"/>
      <c r="LEJ73" s="97"/>
      <c r="LEK73" s="97"/>
      <c r="LEL73" s="97"/>
      <c r="LEM73" s="97"/>
      <c r="LEN73" s="97"/>
      <c r="LEO73" s="97"/>
      <c r="LEP73" s="97"/>
      <c r="LEQ73" s="97"/>
      <c r="LER73" s="97"/>
      <c r="LES73" s="97"/>
      <c r="LET73" s="97"/>
      <c r="LEU73" s="97"/>
      <c r="LEV73" s="97"/>
      <c r="LEW73" s="97"/>
      <c r="LEX73" s="97"/>
      <c r="LEY73" s="97"/>
      <c r="LEZ73" s="97"/>
      <c r="LFA73" s="97"/>
      <c r="LFB73" s="97"/>
      <c r="LFC73" s="97"/>
      <c r="LFD73" s="97"/>
      <c r="LFE73" s="97"/>
      <c r="LFF73" s="97"/>
      <c r="LFG73" s="97"/>
      <c r="LFH73" s="97"/>
      <c r="LFI73" s="97"/>
      <c r="LFJ73" s="97"/>
      <c r="LFK73" s="97"/>
      <c r="LFL73" s="97"/>
      <c r="LFM73" s="97"/>
      <c r="LFN73" s="97"/>
      <c r="LFO73" s="97"/>
      <c r="LFP73" s="97"/>
      <c r="LFQ73" s="97"/>
      <c r="LFR73" s="97"/>
      <c r="LFS73" s="97"/>
      <c r="LFT73" s="97"/>
      <c r="LFU73" s="97"/>
      <c r="LFV73" s="97"/>
      <c r="LFW73" s="97"/>
      <c r="LFX73" s="97"/>
      <c r="LFY73" s="97"/>
      <c r="LFZ73" s="97"/>
      <c r="LGA73" s="97"/>
      <c r="LGB73" s="97"/>
      <c r="LGC73" s="97"/>
      <c r="LGD73" s="97"/>
      <c r="LGE73" s="97"/>
      <c r="LGF73" s="97"/>
      <c r="LGG73" s="97"/>
      <c r="LGH73" s="97"/>
      <c r="LGI73" s="97"/>
      <c r="LGJ73" s="97"/>
      <c r="LGK73" s="97"/>
      <c r="LGL73" s="97"/>
      <c r="LGM73" s="97"/>
      <c r="LGN73" s="97"/>
      <c r="LGO73" s="97"/>
      <c r="LGP73" s="97"/>
      <c r="LGQ73" s="97"/>
      <c r="LGR73" s="97"/>
      <c r="LGS73" s="97"/>
      <c r="LGT73" s="97"/>
      <c r="LGU73" s="97"/>
      <c r="LGV73" s="97"/>
      <c r="LGW73" s="97"/>
      <c r="LGX73" s="97"/>
      <c r="LGY73" s="97"/>
      <c r="LGZ73" s="97"/>
      <c r="LHA73" s="97"/>
      <c r="LHB73" s="97"/>
      <c r="LHC73" s="97"/>
      <c r="LHD73" s="97"/>
      <c r="LHE73" s="97"/>
      <c r="LHF73" s="97"/>
      <c r="LHG73" s="97"/>
      <c r="LHH73" s="97"/>
      <c r="LHI73" s="97"/>
      <c r="LHJ73" s="97"/>
      <c r="LHK73" s="97"/>
      <c r="LHL73" s="97"/>
      <c r="LHM73" s="97"/>
      <c r="LHN73" s="97"/>
      <c r="LHO73" s="97"/>
      <c r="LHP73" s="97"/>
      <c r="LHQ73" s="97"/>
      <c r="LHR73" s="97"/>
      <c r="LHS73" s="97"/>
      <c r="LHT73" s="97"/>
      <c r="LHU73" s="97"/>
      <c r="LHV73" s="97"/>
      <c r="LHW73" s="97"/>
      <c r="LHX73" s="97"/>
      <c r="LHY73" s="97"/>
      <c r="LHZ73" s="97"/>
      <c r="LIA73" s="97"/>
      <c r="LIB73" s="97"/>
      <c r="LIC73" s="97"/>
      <c r="LID73" s="97"/>
      <c r="LIE73" s="97"/>
      <c r="LIF73" s="97"/>
      <c r="LIG73" s="97"/>
      <c r="LIH73" s="97"/>
      <c r="LII73" s="97"/>
      <c r="LIJ73" s="97"/>
      <c r="LIK73" s="97"/>
      <c r="LIL73" s="97"/>
      <c r="LIM73" s="97"/>
      <c r="LIN73" s="97"/>
      <c r="LIO73" s="97"/>
      <c r="LIP73" s="97"/>
      <c r="LIQ73" s="97"/>
      <c r="LIR73" s="97"/>
      <c r="LIS73" s="97"/>
      <c r="LIT73" s="97"/>
      <c r="LIU73" s="97"/>
      <c r="LIV73" s="97"/>
      <c r="LIW73" s="97"/>
      <c r="LIX73" s="97"/>
      <c r="LIY73" s="97"/>
      <c r="LIZ73" s="97"/>
      <c r="LJA73" s="97"/>
      <c r="LJB73" s="97"/>
      <c r="LJC73" s="97"/>
      <c r="LJD73" s="97"/>
      <c r="LJE73" s="97"/>
      <c r="LJF73" s="97"/>
      <c r="LJG73" s="97"/>
      <c r="LJH73" s="97"/>
      <c r="LJI73" s="97"/>
      <c r="LJJ73" s="97"/>
      <c r="LJK73" s="97"/>
      <c r="LJL73" s="97"/>
      <c r="LJM73" s="97"/>
      <c r="LJN73" s="97"/>
      <c r="LJO73" s="97"/>
      <c r="LJP73" s="97"/>
      <c r="LJQ73" s="97"/>
      <c r="LJR73" s="97"/>
      <c r="LJS73" s="97"/>
      <c r="LJT73" s="97"/>
      <c r="LJU73" s="97"/>
      <c r="LJV73" s="97"/>
      <c r="LJW73" s="97"/>
      <c r="LJX73" s="97"/>
      <c r="LJY73" s="97"/>
      <c r="LJZ73" s="97"/>
      <c r="LKA73" s="97"/>
      <c r="LKB73" s="97"/>
      <c r="LKC73" s="97"/>
      <c r="LKD73" s="97"/>
      <c r="LKE73" s="97"/>
      <c r="LKF73" s="97"/>
      <c r="LKG73" s="97"/>
      <c r="LKH73" s="97"/>
      <c r="LKI73" s="97"/>
      <c r="LKJ73" s="97"/>
      <c r="LKK73" s="97"/>
      <c r="LKL73" s="97"/>
      <c r="LKM73" s="97"/>
      <c r="LKN73" s="97"/>
      <c r="LKO73" s="97"/>
      <c r="LKP73" s="97"/>
      <c r="LKQ73" s="97"/>
      <c r="LKR73" s="97"/>
      <c r="LKS73" s="97"/>
      <c r="LKT73" s="97"/>
      <c r="LKU73" s="97"/>
      <c r="LKV73" s="97"/>
      <c r="LKW73" s="97"/>
      <c r="LKX73" s="97"/>
      <c r="LKY73" s="97"/>
      <c r="LKZ73" s="97"/>
      <c r="LLA73" s="97"/>
      <c r="LLB73" s="97"/>
      <c r="LLC73" s="97"/>
      <c r="LLD73" s="97"/>
      <c r="LLE73" s="97"/>
      <c r="LLF73" s="97"/>
      <c r="LLG73" s="97"/>
      <c r="LLH73" s="97"/>
      <c r="LLI73" s="97"/>
      <c r="LLJ73" s="97"/>
      <c r="LLK73" s="97"/>
      <c r="LLL73" s="97"/>
      <c r="LLM73" s="97"/>
      <c r="LLN73" s="97"/>
      <c r="LLO73" s="97"/>
      <c r="LLP73" s="97"/>
      <c r="LLQ73" s="97"/>
      <c r="LLR73" s="97"/>
      <c r="LLS73" s="97"/>
      <c r="LLT73" s="97"/>
      <c r="LLU73" s="97"/>
      <c r="LLV73" s="97"/>
      <c r="LLW73" s="97"/>
      <c r="LLX73" s="97"/>
      <c r="LLY73" s="97"/>
      <c r="LLZ73" s="97"/>
      <c r="LMA73" s="97"/>
      <c r="LMB73" s="97"/>
      <c r="LMC73" s="97"/>
      <c r="LMD73" s="97"/>
      <c r="LME73" s="97"/>
      <c r="LMF73" s="97"/>
      <c r="LMG73" s="97"/>
      <c r="LMH73" s="97"/>
      <c r="LMI73" s="97"/>
      <c r="LMJ73" s="97"/>
      <c r="LMK73" s="97"/>
      <c r="LML73" s="97"/>
      <c r="LMM73" s="97"/>
      <c r="LMN73" s="97"/>
      <c r="LMO73" s="97"/>
      <c r="LMP73" s="97"/>
      <c r="LMQ73" s="97"/>
      <c r="LMR73" s="97"/>
      <c r="LMS73" s="97"/>
      <c r="LMT73" s="97"/>
      <c r="LMU73" s="97"/>
      <c r="LMV73" s="97"/>
      <c r="LMW73" s="97"/>
      <c r="LMX73" s="97"/>
      <c r="LMY73" s="97"/>
      <c r="LMZ73" s="97"/>
      <c r="LNA73" s="97"/>
      <c r="LNB73" s="97"/>
      <c r="LNC73" s="97"/>
      <c r="LND73" s="97"/>
      <c r="LNE73" s="97"/>
      <c r="LNF73" s="97"/>
      <c r="LNG73" s="97"/>
      <c r="LNH73" s="97"/>
      <c r="LNI73" s="97"/>
      <c r="LNJ73" s="97"/>
      <c r="LNK73" s="97"/>
      <c r="LNL73" s="97"/>
      <c r="LNM73" s="97"/>
      <c r="LNN73" s="97"/>
      <c r="LNO73" s="97"/>
      <c r="LNP73" s="97"/>
      <c r="LNQ73" s="97"/>
      <c r="LNR73" s="97"/>
      <c r="LNS73" s="97"/>
      <c r="LNT73" s="97"/>
      <c r="LNU73" s="97"/>
      <c r="LNV73" s="97"/>
      <c r="LNW73" s="97"/>
      <c r="LNX73" s="97"/>
      <c r="LNY73" s="97"/>
      <c r="LNZ73" s="97"/>
      <c r="LOA73" s="97"/>
      <c r="LOB73" s="97"/>
      <c r="LOC73" s="97"/>
      <c r="LOD73" s="97"/>
      <c r="LOE73" s="97"/>
      <c r="LOF73" s="97"/>
      <c r="LOG73" s="97"/>
      <c r="LOH73" s="97"/>
      <c r="LOI73" s="97"/>
      <c r="LOJ73" s="97"/>
      <c r="LOK73" s="97"/>
      <c r="LOL73" s="97"/>
      <c r="LOM73" s="97"/>
      <c r="LON73" s="97"/>
      <c r="LOO73" s="97"/>
      <c r="LOP73" s="97"/>
      <c r="LOQ73" s="97"/>
      <c r="LOR73" s="97"/>
      <c r="LOS73" s="97"/>
      <c r="LOT73" s="97"/>
      <c r="LOU73" s="97"/>
      <c r="LOV73" s="97"/>
      <c r="LOW73" s="97"/>
      <c r="LOX73" s="97"/>
      <c r="LOY73" s="97"/>
      <c r="LOZ73" s="97"/>
      <c r="LPA73" s="97"/>
      <c r="LPB73" s="97"/>
      <c r="LPC73" s="97"/>
      <c r="LPD73" s="97"/>
      <c r="LPE73" s="97"/>
      <c r="LPF73" s="97"/>
      <c r="LPG73" s="97"/>
      <c r="LPH73" s="97"/>
      <c r="LPI73" s="97"/>
      <c r="LPJ73" s="97"/>
      <c r="LPK73" s="97"/>
      <c r="LPL73" s="97"/>
      <c r="LPM73" s="97"/>
      <c r="LPN73" s="97"/>
      <c r="LPO73" s="97"/>
      <c r="LPP73" s="97"/>
      <c r="LPQ73" s="97"/>
      <c r="LPR73" s="97"/>
      <c r="LPS73" s="97"/>
      <c r="LPT73" s="97"/>
      <c r="LPU73" s="97"/>
      <c r="LPV73" s="97"/>
      <c r="LPW73" s="97"/>
      <c r="LPX73" s="97"/>
      <c r="LPY73" s="97"/>
      <c r="LPZ73" s="97"/>
      <c r="LQA73" s="97"/>
      <c r="LQB73" s="97"/>
      <c r="LQC73" s="97"/>
      <c r="LQD73" s="97"/>
      <c r="LQE73" s="97"/>
      <c r="LQF73" s="97"/>
      <c r="LQG73" s="97"/>
      <c r="LQH73" s="97"/>
      <c r="LQI73" s="97"/>
      <c r="LQJ73" s="97"/>
      <c r="LQK73" s="97"/>
      <c r="LQL73" s="97"/>
      <c r="LQM73" s="97"/>
      <c r="LQN73" s="97"/>
      <c r="LQO73" s="97"/>
      <c r="LQP73" s="97"/>
      <c r="LQQ73" s="97"/>
      <c r="LQR73" s="97"/>
      <c r="LQS73" s="97"/>
      <c r="LQT73" s="97"/>
      <c r="LQU73" s="97"/>
      <c r="LQV73" s="97"/>
      <c r="LQW73" s="97"/>
      <c r="LQX73" s="97"/>
      <c r="LQY73" s="97"/>
      <c r="LQZ73" s="97"/>
      <c r="LRA73" s="97"/>
      <c r="LRB73" s="97"/>
      <c r="LRC73" s="97"/>
      <c r="LRD73" s="97"/>
      <c r="LRE73" s="97"/>
      <c r="LRF73" s="97"/>
      <c r="LRG73" s="97"/>
      <c r="LRH73" s="97"/>
      <c r="LRI73" s="97"/>
      <c r="LRJ73" s="97"/>
      <c r="LRK73" s="97"/>
      <c r="LRL73" s="97"/>
      <c r="LRM73" s="97"/>
      <c r="LRN73" s="97"/>
      <c r="LRO73" s="97"/>
      <c r="LRP73" s="97"/>
      <c r="LRQ73" s="97"/>
      <c r="LRR73" s="97"/>
      <c r="LRS73" s="97"/>
      <c r="LRT73" s="97"/>
      <c r="LRU73" s="97"/>
      <c r="LRV73" s="97"/>
      <c r="LRW73" s="97"/>
      <c r="LRX73" s="97"/>
      <c r="LRY73" s="97"/>
      <c r="LRZ73" s="97"/>
      <c r="LSA73" s="97"/>
      <c r="LSB73" s="97"/>
      <c r="LSC73" s="97"/>
      <c r="LSD73" s="97"/>
      <c r="LSE73" s="97"/>
      <c r="LSF73" s="97"/>
      <c r="LSG73" s="97"/>
      <c r="LSH73" s="97"/>
      <c r="LSI73" s="97"/>
      <c r="LSJ73" s="97"/>
      <c r="LSK73" s="97"/>
      <c r="LSL73" s="97"/>
      <c r="LSM73" s="97"/>
      <c r="LSN73" s="97"/>
      <c r="LSO73" s="97"/>
      <c r="LSP73" s="97"/>
      <c r="LSQ73" s="97"/>
      <c r="LSR73" s="97"/>
      <c r="LSS73" s="97"/>
      <c r="LST73" s="97"/>
      <c r="LSU73" s="97"/>
      <c r="LSV73" s="97"/>
      <c r="LSW73" s="97"/>
      <c r="LSX73" s="97"/>
      <c r="LSY73" s="97"/>
      <c r="LSZ73" s="97"/>
      <c r="LTA73" s="97"/>
      <c r="LTB73" s="97"/>
      <c r="LTC73" s="97"/>
      <c r="LTD73" s="97"/>
      <c r="LTE73" s="97"/>
      <c r="LTF73" s="97"/>
      <c r="LTG73" s="97"/>
      <c r="LTH73" s="97"/>
      <c r="LTI73" s="97"/>
      <c r="LTJ73" s="97"/>
      <c r="LTK73" s="97"/>
      <c r="LTL73" s="97"/>
      <c r="LTM73" s="97"/>
      <c r="LTN73" s="97"/>
      <c r="LTO73" s="97"/>
      <c r="LTP73" s="97"/>
      <c r="LTQ73" s="97"/>
      <c r="LTR73" s="97"/>
      <c r="LTS73" s="97"/>
      <c r="LTT73" s="97"/>
      <c r="LTU73" s="97"/>
      <c r="LTV73" s="97"/>
      <c r="LTW73" s="97"/>
      <c r="LTX73" s="97"/>
      <c r="LTY73" s="97"/>
      <c r="LTZ73" s="97"/>
      <c r="LUA73" s="97"/>
      <c r="LUB73" s="97"/>
      <c r="LUC73" s="97"/>
      <c r="LUD73" s="97"/>
      <c r="LUE73" s="97"/>
      <c r="LUF73" s="97"/>
      <c r="LUG73" s="97"/>
      <c r="LUH73" s="97"/>
      <c r="LUI73" s="97"/>
      <c r="LUJ73" s="97"/>
      <c r="LUK73" s="97"/>
      <c r="LUL73" s="97"/>
      <c r="LUM73" s="97"/>
      <c r="LUN73" s="97"/>
      <c r="LUO73" s="97"/>
      <c r="LUP73" s="97"/>
      <c r="LUQ73" s="97"/>
      <c r="LUR73" s="97"/>
      <c r="LUS73" s="97"/>
      <c r="LUT73" s="97"/>
      <c r="LUU73" s="97"/>
      <c r="LUV73" s="97"/>
      <c r="LUW73" s="97"/>
      <c r="LUX73" s="97"/>
      <c r="LUY73" s="97"/>
      <c r="LUZ73" s="97"/>
      <c r="LVA73" s="97"/>
      <c r="LVB73" s="97"/>
      <c r="LVC73" s="97"/>
      <c r="LVD73" s="97"/>
      <c r="LVE73" s="97"/>
      <c r="LVF73" s="97"/>
      <c r="LVG73" s="97"/>
      <c r="LVH73" s="97"/>
      <c r="LVI73" s="97"/>
      <c r="LVJ73" s="97"/>
      <c r="LVK73" s="97"/>
      <c r="LVL73" s="97"/>
      <c r="LVM73" s="97"/>
      <c r="LVN73" s="97"/>
      <c r="LVO73" s="97"/>
      <c r="LVP73" s="97"/>
      <c r="LVQ73" s="97"/>
      <c r="LVR73" s="97"/>
      <c r="LVS73" s="97"/>
      <c r="LVT73" s="97"/>
      <c r="LVU73" s="97"/>
      <c r="LVV73" s="97"/>
      <c r="LVW73" s="97"/>
      <c r="LVX73" s="97"/>
      <c r="LVY73" s="97"/>
      <c r="LVZ73" s="97"/>
      <c r="LWA73" s="97"/>
      <c r="LWB73" s="97"/>
      <c r="LWC73" s="97"/>
      <c r="LWD73" s="97"/>
      <c r="LWE73" s="97"/>
      <c r="LWF73" s="97"/>
      <c r="LWG73" s="97"/>
      <c r="LWH73" s="97"/>
      <c r="LWI73" s="97"/>
      <c r="LWJ73" s="97"/>
      <c r="LWK73" s="97"/>
      <c r="LWL73" s="97"/>
      <c r="LWM73" s="97"/>
      <c r="LWN73" s="97"/>
      <c r="LWO73" s="97"/>
      <c r="LWP73" s="97"/>
      <c r="LWQ73" s="97"/>
      <c r="LWR73" s="97"/>
      <c r="LWS73" s="97"/>
      <c r="LWT73" s="97"/>
      <c r="LWU73" s="97"/>
      <c r="LWV73" s="97"/>
      <c r="LWW73" s="97"/>
      <c r="LWX73" s="97"/>
      <c r="LWY73" s="97"/>
      <c r="LWZ73" s="97"/>
      <c r="LXA73" s="97"/>
      <c r="LXB73" s="97"/>
      <c r="LXC73" s="97"/>
      <c r="LXD73" s="97"/>
      <c r="LXE73" s="97"/>
      <c r="LXF73" s="97"/>
      <c r="LXG73" s="97"/>
      <c r="LXH73" s="97"/>
      <c r="LXI73" s="97"/>
      <c r="LXJ73" s="97"/>
      <c r="LXK73" s="97"/>
      <c r="LXL73" s="97"/>
      <c r="LXM73" s="97"/>
      <c r="LXN73" s="97"/>
      <c r="LXO73" s="97"/>
      <c r="LXP73" s="97"/>
      <c r="LXQ73" s="97"/>
      <c r="LXR73" s="97"/>
      <c r="LXS73" s="97"/>
      <c r="LXT73" s="97"/>
      <c r="LXU73" s="97"/>
      <c r="LXV73" s="97"/>
      <c r="LXW73" s="97"/>
      <c r="LXX73" s="97"/>
      <c r="LXY73" s="97"/>
      <c r="LXZ73" s="97"/>
      <c r="LYA73" s="97"/>
      <c r="LYB73" s="97"/>
      <c r="LYC73" s="97"/>
      <c r="LYD73" s="97"/>
      <c r="LYE73" s="97"/>
      <c r="LYF73" s="97"/>
      <c r="LYG73" s="97"/>
      <c r="LYH73" s="97"/>
      <c r="LYI73" s="97"/>
      <c r="LYJ73" s="97"/>
      <c r="LYK73" s="97"/>
      <c r="LYL73" s="97"/>
      <c r="LYM73" s="97"/>
      <c r="LYN73" s="97"/>
      <c r="LYO73" s="97"/>
      <c r="LYP73" s="97"/>
      <c r="LYQ73" s="97"/>
      <c r="LYR73" s="97"/>
      <c r="LYS73" s="97"/>
      <c r="LYT73" s="97"/>
      <c r="LYU73" s="97"/>
      <c r="LYV73" s="97"/>
      <c r="LYW73" s="97"/>
      <c r="LYX73" s="97"/>
      <c r="LYY73" s="97"/>
      <c r="LYZ73" s="97"/>
      <c r="LZA73" s="97"/>
      <c r="LZB73" s="97"/>
      <c r="LZC73" s="97"/>
      <c r="LZD73" s="97"/>
      <c r="LZE73" s="97"/>
      <c r="LZF73" s="97"/>
      <c r="LZG73" s="97"/>
      <c r="LZH73" s="97"/>
      <c r="LZI73" s="97"/>
      <c r="LZJ73" s="97"/>
      <c r="LZK73" s="97"/>
      <c r="LZL73" s="97"/>
      <c r="LZM73" s="97"/>
      <c r="LZN73" s="97"/>
      <c r="LZO73" s="97"/>
      <c r="LZP73" s="97"/>
      <c r="LZQ73" s="97"/>
      <c r="LZR73" s="97"/>
      <c r="LZS73" s="97"/>
      <c r="LZT73" s="97"/>
      <c r="LZU73" s="97"/>
      <c r="LZV73" s="97"/>
      <c r="LZW73" s="97"/>
      <c r="LZX73" s="97"/>
      <c r="LZY73" s="97"/>
      <c r="LZZ73" s="97"/>
      <c r="MAA73" s="97"/>
      <c r="MAB73" s="97"/>
      <c r="MAC73" s="97"/>
      <c r="MAD73" s="97"/>
      <c r="MAE73" s="97"/>
      <c r="MAF73" s="97"/>
      <c r="MAG73" s="97"/>
      <c r="MAH73" s="97"/>
      <c r="MAI73" s="97"/>
      <c r="MAJ73" s="97"/>
      <c r="MAK73" s="97"/>
      <c r="MAL73" s="97"/>
      <c r="MAM73" s="97"/>
      <c r="MAN73" s="97"/>
      <c r="MAO73" s="97"/>
      <c r="MAP73" s="97"/>
      <c r="MAQ73" s="97"/>
      <c r="MAR73" s="97"/>
      <c r="MAS73" s="97"/>
      <c r="MAT73" s="97"/>
      <c r="MAU73" s="97"/>
      <c r="MAV73" s="97"/>
      <c r="MAW73" s="97"/>
      <c r="MAX73" s="97"/>
      <c r="MAY73" s="97"/>
      <c r="MAZ73" s="97"/>
      <c r="MBA73" s="97"/>
      <c r="MBB73" s="97"/>
      <c r="MBC73" s="97"/>
      <c r="MBD73" s="97"/>
      <c r="MBE73" s="97"/>
      <c r="MBF73" s="97"/>
      <c r="MBG73" s="97"/>
      <c r="MBH73" s="97"/>
      <c r="MBI73" s="97"/>
      <c r="MBJ73" s="97"/>
      <c r="MBK73" s="97"/>
      <c r="MBL73" s="97"/>
      <c r="MBM73" s="97"/>
      <c r="MBN73" s="97"/>
      <c r="MBO73" s="97"/>
      <c r="MBP73" s="97"/>
      <c r="MBQ73" s="97"/>
      <c r="MBR73" s="97"/>
      <c r="MBS73" s="97"/>
      <c r="MBT73" s="97"/>
      <c r="MBU73" s="97"/>
      <c r="MBV73" s="97"/>
      <c r="MBW73" s="97"/>
      <c r="MBX73" s="97"/>
      <c r="MBY73" s="97"/>
      <c r="MBZ73" s="97"/>
      <c r="MCA73" s="97"/>
      <c r="MCB73" s="97"/>
      <c r="MCC73" s="97"/>
      <c r="MCD73" s="97"/>
      <c r="MCE73" s="97"/>
      <c r="MCF73" s="97"/>
      <c r="MCG73" s="97"/>
      <c r="MCH73" s="97"/>
      <c r="MCI73" s="97"/>
      <c r="MCJ73" s="97"/>
      <c r="MCK73" s="97"/>
      <c r="MCL73" s="97"/>
      <c r="MCM73" s="97"/>
      <c r="MCN73" s="97"/>
      <c r="MCO73" s="97"/>
      <c r="MCP73" s="97"/>
      <c r="MCQ73" s="97"/>
      <c r="MCR73" s="97"/>
      <c r="MCS73" s="97"/>
      <c r="MCT73" s="97"/>
      <c r="MCU73" s="97"/>
      <c r="MCV73" s="97"/>
      <c r="MCW73" s="97"/>
      <c r="MCX73" s="97"/>
      <c r="MCY73" s="97"/>
      <c r="MCZ73" s="97"/>
      <c r="MDA73" s="97"/>
      <c r="MDB73" s="97"/>
      <c r="MDC73" s="97"/>
      <c r="MDD73" s="97"/>
      <c r="MDE73" s="97"/>
      <c r="MDF73" s="97"/>
      <c r="MDG73" s="97"/>
      <c r="MDH73" s="97"/>
      <c r="MDI73" s="97"/>
      <c r="MDJ73" s="97"/>
      <c r="MDK73" s="97"/>
      <c r="MDL73" s="97"/>
      <c r="MDM73" s="97"/>
      <c r="MDN73" s="97"/>
      <c r="MDO73" s="97"/>
      <c r="MDP73" s="97"/>
      <c r="MDQ73" s="97"/>
      <c r="MDR73" s="97"/>
      <c r="MDS73" s="97"/>
      <c r="MDT73" s="97"/>
      <c r="MDU73" s="97"/>
      <c r="MDV73" s="97"/>
      <c r="MDW73" s="97"/>
      <c r="MDX73" s="97"/>
      <c r="MDY73" s="97"/>
      <c r="MDZ73" s="97"/>
      <c r="MEA73" s="97"/>
      <c r="MEB73" s="97"/>
      <c r="MEC73" s="97"/>
      <c r="MED73" s="97"/>
      <c r="MEE73" s="97"/>
      <c r="MEF73" s="97"/>
      <c r="MEG73" s="97"/>
      <c r="MEH73" s="97"/>
      <c r="MEI73" s="97"/>
      <c r="MEJ73" s="97"/>
      <c r="MEK73" s="97"/>
      <c r="MEL73" s="97"/>
      <c r="MEM73" s="97"/>
      <c r="MEN73" s="97"/>
      <c r="MEO73" s="97"/>
      <c r="MEP73" s="97"/>
      <c r="MEQ73" s="97"/>
      <c r="MER73" s="97"/>
      <c r="MES73" s="97"/>
      <c r="MET73" s="97"/>
      <c r="MEU73" s="97"/>
      <c r="MEV73" s="97"/>
      <c r="MEW73" s="97"/>
      <c r="MEX73" s="97"/>
      <c r="MEY73" s="97"/>
      <c r="MEZ73" s="97"/>
      <c r="MFA73" s="97"/>
      <c r="MFB73" s="97"/>
      <c r="MFC73" s="97"/>
      <c r="MFD73" s="97"/>
      <c r="MFE73" s="97"/>
      <c r="MFF73" s="97"/>
      <c r="MFG73" s="97"/>
      <c r="MFH73" s="97"/>
      <c r="MFI73" s="97"/>
      <c r="MFJ73" s="97"/>
      <c r="MFK73" s="97"/>
      <c r="MFL73" s="97"/>
      <c r="MFM73" s="97"/>
      <c r="MFN73" s="97"/>
      <c r="MFO73" s="97"/>
      <c r="MFP73" s="97"/>
      <c r="MFQ73" s="97"/>
      <c r="MFR73" s="97"/>
      <c r="MFS73" s="97"/>
      <c r="MFT73" s="97"/>
      <c r="MFU73" s="97"/>
      <c r="MFV73" s="97"/>
      <c r="MFW73" s="97"/>
      <c r="MFX73" s="97"/>
      <c r="MFY73" s="97"/>
      <c r="MFZ73" s="97"/>
      <c r="MGA73" s="97"/>
      <c r="MGB73" s="97"/>
      <c r="MGC73" s="97"/>
      <c r="MGD73" s="97"/>
      <c r="MGE73" s="97"/>
      <c r="MGF73" s="97"/>
      <c r="MGG73" s="97"/>
      <c r="MGH73" s="97"/>
      <c r="MGI73" s="97"/>
      <c r="MGJ73" s="97"/>
      <c r="MGK73" s="97"/>
      <c r="MGL73" s="97"/>
      <c r="MGM73" s="97"/>
      <c r="MGN73" s="97"/>
      <c r="MGO73" s="97"/>
      <c r="MGP73" s="97"/>
      <c r="MGQ73" s="97"/>
      <c r="MGR73" s="97"/>
      <c r="MGS73" s="97"/>
      <c r="MGT73" s="97"/>
      <c r="MGU73" s="97"/>
      <c r="MGV73" s="97"/>
      <c r="MGW73" s="97"/>
      <c r="MGX73" s="97"/>
      <c r="MGY73" s="97"/>
      <c r="MGZ73" s="97"/>
      <c r="MHA73" s="97"/>
      <c r="MHB73" s="97"/>
      <c r="MHC73" s="97"/>
      <c r="MHD73" s="97"/>
      <c r="MHE73" s="97"/>
      <c r="MHF73" s="97"/>
      <c r="MHG73" s="97"/>
      <c r="MHH73" s="97"/>
      <c r="MHI73" s="97"/>
      <c r="MHJ73" s="97"/>
      <c r="MHK73" s="97"/>
      <c r="MHL73" s="97"/>
      <c r="MHM73" s="97"/>
      <c r="MHN73" s="97"/>
      <c r="MHO73" s="97"/>
      <c r="MHP73" s="97"/>
      <c r="MHQ73" s="97"/>
      <c r="MHR73" s="97"/>
      <c r="MHS73" s="97"/>
      <c r="MHT73" s="97"/>
      <c r="MHU73" s="97"/>
      <c r="MHV73" s="97"/>
      <c r="MHW73" s="97"/>
      <c r="MHX73" s="97"/>
      <c r="MHY73" s="97"/>
      <c r="MHZ73" s="97"/>
      <c r="MIA73" s="97"/>
      <c r="MIB73" s="97"/>
      <c r="MIC73" s="97"/>
      <c r="MID73" s="97"/>
      <c r="MIE73" s="97"/>
      <c r="MIF73" s="97"/>
      <c r="MIG73" s="97"/>
      <c r="MIH73" s="97"/>
      <c r="MII73" s="97"/>
      <c r="MIJ73" s="97"/>
      <c r="MIK73" s="97"/>
      <c r="MIL73" s="97"/>
      <c r="MIM73" s="97"/>
      <c r="MIN73" s="97"/>
      <c r="MIO73" s="97"/>
      <c r="MIP73" s="97"/>
      <c r="MIQ73" s="97"/>
      <c r="MIR73" s="97"/>
      <c r="MIS73" s="97"/>
      <c r="MIT73" s="97"/>
      <c r="MIU73" s="97"/>
      <c r="MIV73" s="97"/>
      <c r="MIW73" s="97"/>
      <c r="MIX73" s="97"/>
      <c r="MIY73" s="97"/>
      <c r="MIZ73" s="97"/>
      <c r="MJA73" s="97"/>
      <c r="MJB73" s="97"/>
      <c r="MJC73" s="97"/>
      <c r="MJD73" s="97"/>
      <c r="MJE73" s="97"/>
      <c r="MJF73" s="97"/>
      <c r="MJG73" s="97"/>
      <c r="MJH73" s="97"/>
      <c r="MJI73" s="97"/>
      <c r="MJJ73" s="97"/>
      <c r="MJK73" s="97"/>
      <c r="MJL73" s="97"/>
      <c r="MJM73" s="97"/>
      <c r="MJN73" s="97"/>
      <c r="MJO73" s="97"/>
      <c r="MJP73" s="97"/>
      <c r="MJQ73" s="97"/>
      <c r="MJR73" s="97"/>
      <c r="MJS73" s="97"/>
      <c r="MJT73" s="97"/>
      <c r="MJU73" s="97"/>
      <c r="MJV73" s="97"/>
      <c r="MJW73" s="97"/>
      <c r="MJX73" s="97"/>
      <c r="MJY73" s="97"/>
      <c r="MJZ73" s="97"/>
      <c r="MKA73" s="97"/>
      <c r="MKB73" s="97"/>
      <c r="MKC73" s="97"/>
      <c r="MKD73" s="97"/>
      <c r="MKE73" s="97"/>
      <c r="MKF73" s="97"/>
      <c r="MKG73" s="97"/>
      <c r="MKH73" s="97"/>
      <c r="MKI73" s="97"/>
      <c r="MKJ73" s="97"/>
      <c r="MKK73" s="97"/>
      <c r="MKL73" s="97"/>
      <c r="MKM73" s="97"/>
      <c r="MKN73" s="97"/>
      <c r="MKO73" s="97"/>
      <c r="MKP73" s="97"/>
      <c r="MKQ73" s="97"/>
      <c r="MKR73" s="97"/>
      <c r="MKS73" s="97"/>
      <c r="MKT73" s="97"/>
      <c r="MKU73" s="97"/>
      <c r="MKV73" s="97"/>
      <c r="MKW73" s="97"/>
      <c r="MKX73" s="97"/>
      <c r="MKY73" s="97"/>
      <c r="MKZ73" s="97"/>
      <c r="MLA73" s="97"/>
      <c r="MLB73" s="97"/>
      <c r="MLC73" s="97"/>
      <c r="MLD73" s="97"/>
      <c r="MLE73" s="97"/>
      <c r="MLF73" s="97"/>
      <c r="MLG73" s="97"/>
      <c r="MLH73" s="97"/>
      <c r="MLI73" s="97"/>
      <c r="MLJ73" s="97"/>
      <c r="MLK73" s="97"/>
      <c r="MLL73" s="97"/>
      <c r="MLM73" s="97"/>
      <c r="MLN73" s="97"/>
      <c r="MLO73" s="97"/>
      <c r="MLP73" s="97"/>
      <c r="MLQ73" s="97"/>
      <c r="MLR73" s="97"/>
      <c r="MLS73" s="97"/>
      <c r="MLT73" s="97"/>
      <c r="MLU73" s="97"/>
      <c r="MLV73" s="97"/>
      <c r="MLW73" s="97"/>
      <c r="MLX73" s="97"/>
      <c r="MLY73" s="97"/>
      <c r="MLZ73" s="97"/>
      <c r="MMA73" s="97"/>
      <c r="MMB73" s="97"/>
      <c r="MMC73" s="97"/>
      <c r="MMD73" s="97"/>
      <c r="MME73" s="97"/>
      <c r="MMF73" s="97"/>
      <c r="MMG73" s="97"/>
      <c r="MMH73" s="97"/>
      <c r="MMI73" s="97"/>
      <c r="MMJ73" s="97"/>
      <c r="MMK73" s="97"/>
      <c r="MML73" s="97"/>
      <c r="MMM73" s="97"/>
      <c r="MMN73" s="97"/>
      <c r="MMO73" s="97"/>
      <c r="MMP73" s="97"/>
      <c r="MMQ73" s="97"/>
      <c r="MMR73" s="97"/>
      <c r="MMS73" s="97"/>
      <c r="MMT73" s="97"/>
      <c r="MMU73" s="97"/>
      <c r="MMV73" s="97"/>
      <c r="MMW73" s="97"/>
      <c r="MMX73" s="97"/>
      <c r="MMY73" s="97"/>
      <c r="MMZ73" s="97"/>
      <c r="MNA73" s="97"/>
      <c r="MNB73" s="97"/>
      <c r="MNC73" s="97"/>
      <c r="MND73" s="97"/>
      <c r="MNE73" s="97"/>
      <c r="MNF73" s="97"/>
      <c r="MNG73" s="97"/>
      <c r="MNH73" s="97"/>
      <c r="MNI73" s="97"/>
      <c r="MNJ73" s="97"/>
      <c r="MNK73" s="97"/>
      <c r="MNL73" s="97"/>
      <c r="MNM73" s="97"/>
      <c r="MNN73" s="97"/>
      <c r="MNO73" s="97"/>
      <c r="MNP73" s="97"/>
      <c r="MNQ73" s="97"/>
      <c r="MNR73" s="97"/>
      <c r="MNS73" s="97"/>
      <c r="MNT73" s="97"/>
      <c r="MNU73" s="97"/>
      <c r="MNV73" s="97"/>
      <c r="MNW73" s="97"/>
      <c r="MNX73" s="97"/>
      <c r="MNY73" s="97"/>
      <c r="MNZ73" s="97"/>
      <c r="MOA73" s="97"/>
      <c r="MOB73" s="97"/>
      <c r="MOC73" s="97"/>
      <c r="MOD73" s="97"/>
      <c r="MOE73" s="97"/>
      <c r="MOF73" s="97"/>
      <c r="MOG73" s="97"/>
      <c r="MOH73" s="97"/>
      <c r="MOI73" s="97"/>
      <c r="MOJ73" s="97"/>
      <c r="MOK73" s="97"/>
      <c r="MOL73" s="97"/>
      <c r="MOM73" s="97"/>
      <c r="MON73" s="97"/>
      <c r="MOO73" s="97"/>
      <c r="MOP73" s="97"/>
      <c r="MOQ73" s="97"/>
      <c r="MOR73" s="97"/>
      <c r="MOS73" s="97"/>
      <c r="MOT73" s="97"/>
      <c r="MOU73" s="97"/>
      <c r="MOV73" s="97"/>
      <c r="MOW73" s="97"/>
      <c r="MOX73" s="97"/>
      <c r="MOY73" s="97"/>
      <c r="MOZ73" s="97"/>
      <c r="MPA73" s="97"/>
      <c r="MPB73" s="97"/>
      <c r="MPC73" s="97"/>
      <c r="MPD73" s="97"/>
      <c r="MPE73" s="97"/>
      <c r="MPF73" s="97"/>
      <c r="MPG73" s="97"/>
      <c r="MPH73" s="97"/>
      <c r="MPI73" s="97"/>
      <c r="MPJ73" s="97"/>
      <c r="MPK73" s="97"/>
      <c r="MPL73" s="97"/>
      <c r="MPM73" s="97"/>
      <c r="MPN73" s="97"/>
      <c r="MPO73" s="97"/>
      <c r="MPP73" s="97"/>
      <c r="MPQ73" s="97"/>
      <c r="MPR73" s="97"/>
      <c r="MPS73" s="97"/>
      <c r="MPT73" s="97"/>
      <c r="MPU73" s="97"/>
      <c r="MPV73" s="97"/>
      <c r="MPW73" s="97"/>
      <c r="MPX73" s="97"/>
      <c r="MPY73" s="97"/>
      <c r="MPZ73" s="97"/>
      <c r="MQA73" s="97"/>
      <c r="MQB73" s="97"/>
      <c r="MQC73" s="97"/>
      <c r="MQD73" s="97"/>
      <c r="MQE73" s="97"/>
      <c r="MQF73" s="97"/>
      <c r="MQG73" s="97"/>
      <c r="MQH73" s="97"/>
      <c r="MQI73" s="97"/>
      <c r="MQJ73" s="97"/>
      <c r="MQK73" s="97"/>
      <c r="MQL73" s="97"/>
      <c r="MQM73" s="97"/>
      <c r="MQN73" s="97"/>
      <c r="MQO73" s="97"/>
      <c r="MQP73" s="97"/>
      <c r="MQQ73" s="97"/>
      <c r="MQR73" s="97"/>
      <c r="MQS73" s="97"/>
      <c r="MQT73" s="97"/>
      <c r="MQU73" s="97"/>
      <c r="MQV73" s="97"/>
      <c r="MQW73" s="97"/>
      <c r="MQX73" s="97"/>
      <c r="MQY73" s="97"/>
      <c r="MQZ73" s="97"/>
      <c r="MRA73" s="97"/>
      <c r="MRB73" s="97"/>
      <c r="MRC73" s="97"/>
      <c r="MRD73" s="97"/>
      <c r="MRE73" s="97"/>
      <c r="MRF73" s="97"/>
      <c r="MRG73" s="97"/>
      <c r="MRH73" s="97"/>
      <c r="MRI73" s="97"/>
      <c r="MRJ73" s="97"/>
      <c r="MRK73" s="97"/>
      <c r="MRL73" s="97"/>
      <c r="MRM73" s="97"/>
      <c r="MRN73" s="97"/>
      <c r="MRO73" s="97"/>
      <c r="MRP73" s="97"/>
      <c r="MRQ73" s="97"/>
      <c r="MRR73" s="97"/>
      <c r="MRS73" s="97"/>
      <c r="MRT73" s="97"/>
      <c r="MRU73" s="97"/>
      <c r="MRV73" s="97"/>
      <c r="MRW73" s="97"/>
      <c r="MRX73" s="97"/>
      <c r="MRY73" s="97"/>
      <c r="MRZ73" s="97"/>
      <c r="MSA73" s="97"/>
      <c r="MSB73" s="97"/>
      <c r="MSC73" s="97"/>
      <c r="MSD73" s="97"/>
      <c r="MSE73" s="97"/>
      <c r="MSF73" s="97"/>
      <c r="MSG73" s="97"/>
      <c r="MSH73" s="97"/>
      <c r="MSI73" s="97"/>
      <c r="MSJ73" s="97"/>
      <c r="MSK73" s="97"/>
      <c r="MSL73" s="97"/>
      <c r="MSM73" s="97"/>
      <c r="MSN73" s="97"/>
      <c r="MSO73" s="97"/>
      <c r="MSP73" s="97"/>
      <c r="MSQ73" s="97"/>
      <c r="MSR73" s="97"/>
      <c r="MSS73" s="97"/>
      <c r="MST73" s="97"/>
      <c r="MSU73" s="97"/>
      <c r="MSV73" s="97"/>
      <c r="MSW73" s="97"/>
      <c r="MSX73" s="97"/>
      <c r="MSY73" s="97"/>
      <c r="MSZ73" s="97"/>
      <c r="MTA73" s="97"/>
      <c r="MTB73" s="97"/>
      <c r="MTC73" s="97"/>
      <c r="MTD73" s="97"/>
      <c r="MTE73" s="97"/>
      <c r="MTF73" s="97"/>
      <c r="MTG73" s="97"/>
      <c r="MTH73" s="97"/>
      <c r="MTI73" s="97"/>
      <c r="MTJ73" s="97"/>
      <c r="MTK73" s="97"/>
      <c r="MTL73" s="97"/>
      <c r="MTM73" s="97"/>
      <c r="MTN73" s="97"/>
      <c r="MTO73" s="97"/>
      <c r="MTP73" s="97"/>
      <c r="MTQ73" s="97"/>
      <c r="MTR73" s="97"/>
      <c r="MTS73" s="97"/>
      <c r="MTT73" s="97"/>
      <c r="MTU73" s="97"/>
      <c r="MTV73" s="97"/>
      <c r="MTW73" s="97"/>
      <c r="MTX73" s="97"/>
      <c r="MTY73" s="97"/>
      <c r="MTZ73" s="97"/>
      <c r="MUA73" s="97"/>
      <c r="MUB73" s="97"/>
      <c r="MUC73" s="97"/>
      <c r="MUD73" s="97"/>
      <c r="MUE73" s="97"/>
      <c r="MUF73" s="97"/>
      <c r="MUG73" s="97"/>
      <c r="MUH73" s="97"/>
      <c r="MUI73" s="97"/>
      <c r="MUJ73" s="97"/>
      <c r="MUK73" s="97"/>
      <c r="MUL73" s="97"/>
      <c r="MUM73" s="97"/>
      <c r="MUN73" s="97"/>
      <c r="MUO73" s="97"/>
      <c r="MUP73" s="97"/>
      <c r="MUQ73" s="97"/>
      <c r="MUR73" s="97"/>
      <c r="MUS73" s="97"/>
      <c r="MUT73" s="97"/>
      <c r="MUU73" s="97"/>
      <c r="MUV73" s="97"/>
      <c r="MUW73" s="97"/>
      <c r="MUX73" s="97"/>
      <c r="MUY73" s="97"/>
      <c r="MUZ73" s="97"/>
      <c r="MVA73" s="97"/>
      <c r="MVB73" s="97"/>
      <c r="MVC73" s="97"/>
      <c r="MVD73" s="97"/>
      <c r="MVE73" s="97"/>
      <c r="MVF73" s="97"/>
      <c r="MVG73" s="97"/>
      <c r="MVH73" s="97"/>
      <c r="MVI73" s="97"/>
      <c r="MVJ73" s="97"/>
      <c r="MVK73" s="97"/>
      <c r="MVL73" s="97"/>
      <c r="MVM73" s="97"/>
      <c r="MVN73" s="97"/>
      <c r="MVO73" s="97"/>
      <c r="MVP73" s="97"/>
      <c r="MVQ73" s="97"/>
      <c r="MVR73" s="97"/>
      <c r="MVS73" s="97"/>
      <c r="MVT73" s="97"/>
      <c r="MVU73" s="97"/>
      <c r="MVV73" s="97"/>
      <c r="MVW73" s="97"/>
      <c r="MVX73" s="97"/>
      <c r="MVY73" s="97"/>
      <c r="MVZ73" s="97"/>
      <c r="MWA73" s="97"/>
      <c r="MWB73" s="97"/>
      <c r="MWC73" s="97"/>
      <c r="MWD73" s="97"/>
      <c r="MWE73" s="97"/>
      <c r="MWF73" s="97"/>
      <c r="MWG73" s="97"/>
      <c r="MWH73" s="97"/>
      <c r="MWI73" s="97"/>
      <c r="MWJ73" s="97"/>
      <c r="MWK73" s="97"/>
      <c r="MWL73" s="97"/>
      <c r="MWM73" s="97"/>
      <c r="MWN73" s="97"/>
      <c r="MWO73" s="97"/>
      <c r="MWP73" s="97"/>
      <c r="MWQ73" s="97"/>
      <c r="MWR73" s="97"/>
      <c r="MWS73" s="97"/>
      <c r="MWT73" s="97"/>
      <c r="MWU73" s="97"/>
      <c r="MWV73" s="97"/>
      <c r="MWW73" s="97"/>
      <c r="MWX73" s="97"/>
      <c r="MWY73" s="97"/>
      <c r="MWZ73" s="97"/>
      <c r="MXA73" s="97"/>
      <c r="MXB73" s="97"/>
      <c r="MXC73" s="97"/>
      <c r="MXD73" s="97"/>
      <c r="MXE73" s="97"/>
      <c r="MXF73" s="97"/>
      <c r="MXG73" s="97"/>
      <c r="MXH73" s="97"/>
      <c r="MXI73" s="97"/>
      <c r="MXJ73" s="97"/>
      <c r="MXK73" s="97"/>
      <c r="MXL73" s="97"/>
      <c r="MXM73" s="97"/>
      <c r="MXN73" s="97"/>
      <c r="MXO73" s="97"/>
      <c r="MXP73" s="97"/>
      <c r="MXQ73" s="97"/>
      <c r="MXR73" s="97"/>
      <c r="MXS73" s="97"/>
      <c r="MXT73" s="97"/>
      <c r="MXU73" s="97"/>
      <c r="MXV73" s="97"/>
      <c r="MXW73" s="97"/>
      <c r="MXX73" s="97"/>
      <c r="MXY73" s="97"/>
      <c r="MXZ73" s="97"/>
      <c r="MYA73" s="97"/>
      <c r="MYB73" s="97"/>
      <c r="MYC73" s="97"/>
      <c r="MYD73" s="97"/>
      <c r="MYE73" s="97"/>
      <c r="MYF73" s="97"/>
      <c r="MYG73" s="97"/>
      <c r="MYH73" s="97"/>
      <c r="MYI73" s="97"/>
      <c r="MYJ73" s="97"/>
      <c r="MYK73" s="97"/>
      <c r="MYL73" s="97"/>
      <c r="MYM73" s="97"/>
      <c r="MYN73" s="97"/>
      <c r="MYO73" s="97"/>
      <c r="MYP73" s="97"/>
      <c r="MYQ73" s="97"/>
      <c r="MYR73" s="97"/>
      <c r="MYS73" s="97"/>
      <c r="MYT73" s="97"/>
      <c r="MYU73" s="97"/>
      <c r="MYV73" s="97"/>
      <c r="MYW73" s="97"/>
      <c r="MYX73" s="97"/>
      <c r="MYY73" s="97"/>
      <c r="MYZ73" s="97"/>
      <c r="MZA73" s="97"/>
      <c r="MZB73" s="97"/>
      <c r="MZC73" s="97"/>
      <c r="MZD73" s="97"/>
      <c r="MZE73" s="97"/>
      <c r="MZF73" s="97"/>
      <c r="MZG73" s="97"/>
      <c r="MZH73" s="97"/>
      <c r="MZI73" s="97"/>
      <c r="MZJ73" s="97"/>
      <c r="MZK73" s="97"/>
      <c r="MZL73" s="97"/>
      <c r="MZM73" s="97"/>
      <c r="MZN73" s="97"/>
      <c r="MZO73" s="97"/>
      <c r="MZP73" s="97"/>
      <c r="MZQ73" s="97"/>
      <c r="MZR73" s="97"/>
      <c r="MZS73" s="97"/>
      <c r="MZT73" s="97"/>
      <c r="MZU73" s="97"/>
      <c r="MZV73" s="97"/>
      <c r="MZW73" s="97"/>
      <c r="MZX73" s="97"/>
      <c r="MZY73" s="97"/>
      <c r="MZZ73" s="97"/>
      <c r="NAA73" s="97"/>
      <c r="NAB73" s="97"/>
      <c r="NAC73" s="97"/>
      <c r="NAD73" s="97"/>
      <c r="NAE73" s="97"/>
      <c r="NAF73" s="97"/>
      <c r="NAG73" s="97"/>
      <c r="NAH73" s="97"/>
      <c r="NAI73" s="97"/>
      <c r="NAJ73" s="97"/>
      <c r="NAK73" s="97"/>
      <c r="NAL73" s="97"/>
      <c r="NAM73" s="97"/>
      <c r="NAN73" s="97"/>
      <c r="NAO73" s="97"/>
      <c r="NAP73" s="97"/>
      <c r="NAQ73" s="97"/>
      <c r="NAR73" s="97"/>
      <c r="NAS73" s="97"/>
      <c r="NAT73" s="97"/>
      <c r="NAU73" s="97"/>
      <c r="NAV73" s="97"/>
      <c r="NAW73" s="97"/>
      <c r="NAX73" s="97"/>
      <c r="NAY73" s="97"/>
      <c r="NAZ73" s="97"/>
      <c r="NBA73" s="97"/>
      <c r="NBB73" s="97"/>
      <c r="NBC73" s="97"/>
      <c r="NBD73" s="97"/>
      <c r="NBE73" s="97"/>
      <c r="NBF73" s="97"/>
      <c r="NBG73" s="97"/>
      <c r="NBH73" s="97"/>
      <c r="NBI73" s="97"/>
      <c r="NBJ73" s="97"/>
      <c r="NBK73" s="97"/>
      <c r="NBL73" s="97"/>
      <c r="NBM73" s="97"/>
      <c r="NBN73" s="97"/>
      <c r="NBO73" s="97"/>
      <c r="NBP73" s="97"/>
      <c r="NBQ73" s="97"/>
      <c r="NBR73" s="97"/>
      <c r="NBS73" s="97"/>
      <c r="NBT73" s="97"/>
      <c r="NBU73" s="97"/>
      <c r="NBV73" s="97"/>
      <c r="NBW73" s="97"/>
      <c r="NBX73" s="97"/>
      <c r="NBY73" s="97"/>
      <c r="NBZ73" s="97"/>
      <c r="NCA73" s="97"/>
      <c r="NCB73" s="97"/>
      <c r="NCC73" s="97"/>
      <c r="NCD73" s="97"/>
      <c r="NCE73" s="97"/>
      <c r="NCF73" s="97"/>
      <c r="NCG73" s="97"/>
      <c r="NCH73" s="97"/>
      <c r="NCI73" s="97"/>
      <c r="NCJ73" s="97"/>
      <c r="NCK73" s="97"/>
      <c r="NCL73" s="97"/>
      <c r="NCM73" s="97"/>
      <c r="NCN73" s="97"/>
      <c r="NCO73" s="97"/>
      <c r="NCP73" s="97"/>
      <c r="NCQ73" s="97"/>
      <c r="NCR73" s="97"/>
      <c r="NCS73" s="97"/>
      <c r="NCT73" s="97"/>
      <c r="NCU73" s="97"/>
      <c r="NCV73" s="97"/>
      <c r="NCW73" s="97"/>
      <c r="NCX73" s="97"/>
      <c r="NCY73" s="97"/>
      <c r="NCZ73" s="97"/>
      <c r="NDA73" s="97"/>
      <c r="NDB73" s="97"/>
      <c r="NDC73" s="97"/>
      <c r="NDD73" s="97"/>
      <c r="NDE73" s="97"/>
      <c r="NDF73" s="97"/>
      <c r="NDG73" s="97"/>
      <c r="NDH73" s="97"/>
      <c r="NDI73" s="97"/>
      <c r="NDJ73" s="97"/>
      <c r="NDK73" s="97"/>
      <c r="NDL73" s="97"/>
      <c r="NDM73" s="97"/>
      <c r="NDN73" s="97"/>
      <c r="NDO73" s="97"/>
      <c r="NDP73" s="97"/>
      <c r="NDQ73" s="97"/>
      <c r="NDR73" s="97"/>
      <c r="NDS73" s="97"/>
      <c r="NDT73" s="97"/>
      <c r="NDU73" s="97"/>
      <c r="NDV73" s="97"/>
      <c r="NDW73" s="97"/>
      <c r="NDX73" s="97"/>
      <c r="NDY73" s="97"/>
      <c r="NDZ73" s="97"/>
      <c r="NEA73" s="97"/>
      <c r="NEB73" s="97"/>
      <c r="NEC73" s="97"/>
      <c r="NED73" s="97"/>
      <c r="NEE73" s="97"/>
      <c r="NEF73" s="97"/>
      <c r="NEG73" s="97"/>
      <c r="NEH73" s="97"/>
      <c r="NEI73" s="97"/>
      <c r="NEJ73" s="97"/>
      <c r="NEK73" s="97"/>
      <c r="NEL73" s="97"/>
      <c r="NEM73" s="97"/>
      <c r="NEN73" s="97"/>
      <c r="NEO73" s="97"/>
      <c r="NEP73" s="97"/>
      <c r="NEQ73" s="97"/>
      <c r="NER73" s="97"/>
      <c r="NES73" s="97"/>
      <c r="NET73" s="97"/>
      <c r="NEU73" s="97"/>
      <c r="NEV73" s="97"/>
      <c r="NEW73" s="97"/>
      <c r="NEX73" s="97"/>
      <c r="NEY73" s="97"/>
      <c r="NEZ73" s="97"/>
      <c r="NFA73" s="97"/>
      <c r="NFB73" s="97"/>
      <c r="NFC73" s="97"/>
      <c r="NFD73" s="97"/>
      <c r="NFE73" s="97"/>
      <c r="NFF73" s="97"/>
      <c r="NFG73" s="97"/>
      <c r="NFH73" s="97"/>
      <c r="NFI73" s="97"/>
      <c r="NFJ73" s="97"/>
      <c r="NFK73" s="97"/>
      <c r="NFL73" s="97"/>
      <c r="NFM73" s="97"/>
      <c r="NFN73" s="97"/>
      <c r="NFO73" s="97"/>
      <c r="NFP73" s="97"/>
      <c r="NFQ73" s="97"/>
      <c r="NFR73" s="97"/>
      <c r="NFS73" s="97"/>
      <c r="NFT73" s="97"/>
      <c r="NFU73" s="97"/>
      <c r="NFV73" s="97"/>
      <c r="NFW73" s="97"/>
      <c r="NFX73" s="97"/>
      <c r="NFY73" s="97"/>
      <c r="NFZ73" s="97"/>
      <c r="NGA73" s="97"/>
      <c r="NGB73" s="97"/>
      <c r="NGC73" s="97"/>
      <c r="NGD73" s="97"/>
      <c r="NGE73" s="97"/>
      <c r="NGF73" s="97"/>
      <c r="NGG73" s="97"/>
      <c r="NGH73" s="97"/>
      <c r="NGI73" s="97"/>
      <c r="NGJ73" s="97"/>
      <c r="NGK73" s="97"/>
      <c r="NGL73" s="97"/>
      <c r="NGM73" s="97"/>
      <c r="NGN73" s="97"/>
      <c r="NGO73" s="97"/>
      <c r="NGP73" s="97"/>
      <c r="NGQ73" s="97"/>
      <c r="NGR73" s="97"/>
      <c r="NGS73" s="97"/>
      <c r="NGT73" s="97"/>
      <c r="NGU73" s="97"/>
      <c r="NGV73" s="97"/>
      <c r="NGW73" s="97"/>
      <c r="NGX73" s="97"/>
      <c r="NGY73" s="97"/>
      <c r="NGZ73" s="97"/>
      <c r="NHA73" s="97"/>
      <c r="NHB73" s="97"/>
      <c r="NHC73" s="97"/>
      <c r="NHD73" s="97"/>
      <c r="NHE73" s="97"/>
      <c r="NHF73" s="97"/>
      <c r="NHG73" s="97"/>
      <c r="NHH73" s="97"/>
      <c r="NHI73" s="97"/>
      <c r="NHJ73" s="97"/>
      <c r="NHK73" s="97"/>
      <c r="NHL73" s="97"/>
      <c r="NHM73" s="97"/>
      <c r="NHN73" s="97"/>
      <c r="NHO73" s="97"/>
      <c r="NHP73" s="97"/>
      <c r="NHQ73" s="97"/>
      <c r="NHR73" s="97"/>
      <c r="NHS73" s="97"/>
      <c r="NHT73" s="97"/>
      <c r="NHU73" s="97"/>
      <c r="NHV73" s="97"/>
      <c r="NHW73" s="97"/>
      <c r="NHX73" s="97"/>
      <c r="NHY73" s="97"/>
      <c r="NHZ73" s="97"/>
      <c r="NIA73" s="97"/>
      <c r="NIB73" s="97"/>
      <c r="NIC73" s="97"/>
      <c r="NID73" s="97"/>
      <c r="NIE73" s="97"/>
      <c r="NIF73" s="97"/>
      <c r="NIG73" s="97"/>
      <c r="NIH73" s="97"/>
      <c r="NII73" s="97"/>
      <c r="NIJ73" s="97"/>
      <c r="NIK73" s="97"/>
      <c r="NIL73" s="97"/>
      <c r="NIM73" s="97"/>
      <c r="NIN73" s="97"/>
      <c r="NIO73" s="97"/>
      <c r="NIP73" s="97"/>
      <c r="NIQ73" s="97"/>
      <c r="NIR73" s="97"/>
      <c r="NIS73" s="97"/>
      <c r="NIT73" s="97"/>
      <c r="NIU73" s="97"/>
      <c r="NIV73" s="97"/>
      <c r="NIW73" s="97"/>
      <c r="NIX73" s="97"/>
      <c r="NIY73" s="97"/>
      <c r="NIZ73" s="97"/>
      <c r="NJA73" s="97"/>
      <c r="NJB73" s="97"/>
      <c r="NJC73" s="97"/>
      <c r="NJD73" s="97"/>
      <c r="NJE73" s="97"/>
      <c r="NJF73" s="97"/>
      <c r="NJG73" s="97"/>
      <c r="NJH73" s="97"/>
      <c r="NJI73" s="97"/>
      <c r="NJJ73" s="97"/>
      <c r="NJK73" s="97"/>
      <c r="NJL73" s="97"/>
      <c r="NJM73" s="97"/>
      <c r="NJN73" s="97"/>
      <c r="NJO73" s="97"/>
      <c r="NJP73" s="97"/>
      <c r="NJQ73" s="97"/>
      <c r="NJR73" s="97"/>
      <c r="NJS73" s="97"/>
      <c r="NJT73" s="97"/>
      <c r="NJU73" s="97"/>
      <c r="NJV73" s="97"/>
      <c r="NJW73" s="97"/>
      <c r="NJX73" s="97"/>
      <c r="NJY73" s="97"/>
      <c r="NJZ73" s="97"/>
      <c r="NKA73" s="97"/>
      <c r="NKB73" s="97"/>
      <c r="NKC73" s="97"/>
      <c r="NKD73" s="97"/>
      <c r="NKE73" s="97"/>
      <c r="NKF73" s="97"/>
      <c r="NKG73" s="97"/>
      <c r="NKH73" s="97"/>
      <c r="NKI73" s="97"/>
      <c r="NKJ73" s="97"/>
      <c r="NKK73" s="97"/>
      <c r="NKL73" s="97"/>
      <c r="NKM73" s="97"/>
      <c r="NKN73" s="97"/>
      <c r="NKO73" s="97"/>
      <c r="NKP73" s="97"/>
      <c r="NKQ73" s="97"/>
      <c r="NKR73" s="97"/>
      <c r="NKS73" s="97"/>
      <c r="NKT73" s="97"/>
      <c r="NKU73" s="97"/>
      <c r="NKV73" s="97"/>
      <c r="NKW73" s="97"/>
      <c r="NKX73" s="97"/>
      <c r="NKY73" s="97"/>
      <c r="NKZ73" s="97"/>
      <c r="NLA73" s="97"/>
      <c r="NLB73" s="97"/>
      <c r="NLC73" s="97"/>
      <c r="NLD73" s="97"/>
      <c r="NLE73" s="97"/>
      <c r="NLF73" s="97"/>
      <c r="NLG73" s="97"/>
      <c r="NLH73" s="97"/>
      <c r="NLI73" s="97"/>
      <c r="NLJ73" s="97"/>
      <c r="NLK73" s="97"/>
      <c r="NLL73" s="97"/>
      <c r="NLM73" s="97"/>
      <c r="NLN73" s="97"/>
      <c r="NLO73" s="97"/>
      <c r="NLP73" s="97"/>
      <c r="NLQ73" s="97"/>
      <c r="NLR73" s="97"/>
      <c r="NLS73" s="97"/>
      <c r="NLT73" s="97"/>
      <c r="NLU73" s="97"/>
      <c r="NLV73" s="97"/>
      <c r="NLW73" s="97"/>
      <c r="NLX73" s="97"/>
      <c r="NLY73" s="97"/>
      <c r="NLZ73" s="97"/>
      <c r="NMA73" s="97"/>
      <c r="NMB73" s="97"/>
      <c r="NMC73" s="97"/>
      <c r="NMD73" s="97"/>
      <c r="NME73" s="97"/>
      <c r="NMF73" s="97"/>
      <c r="NMG73" s="97"/>
      <c r="NMH73" s="97"/>
      <c r="NMI73" s="97"/>
      <c r="NMJ73" s="97"/>
      <c r="NMK73" s="97"/>
      <c r="NML73" s="97"/>
      <c r="NMM73" s="97"/>
      <c r="NMN73" s="97"/>
      <c r="NMO73" s="97"/>
      <c r="NMP73" s="97"/>
      <c r="NMQ73" s="97"/>
      <c r="NMR73" s="97"/>
      <c r="NMS73" s="97"/>
      <c r="NMT73" s="97"/>
      <c r="NMU73" s="97"/>
      <c r="NMV73" s="97"/>
      <c r="NMW73" s="97"/>
      <c r="NMX73" s="97"/>
      <c r="NMY73" s="97"/>
      <c r="NMZ73" s="97"/>
      <c r="NNA73" s="97"/>
      <c r="NNB73" s="97"/>
      <c r="NNC73" s="97"/>
      <c r="NND73" s="97"/>
      <c r="NNE73" s="97"/>
      <c r="NNF73" s="97"/>
      <c r="NNG73" s="97"/>
      <c r="NNH73" s="97"/>
      <c r="NNI73" s="97"/>
      <c r="NNJ73" s="97"/>
      <c r="NNK73" s="97"/>
      <c r="NNL73" s="97"/>
      <c r="NNM73" s="97"/>
      <c r="NNN73" s="97"/>
      <c r="NNO73" s="97"/>
      <c r="NNP73" s="97"/>
      <c r="NNQ73" s="97"/>
      <c r="NNR73" s="97"/>
      <c r="NNS73" s="97"/>
      <c r="NNT73" s="97"/>
      <c r="NNU73" s="97"/>
      <c r="NNV73" s="97"/>
      <c r="NNW73" s="97"/>
      <c r="NNX73" s="97"/>
      <c r="NNY73" s="97"/>
      <c r="NNZ73" s="97"/>
      <c r="NOA73" s="97"/>
      <c r="NOB73" s="97"/>
      <c r="NOC73" s="97"/>
      <c r="NOD73" s="97"/>
      <c r="NOE73" s="97"/>
      <c r="NOF73" s="97"/>
      <c r="NOG73" s="97"/>
      <c r="NOH73" s="97"/>
      <c r="NOI73" s="97"/>
      <c r="NOJ73" s="97"/>
      <c r="NOK73" s="97"/>
      <c r="NOL73" s="97"/>
      <c r="NOM73" s="97"/>
      <c r="NON73" s="97"/>
      <c r="NOO73" s="97"/>
      <c r="NOP73" s="97"/>
      <c r="NOQ73" s="97"/>
      <c r="NOR73" s="97"/>
      <c r="NOS73" s="97"/>
      <c r="NOT73" s="97"/>
      <c r="NOU73" s="97"/>
      <c r="NOV73" s="97"/>
      <c r="NOW73" s="97"/>
      <c r="NOX73" s="97"/>
      <c r="NOY73" s="97"/>
      <c r="NOZ73" s="97"/>
      <c r="NPA73" s="97"/>
      <c r="NPB73" s="97"/>
      <c r="NPC73" s="97"/>
      <c r="NPD73" s="97"/>
      <c r="NPE73" s="97"/>
      <c r="NPF73" s="97"/>
      <c r="NPG73" s="97"/>
      <c r="NPH73" s="97"/>
      <c r="NPI73" s="97"/>
      <c r="NPJ73" s="97"/>
      <c r="NPK73" s="97"/>
      <c r="NPL73" s="97"/>
      <c r="NPM73" s="97"/>
      <c r="NPN73" s="97"/>
      <c r="NPO73" s="97"/>
      <c r="NPP73" s="97"/>
      <c r="NPQ73" s="97"/>
      <c r="NPR73" s="97"/>
      <c r="NPS73" s="97"/>
      <c r="NPT73" s="97"/>
      <c r="NPU73" s="97"/>
      <c r="NPV73" s="97"/>
      <c r="NPW73" s="97"/>
      <c r="NPX73" s="97"/>
      <c r="NPY73" s="97"/>
      <c r="NPZ73" s="97"/>
      <c r="NQA73" s="97"/>
      <c r="NQB73" s="97"/>
      <c r="NQC73" s="97"/>
      <c r="NQD73" s="97"/>
      <c r="NQE73" s="97"/>
      <c r="NQF73" s="97"/>
      <c r="NQG73" s="97"/>
      <c r="NQH73" s="97"/>
      <c r="NQI73" s="97"/>
      <c r="NQJ73" s="97"/>
      <c r="NQK73" s="97"/>
      <c r="NQL73" s="97"/>
      <c r="NQM73" s="97"/>
      <c r="NQN73" s="97"/>
      <c r="NQO73" s="97"/>
      <c r="NQP73" s="97"/>
      <c r="NQQ73" s="97"/>
      <c r="NQR73" s="97"/>
      <c r="NQS73" s="97"/>
      <c r="NQT73" s="97"/>
      <c r="NQU73" s="97"/>
      <c r="NQV73" s="97"/>
      <c r="NQW73" s="97"/>
      <c r="NQX73" s="97"/>
      <c r="NQY73" s="97"/>
      <c r="NQZ73" s="97"/>
      <c r="NRA73" s="97"/>
      <c r="NRB73" s="97"/>
      <c r="NRC73" s="97"/>
      <c r="NRD73" s="97"/>
      <c r="NRE73" s="97"/>
      <c r="NRF73" s="97"/>
      <c r="NRG73" s="97"/>
      <c r="NRH73" s="97"/>
      <c r="NRI73" s="97"/>
      <c r="NRJ73" s="97"/>
      <c r="NRK73" s="97"/>
      <c r="NRL73" s="97"/>
      <c r="NRM73" s="97"/>
      <c r="NRN73" s="97"/>
      <c r="NRO73" s="97"/>
      <c r="NRP73" s="97"/>
      <c r="NRQ73" s="97"/>
      <c r="NRR73" s="97"/>
      <c r="NRS73" s="97"/>
      <c r="NRT73" s="97"/>
      <c r="NRU73" s="97"/>
      <c r="NRV73" s="97"/>
      <c r="NRW73" s="97"/>
      <c r="NRX73" s="97"/>
      <c r="NRY73" s="97"/>
      <c r="NRZ73" s="97"/>
      <c r="NSA73" s="97"/>
      <c r="NSB73" s="97"/>
      <c r="NSC73" s="97"/>
      <c r="NSD73" s="97"/>
      <c r="NSE73" s="97"/>
      <c r="NSF73" s="97"/>
      <c r="NSG73" s="97"/>
      <c r="NSH73" s="97"/>
      <c r="NSI73" s="97"/>
      <c r="NSJ73" s="97"/>
      <c r="NSK73" s="97"/>
      <c r="NSL73" s="97"/>
      <c r="NSM73" s="97"/>
      <c r="NSN73" s="97"/>
      <c r="NSO73" s="97"/>
      <c r="NSP73" s="97"/>
      <c r="NSQ73" s="97"/>
      <c r="NSR73" s="97"/>
      <c r="NSS73" s="97"/>
      <c r="NST73" s="97"/>
      <c r="NSU73" s="97"/>
      <c r="NSV73" s="97"/>
      <c r="NSW73" s="97"/>
      <c r="NSX73" s="97"/>
      <c r="NSY73" s="97"/>
      <c r="NSZ73" s="97"/>
      <c r="NTA73" s="97"/>
      <c r="NTB73" s="97"/>
      <c r="NTC73" s="97"/>
      <c r="NTD73" s="97"/>
      <c r="NTE73" s="97"/>
      <c r="NTF73" s="97"/>
      <c r="NTG73" s="97"/>
      <c r="NTH73" s="97"/>
      <c r="NTI73" s="97"/>
      <c r="NTJ73" s="97"/>
      <c r="NTK73" s="97"/>
      <c r="NTL73" s="97"/>
      <c r="NTM73" s="97"/>
      <c r="NTN73" s="97"/>
      <c r="NTO73" s="97"/>
      <c r="NTP73" s="97"/>
      <c r="NTQ73" s="97"/>
      <c r="NTR73" s="97"/>
      <c r="NTS73" s="97"/>
      <c r="NTT73" s="97"/>
      <c r="NTU73" s="97"/>
      <c r="NTV73" s="97"/>
      <c r="NTW73" s="97"/>
      <c r="NTX73" s="97"/>
      <c r="NTY73" s="97"/>
      <c r="NTZ73" s="97"/>
      <c r="NUA73" s="97"/>
      <c r="NUB73" s="97"/>
      <c r="NUC73" s="97"/>
      <c r="NUD73" s="97"/>
      <c r="NUE73" s="97"/>
      <c r="NUF73" s="97"/>
      <c r="NUG73" s="97"/>
      <c r="NUH73" s="97"/>
      <c r="NUI73" s="97"/>
      <c r="NUJ73" s="97"/>
      <c r="NUK73" s="97"/>
      <c r="NUL73" s="97"/>
      <c r="NUM73" s="97"/>
      <c r="NUN73" s="97"/>
      <c r="NUO73" s="97"/>
      <c r="NUP73" s="97"/>
      <c r="NUQ73" s="97"/>
      <c r="NUR73" s="97"/>
      <c r="NUS73" s="97"/>
      <c r="NUT73" s="97"/>
      <c r="NUU73" s="97"/>
      <c r="NUV73" s="97"/>
      <c r="NUW73" s="97"/>
      <c r="NUX73" s="97"/>
      <c r="NUY73" s="97"/>
      <c r="NUZ73" s="97"/>
      <c r="NVA73" s="97"/>
      <c r="NVB73" s="97"/>
      <c r="NVC73" s="97"/>
      <c r="NVD73" s="97"/>
      <c r="NVE73" s="97"/>
      <c r="NVF73" s="97"/>
      <c r="NVG73" s="97"/>
      <c r="NVH73" s="97"/>
      <c r="NVI73" s="97"/>
      <c r="NVJ73" s="97"/>
      <c r="NVK73" s="97"/>
      <c r="NVL73" s="97"/>
      <c r="NVM73" s="97"/>
      <c r="NVN73" s="97"/>
      <c r="NVO73" s="97"/>
      <c r="NVP73" s="97"/>
      <c r="NVQ73" s="97"/>
      <c r="NVR73" s="97"/>
      <c r="NVS73" s="97"/>
      <c r="NVT73" s="97"/>
      <c r="NVU73" s="97"/>
      <c r="NVV73" s="97"/>
      <c r="NVW73" s="97"/>
      <c r="NVX73" s="97"/>
      <c r="NVY73" s="97"/>
      <c r="NVZ73" s="97"/>
      <c r="NWA73" s="97"/>
      <c r="NWB73" s="97"/>
      <c r="NWC73" s="97"/>
      <c r="NWD73" s="97"/>
      <c r="NWE73" s="97"/>
      <c r="NWF73" s="97"/>
      <c r="NWG73" s="97"/>
      <c r="NWH73" s="97"/>
      <c r="NWI73" s="97"/>
      <c r="NWJ73" s="97"/>
      <c r="NWK73" s="97"/>
      <c r="NWL73" s="97"/>
      <c r="NWM73" s="97"/>
      <c r="NWN73" s="97"/>
      <c r="NWO73" s="97"/>
      <c r="NWP73" s="97"/>
      <c r="NWQ73" s="97"/>
      <c r="NWR73" s="97"/>
      <c r="NWS73" s="97"/>
      <c r="NWT73" s="97"/>
      <c r="NWU73" s="97"/>
      <c r="NWV73" s="97"/>
      <c r="NWW73" s="97"/>
      <c r="NWX73" s="97"/>
      <c r="NWY73" s="97"/>
      <c r="NWZ73" s="97"/>
      <c r="NXA73" s="97"/>
      <c r="NXB73" s="97"/>
      <c r="NXC73" s="97"/>
      <c r="NXD73" s="97"/>
      <c r="NXE73" s="97"/>
      <c r="NXF73" s="97"/>
      <c r="NXG73" s="97"/>
      <c r="NXH73" s="97"/>
      <c r="NXI73" s="97"/>
      <c r="NXJ73" s="97"/>
      <c r="NXK73" s="97"/>
      <c r="NXL73" s="97"/>
      <c r="NXM73" s="97"/>
      <c r="NXN73" s="97"/>
      <c r="NXO73" s="97"/>
      <c r="NXP73" s="97"/>
      <c r="NXQ73" s="97"/>
      <c r="NXR73" s="97"/>
      <c r="NXS73" s="97"/>
      <c r="NXT73" s="97"/>
      <c r="NXU73" s="97"/>
      <c r="NXV73" s="97"/>
      <c r="NXW73" s="97"/>
      <c r="NXX73" s="97"/>
      <c r="NXY73" s="97"/>
      <c r="NXZ73" s="97"/>
      <c r="NYA73" s="97"/>
      <c r="NYB73" s="97"/>
      <c r="NYC73" s="97"/>
      <c r="NYD73" s="97"/>
      <c r="NYE73" s="97"/>
      <c r="NYF73" s="97"/>
      <c r="NYG73" s="97"/>
      <c r="NYH73" s="97"/>
      <c r="NYI73" s="97"/>
      <c r="NYJ73" s="97"/>
      <c r="NYK73" s="97"/>
      <c r="NYL73" s="97"/>
      <c r="NYM73" s="97"/>
      <c r="NYN73" s="97"/>
      <c r="NYO73" s="97"/>
      <c r="NYP73" s="97"/>
      <c r="NYQ73" s="97"/>
      <c r="NYR73" s="97"/>
      <c r="NYS73" s="97"/>
      <c r="NYT73" s="97"/>
      <c r="NYU73" s="97"/>
      <c r="NYV73" s="97"/>
      <c r="NYW73" s="97"/>
      <c r="NYX73" s="97"/>
      <c r="NYY73" s="97"/>
      <c r="NYZ73" s="97"/>
      <c r="NZA73" s="97"/>
      <c r="NZB73" s="97"/>
      <c r="NZC73" s="97"/>
      <c r="NZD73" s="97"/>
      <c r="NZE73" s="97"/>
      <c r="NZF73" s="97"/>
      <c r="NZG73" s="97"/>
      <c r="NZH73" s="97"/>
      <c r="NZI73" s="97"/>
      <c r="NZJ73" s="97"/>
      <c r="NZK73" s="97"/>
      <c r="NZL73" s="97"/>
      <c r="NZM73" s="97"/>
      <c r="NZN73" s="97"/>
      <c r="NZO73" s="97"/>
      <c r="NZP73" s="97"/>
      <c r="NZQ73" s="97"/>
      <c r="NZR73" s="97"/>
      <c r="NZS73" s="97"/>
      <c r="NZT73" s="97"/>
      <c r="NZU73" s="97"/>
      <c r="NZV73" s="97"/>
      <c r="NZW73" s="97"/>
      <c r="NZX73" s="97"/>
      <c r="NZY73" s="97"/>
      <c r="NZZ73" s="97"/>
      <c r="OAA73" s="97"/>
      <c r="OAB73" s="97"/>
      <c r="OAC73" s="97"/>
      <c r="OAD73" s="97"/>
      <c r="OAE73" s="97"/>
      <c r="OAF73" s="97"/>
      <c r="OAG73" s="97"/>
      <c r="OAH73" s="97"/>
      <c r="OAI73" s="97"/>
      <c r="OAJ73" s="97"/>
      <c r="OAK73" s="97"/>
      <c r="OAL73" s="97"/>
      <c r="OAM73" s="97"/>
      <c r="OAN73" s="97"/>
      <c r="OAO73" s="97"/>
      <c r="OAP73" s="97"/>
      <c r="OAQ73" s="97"/>
      <c r="OAR73" s="97"/>
      <c r="OAS73" s="97"/>
      <c r="OAT73" s="97"/>
      <c r="OAU73" s="97"/>
      <c r="OAV73" s="97"/>
      <c r="OAW73" s="97"/>
      <c r="OAX73" s="97"/>
      <c r="OAY73" s="97"/>
      <c r="OAZ73" s="97"/>
      <c r="OBA73" s="97"/>
      <c r="OBB73" s="97"/>
      <c r="OBC73" s="97"/>
      <c r="OBD73" s="97"/>
      <c r="OBE73" s="97"/>
      <c r="OBF73" s="97"/>
      <c r="OBG73" s="97"/>
      <c r="OBH73" s="97"/>
      <c r="OBI73" s="97"/>
      <c r="OBJ73" s="97"/>
      <c r="OBK73" s="97"/>
      <c r="OBL73" s="97"/>
      <c r="OBM73" s="97"/>
      <c r="OBN73" s="97"/>
      <c r="OBO73" s="97"/>
      <c r="OBP73" s="97"/>
      <c r="OBQ73" s="97"/>
      <c r="OBR73" s="97"/>
      <c r="OBS73" s="97"/>
      <c r="OBT73" s="97"/>
      <c r="OBU73" s="97"/>
      <c r="OBV73" s="97"/>
      <c r="OBW73" s="97"/>
      <c r="OBX73" s="97"/>
      <c r="OBY73" s="97"/>
      <c r="OBZ73" s="97"/>
      <c r="OCA73" s="97"/>
      <c r="OCB73" s="97"/>
      <c r="OCC73" s="97"/>
      <c r="OCD73" s="97"/>
      <c r="OCE73" s="97"/>
      <c r="OCF73" s="97"/>
      <c r="OCG73" s="97"/>
      <c r="OCH73" s="97"/>
      <c r="OCI73" s="97"/>
      <c r="OCJ73" s="97"/>
      <c r="OCK73" s="97"/>
      <c r="OCL73" s="97"/>
      <c r="OCM73" s="97"/>
      <c r="OCN73" s="97"/>
      <c r="OCO73" s="97"/>
      <c r="OCP73" s="97"/>
      <c r="OCQ73" s="97"/>
      <c r="OCR73" s="97"/>
      <c r="OCS73" s="97"/>
      <c r="OCT73" s="97"/>
      <c r="OCU73" s="97"/>
      <c r="OCV73" s="97"/>
      <c r="OCW73" s="97"/>
      <c r="OCX73" s="97"/>
      <c r="OCY73" s="97"/>
      <c r="OCZ73" s="97"/>
      <c r="ODA73" s="97"/>
      <c r="ODB73" s="97"/>
      <c r="ODC73" s="97"/>
      <c r="ODD73" s="97"/>
      <c r="ODE73" s="97"/>
      <c r="ODF73" s="97"/>
      <c r="ODG73" s="97"/>
      <c r="ODH73" s="97"/>
      <c r="ODI73" s="97"/>
      <c r="ODJ73" s="97"/>
      <c r="ODK73" s="97"/>
      <c r="ODL73" s="97"/>
      <c r="ODM73" s="97"/>
      <c r="ODN73" s="97"/>
      <c r="ODO73" s="97"/>
      <c r="ODP73" s="97"/>
      <c r="ODQ73" s="97"/>
      <c r="ODR73" s="97"/>
      <c r="ODS73" s="97"/>
      <c r="ODT73" s="97"/>
      <c r="ODU73" s="97"/>
      <c r="ODV73" s="97"/>
      <c r="ODW73" s="97"/>
      <c r="ODX73" s="97"/>
      <c r="ODY73" s="97"/>
      <c r="ODZ73" s="97"/>
      <c r="OEA73" s="97"/>
      <c r="OEB73" s="97"/>
      <c r="OEC73" s="97"/>
      <c r="OED73" s="97"/>
      <c r="OEE73" s="97"/>
      <c r="OEF73" s="97"/>
      <c r="OEG73" s="97"/>
      <c r="OEH73" s="97"/>
      <c r="OEI73" s="97"/>
      <c r="OEJ73" s="97"/>
      <c r="OEK73" s="97"/>
      <c r="OEL73" s="97"/>
      <c r="OEM73" s="97"/>
      <c r="OEN73" s="97"/>
      <c r="OEO73" s="97"/>
      <c r="OEP73" s="97"/>
      <c r="OEQ73" s="97"/>
      <c r="OER73" s="97"/>
      <c r="OES73" s="97"/>
      <c r="OET73" s="97"/>
      <c r="OEU73" s="97"/>
      <c r="OEV73" s="97"/>
      <c r="OEW73" s="97"/>
      <c r="OEX73" s="97"/>
      <c r="OEY73" s="97"/>
      <c r="OEZ73" s="97"/>
      <c r="OFA73" s="97"/>
      <c r="OFB73" s="97"/>
      <c r="OFC73" s="97"/>
      <c r="OFD73" s="97"/>
      <c r="OFE73" s="97"/>
      <c r="OFF73" s="97"/>
      <c r="OFG73" s="97"/>
      <c r="OFH73" s="97"/>
      <c r="OFI73" s="97"/>
      <c r="OFJ73" s="97"/>
      <c r="OFK73" s="97"/>
      <c r="OFL73" s="97"/>
      <c r="OFM73" s="97"/>
      <c r="OFN73" s="97"/>
      <c r="OFO73" s="97"/>
      <c r="OFP73" s="97"/>
      <c r="OFQ73" s="97"/>
      <c r="OFR73" s="97"/>
      <c r="OFS73" s="97"/>
      <c r="OFT73" s="97"/>
      <c r="OFU73" s="97"/>
      <c r="OFV73" s="97"/>
      <c r="OFW73" s="97"/>
      <c r="OFX73" s="97"/>
      <c r="OFY73" s="97"/>
      <c r="OFZ73" s="97"/>
      <c r="OGA73" s="97"/>
      <c r="OGB73" s="97"/>
      <c r="OGC73" s="97"/>
      <c r="OGD73" s="97"/>
      <c r="OGE73" s="97"/>
      <c r="OGF73" s="97"/>
      <c r="OGG73" s="97"/>
      <c r="OGH73" s="97"/>
      <c r="OGI73" s="97"/>
      <c r="OGJ73" s="97"/>
      <c r="OGK73" s="97"/>
      <c r="OGL73" s="97"/>
      <c r="OGM73" s="97"/>
      <c r="OGN73" s="97"/>
      <c r="OGO73" s="97"/>
      <c r="OGP73" s="97"/>
      <c r="OGQ73" s="97"/>
      <c r="OGR73" s="97"/>
      <c r="OGS73" s="97"/>
      <c r="OGT73" s="97"/>
      <c r="OGU73" s="97"/>
      <c r="OGV73" s="97"/>
      <c r="OGW73" s="97"/>
      <c r="OGX73" s="97"/>
      <c r="OGY73" s="97"/>
      <c r="OGZ73" s="97"/>
      <c r="OHA73" s="97"/>
      <c r="OHB73" s="97"/>
      <c r="OHC73" s="97"/>
      <c r="OHD73" s="97"/>
      <c r="OHE73" s="97"/>
      <c r="OHF73" s="97"/>
      <c r="OHG73" s="97"/>
      <c r="OHH73" s="97"/>
      <c r="OHI73" s="97"/>
      <c r="OHJ73" s="97"/>
      <c r="OHK73" s="97"/>
      <c r="OHL73" s="97"/>
      <c r="OHM73" s="97"/>
      <c r="OHN73" s="97"/>
      <c r="OHO73" s="97"/>
      <c r="OHP73" s="97"/>
      <c r="OHQ73" s="97"/>
      <c r="OHR73" s="97"/>
      <c r="OHS73" s="97"/>
      <c r="OHT73" s="97"/>
      <c r="OHU73" s="97"/>
      <c r="OHV73" s="97"/>
      <c r="OHW73" s="97"/>
      <c r="OHX73" s="97"/>
      <c r="OHY73" s="97"/>
      <c r="OHZ73" s="97"/>
      <c r="OIA73" s="97"/>
      <c r="OIB73" s="97"/>
      <c r="OIC73" s="97"/>
      <c r="OID73" s="97"/>
      <c r="OIE73" s="97"/>
      <c r="OIF73" s="97"/>
      <c r="OIG73" s="97"/>
      <c r="OIH73" s="97"/>
      <c r="OII73" s="97"/>
      <c r="OIJ73" s="97"/>
      <c r="OIK73" s="97"/>
      <c r="OIL73" s="97"/>
      <c r="OIM73" s="97"/>
      <c r="OIN73" s="97"/>
      <c r="OIO73" s="97"/>
      <c r="OIP73" s="97"/>
      <c r="OIQ73" s="97"/>
      <c r="OIR73" s="97"/>
      <c r="OIS73" s="97"/>
      <c r="OIT73" s="97"/>
      <c r="OIU73" s="97"/>
      <c r="OIV73" s="97"/>
      <c r="OIW73" s="97"/>
      <c r="OIX73" s="97"/>
      <c r="OIY73" s="97"/>
      <c r="OIZ73" s="97"/>
      <c r="OJA73" s="97"/>
      <c r="OJB73" s="97"/>
      <c r="OJC73" s="97"/>
      <c r="OJD73" s="97"/>
      <c r="OJE73" s="97"/>
      <c r="OJF73" s="97"/>
      <c r="OJG73" s="97"/>
      <c r="OJH73" s="97"/>
      <c r="OJI73" s="97"/>
      <c r="OJJ73" s="97"/>
      <c r="OJK73" s="97"/>
      <c r="OJL73" s="97"/>
      <c r="OJM73" s="97"/>
      <c r="OJN73" s="97"/>
      <c r="OJO73" s="97"/>
      <c r="OJP73" s="97"/>
      <c r="OJQ73" s="97"/>
      <c r="OJR73" s="97"/>
      <c r="OJS73" s="97"/>
      <c r="OJT73" s="97"/>
      <c r="OJU73" s="97"/>
      <c r="OJV73" s="97"/>
      <c r="OJW73" s="97"/>
      <c r="OJX73" s="97"/>
      <c r="OJY73" s="97"/>
      <c r="OJZ73" s="97"/>
      <c r="OKA73" s="97"/>
      <c r="OKB73" s="97"/>
      <c r="OKC73" s="97"/>
      <c r="OKD73" s="97"/>
      <c r="OKE73" s="97"/>
      <c r="OKF73" s="97"/>
      <c r="OKG73" s="97"/>
      <c r="OKH73" s="97"/>
      <c r="OKI73" s="97"/>
      <c r="OKJ73" s="97"/>
      <c r="OKK73" s="97"/>
      <c r="OKL73" s="97"/>
      <c r="OKM73" s="97"/>
      <c r="OKN73" s="97"/>
      <c r="OKO73" s="97"/>
      <c r="OKP73" s="97"/>
      <c r="OKQ73" s="97"/>
      <c r="OKR73" s="97"/>
      <c r="OKS73" s="97"/>
      <c r="OKT73" s="97"/>
      <c r="OKU73" s="97"/>
      <c r="OKV73" s="97"/>
      <c r="OKW73" s="97"/>
      <c r="OKX73" s="97"/>
      <c r="OKY73" s="97"/>
      <c r="OKZ73" s="97"/>
      <c r="OLA73" s="97"/>
      <c r="OLB73" s="97"/>
      <c r="OLC73" s="97"/>
      <c r="OLD73" s="97"/>
      <c r="OLE73" s="97"/>
      <c r="OLF73" s="97"/>
      <c r="OLG73" s="97"/>
      <c r="OLH73" s="97"/>
      <c r="OLI73" s="97"/>
      <c r="OLJ73" s="97"/>
      <c r="OLK73" s="97"/>
      <c r="OLL73" s="97"/>
      <c r="OLM73" s="97"/>
      <c r="OLN73" s="97"/>
      <c r="OLO73" s="97"/>
      <c r="OLP73" s="97"/>
      <c r="OLQ73" s="97"/>
      <c r="OLR73" s="97"/>
      <c r="OLS73" s="97"/>
      <c r="OLT73" s="97"/>
      <c r="OLU73" s="97"/>
      <c r="OLV73" s="97"/>
      <c r="OLW73" s="97"/>
      <c r="OLX73" s="97"/>
      <c r="OLY73" s="97"/>
      <c r="OLZ73" s="97"/>
      <c r="OMA73" s="97"/>
      <c r="OMB73" s="97"/>
      <c r="OMC73" s="97"/>
      <c r="OMD73" s="97"/>
      <c r="OME73" s="97"/>
      <c r="OMF73" s="97"/>
      <c r="OMG73" s="97"/>
      <c r="OMH73" s="97"/>
      <c r="OMI73" s="97"/>
      <c r="OMJ73" s="97"/>
      <c r="OMK73" s="97"/>
      <c r="OML73" s="97"/>
      <c r="OMM73" s="97"/>
      <c r="OMN73" s="97"/>
      <c r="OMO73" s="97"/>
      <c r="OMP73" s="97"/>
      <c r="OMQ73" s="97"/>
      <c r="OMR73" s="97"/>
      <c r="OMS73" s="97"/>
      <c r="OMT73" s="97"/>
      <c r="OMU73" s="97"/>
      <c r="OMV73" s="97"/>
      <c r="OMW73" s="97"/>
      <c r="OMX73" s="97"/>
      <c r="OMY73" s="97"/>
      <c r="OMZ73" s="97"/>
      <c r="ONA73" s="97"/>
      <c r="ONB73" s="97"/>
      <c r="ONC73" s="97"/>
      <c r="OND73" s="97"/>
      <c r="ONE73" s="97"/>
      <c r="ONF73" s="97"/>
      <c r="ONG73" s="97"/>
      <c r="ONH73" s="97"/>
      <c r="ONI73" s="97"/>
      <c r="ONJ73" s="97"/>
      <c r="ONK73" s="97"/>
      <c r="ONL73" s="97"/>
      <c r="ONM73" s="97"/>
      <c r="ONN73" s="97"/>
      <c r="ONO73" s="97"/>
      <c r="ONP73" s="97"/>
      <c r="ONQ73" s="97"/>
      <c r="ONR73" s="97"/>
      <c r="ONS73" s="97"/>
      <c r="ONT73" s="97"/>
      <c r="ONU73" s="97"/>
      <c r="ONV73" s="97"/>
      <c r="ONW73" s="97"/>
      <c r="ONX73" s="97"/>
      <c r="ONY73" s="97"/>
      <c r="ONZ73" s="97"/>
      <c r="OOA73" s="97"/>
      <c r="OOB73" s="97"/>
      <c r="OOC73" s="97"/>
      <c r="OOD73" s="97"/>
      <c r="OOE73" s="97"/>
      <c r="OOF73" s="97"/>
      <c r="OOG73" s="97"/>
      <c r="OOH73" s="97"/>
      <c r="OOI73" s="97"/>
      <c r="OOJ73" s="97"/>
      <c r="OOK73" s="97"/>
      <c r="OOL73" s="97"/>
      <c r="OOM73" s="97"/>
      <c r="OON73" s="97"/>
      <c r="OOO73" s="97"/>
      <c r="OOP73" s="97"/>
      <c r="OOQ73" s="97"/>
      <c r="OOR73" s="97"/>
      <c r="OOS73" s="97"/>
      <c r="OOT73" s="97"/>
      <c r="OOU73" s="97"/>
      <c r="OOV73" s="97"/>
      <c r="OOW73" s="97"/>
      <c r="OOX73" s="97"/>
      <c r="OOY73" s="97"/>
      <c r="OOZ73" s="97"/>
      <c r="OPA73" s="97"/>
      <c r="OPB73" s="97"/>
      <c r="OPC73" s="97"/>
      <c r="OPD73" s="97"/>
      <c r="OPE73" s="97"/>
      <c r="OPF73" s="97"/>
      <c r="OPG73" s="97"/>
      <c r="OPH73" s="97"/>
      <c r="OPI73" s="97"/>
      <c r="OPJ73" s="97"/>
      <c r="OPK73" s="97"/>
      <c r="OPL73" s="97"/>
      <c r="OPM73" s="97"/>
      <c r="OPN73" s="97"/>
      <c r="OPO73" s="97"/>
      <c r="OPP73" s="97"/>
      <c r="OPQ73" s="97"/>
      <c r="OPR73" s="97"/>
      <c r="OPS73" s="97"/>
      <c r="OPT73" s="97"/>
      <c r="OPU73" s="97"/>
      <c r="OPV73" s="97"/>
      <c r="OPW73" s="97"/>
      <c r="OPX73" s="97"/>
      <c r="OPY73" s="97"/>
      <c r="OPZ73" s="97"/>
      <c r="OQA73" s="97"/>
      <c r="OQB73" s="97"/>
      <c r="OQC73" s="97"/>
      <c r="OQD73" s="97"/>
      <c r="OQE73" s="97"/>
      <c r="OQF73" s="97"/>
      <c r="OQG73" s="97"/>
      <c r="OQH73" s="97"/>
      <c r="OQI73" s="97"/>
      <c r="OQJ73" s="97"/>
      <c r="OQK73" s="97"/>
      <c r="OQL73" s="97"/>
      <c r="OQM73" s="97"/>
      <c r="OQN73" s="97"/>
      <c r="OQO73" s="97"/>
      <c r="OQP73" s="97"/>
      <c r="OQQ73" s="97"/>
      <c r="OQR73" s="97"/>
      <c r="OQS73" s="97"/>
      <c r="OQT73" s="97"/>
      <c r="OQU73" s="97"/>
      <c r="OQV73" s="97"/>
      <c r="OQW73" s="97"/>
      <c r="OQX73" s="97"/>
      <c r="OQY73" s="97"/>
      <c r="OQZ73" s="97"/>
      <c r="ORA73" s="97"/>
      <c r="ORB73" s="97"/>
      <c r="ORC73" s="97"/>
      <c r="ORD73" s="97"/>
      <c r="ORE73" s="97"/>
      <c r="ORF73" s="97"/>
      <c r="ORG73" s="97"/>
      <c r="ORH73" s="97"/>
      <c r="ORI73" s="97"/>
      <c r="ORJ73" s="97"/>
      <c r="ORK73" s="97"/>
      <c r="ORL73" s="97"/>
      <c r="ORM73" s="97"/>
      <c r="ORN73" s="97"/>
      <c r="ORO73" s="97"/>
      <c r="ORP73" s="97"/>
      <c r="ORQ73" s="97"/>
      <c r="ORR73" s="97"/>
      <c r="ORS73" s="97"/>
      <c r="ORT73" s="97"/>
      <c r="ORU73" s="97"/>
      <c r="ORV73" s="97"/>
      <c r="ORW73" s="97"/>
      <c r="ORX73" s="97"/>
      <c r="ORY73" s="97"/>
      <c r="ORZ73" s="97"/>
      <c r="OSA73" s="97"/>
      <c r="OSB73" s="97"/>
      <c r="OSC73" s="97"/>
      <c r="OSD73" s="97"/>
      <c r="OSE73" s="97"/>
      <c r="OSF73" s="97"/>
      <c r="OSG73" s="97"/>
      <c r="OSH73" s="97"/>
      <c r="OSI73" s="97"/>
      <c r="OSJ73" s="97"/>
      <c r="OSK73" s="97"/>
      <c r="OSL73" s="97"/>
      <c r="OSM73" s="97"/>
      <c r="OSN73" s="97"/>
      <c r="OSO73" s="97"/>
      <c r="OSP73" s="97"/>
      <c r="OSQ73" s="97"/>
      <c r="OSR73" s="97"/>
      <c r="OSS73" s="97"/>
      <c r="OST73" s="97"/>
      <c r="OSU73" s="97"/>
      <c r="OSV73" s="97"/>
      <c r="OSW73" s="97"/>
      <c r="OSX73" s="97"/>
      <c r="OSY73" s="97"/>
      <c r="OSZ73" s="97"/>
      <c r="OTA73" s="97"/>
      <c r="OTB73" s="97"/>
      <c r="OTC73" s="97"/>
      <c r="OTD73" s="97"/>
      <c r="OTE73" s="97"/>
      <c r="OTF73" s="97"/>
      <c r="OTG73" s="97"/>
      <c r="OTH73" s="97"/>
      <c r="OTI73" s="97"/>
      <c r="OTJ73" s="97"/>
      <c r="OTK73" s="97"/>
      <c r="OTL73" s="97"/>
      <c r="OTM73" s="97"/>
      <c r="OTN73" s="97"/>
      <c r="OTO73" s="97"/>
      <c r="OTP73" s="97"/>
      <c r="OTQ73" s="97"/>
      <c r="OTR73" s="97"/>
      <c r="OTS73" s="97"/>
      <c r="OTT73" s="97"/>
      <c r="OTU73" s="97"/>
      <c r="OTV73" s="97"/>
      <c r="OTW73" s="97"/>
      <c r="OTX73" s="97"/>
      <c r="OTY73" s="97"/>
      <c r="OTZ73" s="97"/>
      <c r="OUA73" s="97"/>
      <c r="OUB73" s="97"/>
      <c r="OUC73" s="97"/>
      <c r="OUD73" s="97"/>
      <c r="OUE73" s="97"/>
      <c r="OUF73" s="97"/>
      <c r="OUG73" s="97"/>
      <c r="OUH73" s="97"/>
      <c r="OUI73" s="97"/>
      <c r="OUJ73" s="97"/>
      <c r="OUK73" s="97"/>
      <c r="OUL73" s="97"/>
      <c r="OUM73" s="97"/>
      <c r="OUN73" s="97"/>
      <c r="OUO73" s="97"/>
      <c r="OUP73" s="97"/>
      <c r="OUQ73" s="97"/>
      <c r="OUR73" s="97"/>
      <c r="OUS73" s="97"/>
      <c r="OUT73" s="97"/>
      <c r="OUU73" s="97"/>
      <c r="OUV73" s="97"/>
      <c r="OUW73" s="97"/>
      <c r="OUX73" s="97"/>
      <c r="OUY73" s="97"/>
      <c r="OUZ73" s="97"/>
      <c r="OVA73" s="97"/>
      <c r="OVB73" s="97"/>
      <c r="OVC73" s="97"/>
      <c r="OVD73" s="97"/>
      <c r="OVE73" s="97"/>
      <c r="OVF73" s="97"/>
      <c r="OVG73" s="97"/>
      <c r="OVH73" s="97"/>
      <c r="OVI73" s="97"/>
      <c r="OVJ73" s="97"/>
      <c r="OVK73" s="97"/>
      <c r="OVL73" s="97"/>
      <c r="OVM73" s="97"/>
      <c r="OVN73" s="97"/>
      <c r="OVO73" s="97"/>
      <c r="OVP73" s="97"/>
      <c r="OVQ73" s="97"/>
      <c r="OVR73" s="97"/>
      <c r="OVS73" s="97"/>
      <c r="OVT73" s="97"/>
      <c r="OVU73" s="97"/>
      <c r="OVV73" s="97"/>
      <c r="OVW73" s="97"/>
      <c r="OVX73" s="97"/>
      <c r="OVY73" s="97"/>
      <c r="OVZ73" s="97"/>
      <c r="OWA73" s="97"/>
      <c r="OWB73" s="97"/>
      <c r="OWC73" s="97"/>
      <c r="OWD73" s="97"/>
      <c r="OWE73" s="97"/>
      <c r="OWF73" s="97"/>
      <c r="OWG73" s="97"/>
      <c r="OWH73" s="97"/>
      <c r="OWI73" s="97"/>
      <c r="OWJ73" s="97"/>
      <c r="OWK73" s="97"/>
      <c r="OWL73" s="97"/>
      <c r="OWM73" s="97"/>
      <c r="OWN73" s="97"/>
      <c r="OWO73" s="97"/>
      <c r="OWP73" s="97"/>
      <c r="OWQ73" s="97"/>
      <c r="OWR73" s="97"/>
      <c r="OWS73" s="97"/>
      <c r="OWT73" s="97"/>
      <c r="OWU73" s="97"/>
      <c r="OWV73" s="97"/>
      <c r="OWW73" s="97"/>
      <c r="OWX73" s="97"/>
      <c r="OWY73" s="97"/>
      <c r="OWZ73" s="97"/>
      <c r="OXA73" s="97"/>
      <c r="OXB73" s="97"/>
      <c r="OXC73" s="97"/>
      <c r="OXD73" s="97"/>
      <c r="OXE73" s="97"/>
      <c r="OXF73" s="97"/>
      <c r="OXG73" s="97"/>
      <c r="OXH73" s="97"/>
      <c r="OXI73" s="97"/>
      <c r="OXJ73" s="97"/>
      <c r="OXK73" s="97"/>
      <c r="OXL73" s="97"/>
      <c r="OXM73" s="97"/>
      <c r="OXN73" s="97"/>
      <c r="OXO73" s="97"/>
      <c r="OXP73" s="97"/>
      <c r="OXQ73" s="97"/>
      <c r="OXR73" s="97"/>
      <c r="OXS73" s="97"/>
      <c r="OXT73" s="97"/>
      <c r="OXU73" s="97"/>
      <c r="OXV73" s="97"/>
      <c r="OXW73" s="97"/>
      <c r="OXX73" s="97"/>
      <c r="OXY73" s="97"/>
      <c r="OXZ73" s="97"/>
      <c r="OYA73" s="97"/>
      <c r="OYB73" s="97"/>
      <c r="OYC73" s="97"/>
      <c r="OYD73" s="97"/>
      <c r="OYE73" s="97"/>
      <c r="OYF73" s="97"/>
      <c r="OYG73" s="97"/>
      <c r="OYH73" s="97"/>
      <c r="OYI73" s="97"/>
      <c r="OYJ73" s="97"/>
      <c r="OYK73" s="97"/>
      <c r="OYL73" s="97"/>
      <c r="OYM73" s="97"/>
      <c r="OYN73" s="97"/>
      <c r="OYO73" s="97"/>
      <c r="OYP73" s="97"/>
      <c r="OYQ73" s="97"/>
      <c r="OYR73" s="97"/>
      <c r="OYS73" s="97"/>
      <c r="OYT73" s="97"/>
      <c r="OYU73" s="97"/>
      <c r="OYV73" s="97"/>
      <c r="OYW73" s="97"/>
      <c r="OYX73" s="97"/>
      <c r="OYY73" s="97"/>
      <c r="OYZ73" s="97"/>
      <c r="OZA73" s="97"/>
      <c r="OZB73" s="97"/>
      <c r="OZC73" s="97"/>
      <c r="OZD73" s="97"/>
      <c r="OZE73" s="97"/>
      <c r="OZF73" s="97"/>
      <c r="OZG73" s="97"/>
      <c r="OZH73" s="97"/>
      <c r="OZI73" s="97"/>
      <c r="OZJ73" s="97"/>
      <c r="OZK73" s="97"/>
      <c r="OZL73" s="97"/>
      <c r="OZM73" s="97"/>
      <c r="OZN73" s="97"/>
      <c r="OZO73" s="97"/>
      <c r="OZP73" s="97"/>
      <c r="OZQ73" s="97"/>
      <c r="OZR73" s="97"/>
      <c r="OZS73" s="97"/>
      <c r="OZT73" s="97"/>
      <c r="OZU73" s="97"/>
      <c r="OZV73" s="97"/>
      <c r="OZW73" s="97"/>
      <c r="OZX73" s="97"/>
      <c r="OZY73" s="97"/>
      <c r="OZZ73" s="97"/>
      <c r="PAA73" s="97"/>
      <c r="PAB73" s="97"/>
      <c r="PAC73" s="97"/>
      <c r="PAD73" s="97"/>
      <c r="PAE73" s="97"/>
      <c r="PAF73" s="97"/>
      <c r="PAG73" s="97"/>
      <c r="PAH73" s="97"/>
      <c r="PAI73" s="97"/>
      <c r="PAJ73" s="97"/>
      <c r="PAK73" s="97"/>
      <c r="PAL73" s="97"/>
      <c r="PAM73" s="97"/>
      <c r="PAN73" s="97"/>
      <c r="PAO73" s="97"/>
      <c r="PAP73" s="97"/>
      <c r="PAQ73" s="97"/>
      <c r="PAR73" s="97"/>
      <c r="PAS73" s="97"/>
      <c r="PAT73" s="97"/>
      <c r="PAU73" s="97"/>
      <c r="PAV73" s="97"/>
      <c r="PAW73" s="97"/>
      <c r="PAX73" s="97"/>
      <c r="PAY73" s="97"/>
      <c r="PAZ73" s="97"/>
      <c r="PBA73" s="97"/>
      <c r="PBB73" s="97"/>
      <c r="PBC73" s="97"/>
      <c r="PBD73" s="97"/>
      <c r="PBE73" s="97"/>
      <c r="PBF73" s="97"/>
      <c r="PBG73" s="97"/>
      <c r="PBH73" s="97"/>
      <c r="PBI73" s="97"/>
      <c r="PBJ73" s="97"/>
      <c r="PBK73" s="97"/>
      <c r="PBL73" s="97"/>
      <c r="PBM73" s="97"/>
      <c r="PBN73" s="97"/>
      <c r="PBO73" s="97"/>
      <c r="PBP73" s="97"/>
      <c r="PBQ73" s="97"/>
      <c r="PBR73" s="97"/>
      <c r="PBS73" s="97"/>
      <c r="PBT73" s="97"/>
      <c r="PBU73" s="97"/>
      <c r="PBV73" s="97"/>
      <c r="PBW73" s="97"/>
      <c r="PBX73" s="97"/>
      <c r="PBY73" s="97"/>
      <c r="PBZ73" s="97"/>
      <c r="PCA73" s="97"/>
      <c r="PCB73" s="97"/>
      <c r="PCC73" s="97"/>
      <c r="PCD73" s="97"/>
      <c r="PCE73" s="97"/>
      <c r="PCF73" s="97"/>
      <c r="PCG73" s="97"/>
      <c r="PCH73" s="97"/>
      <c r="PCI73" s="97"/>
      <c r="PCJ73" s="97"/>
      <c r="PCK73" s="97"/>
      <c r="PCL73" s="97"/>
      <c r="PCM73" s="97"/>
      <c r="PCN73" s="97"/>
      <c r="PCO73" s="97"/>
      <c r="PCP73" s="97"/>
      <c r="PCQ73" s="97"/>
      <c r="PCR73" s="97"/>
      <c r="PCS73" s="97"/>
      <c r="PCT73" s="97"/>
      <c r="PCU73" s="97"/>
      <c r="PCV73" s="97"/>
      <c r="PCW73" s="97"/>
      <c r="PCX73" s="97"/>
      <c r="PCY73" s="97"/>
      <c r="PCZ73" s="97"/>
      <c r="PDA73" s="97"/>
      <c r="PDB73" s="97"/>
      <c r="PDC73" s="97"/>
      <c r="PDD73" s="97"/>
      <c r="PDE73" s="97"/>
      <c r="PDF73" s="97"/>
      <c r="PDG73" s="97"/>
      <c r="PDH73" s="97"/>
      <c r="PDI73" s="97"/>
      <c r="PDJ73" s="97"/>
      <c r="PDK73" s="97"/>
      <c r="PDL73" s="97"/>
      <c r="PDM73" s="97"/>
      <c r="PDN73" s="97"/>
      <c r="PDO73" s="97"/>
      <c r="PDP73" s="97"/>
      <c r="PDQ73" s="97"/>
      <c r="PDR73" s="97"/>
      <c r="PDS73" s="97"/>
      <c r="PDT73" s="97"/>
      <c r="PDU73" s="97"/>
      <c r="PDV73" s="97"/>
      <c r="PDW73" s="97"/>
      <c r="PDX73" s="97"/>
      <c r="PDY73" s="97"/>
      <c r="PDZ73" s="97"/>
      <c r="PEA73" s="97"/>
      <c r="PEB73" s="97"/>
      <c r="PEC73" s="97"/>
      <c r="PED73" s="97"/>
      <c r="PEE73" s="97"/>
      <c r="PEF73" s="97"/>
      <c r="PEG73" s="97"/>
      <c r="PEH73" s="97"/>
      <c r="PEI73" s="97"/>
      <c r="PEJ73" s="97"/>
      <c r="PEK73" s="97"/>
      <c r="PEL73" s="97"/>
      <c r="PEM73" s="97"/>
      <c r="PEN73" s="97"/>
      <c r="PEO73" s="97"/>
      <c r="PEP73" s="97"/>
      <c r="PEQ73" s="97"/>
      <c r="PER73" s="97"/>
      <c r="PES73" s="97"/>
      <c r="PET73" s="97"/>
      <c r="PEU73" s="97"/>
      <c r="PEV73" s="97"/>
      <c r="PEW73" s="97"/>
      <c r="PEX73" s="97"/>
      <c r="PEY73" s="97"/>
      <c r="PEZ73" s="97"/>
      <c r="PFA73" s="97"/>
      <c r="PFB73" s="97"/>
      <c r="PFC73" s="97"/>
      <c r="PFD73" s="97"/>
      <c r="PFE73" s="97"/>
      <c r="PFF73" s="97"/>
      <c r="PFG73" s="97"/>
      <c r="PFH73" s="97"/>
      <c r="PFI73" s="97"/>
      <c r="PFJ73" s="97"/>
      <c r="PFK73" s="97"/>
      <c r="PFL73" s="97"/>
      <c r="PFM73" s="97"/>
      <c r="PFN73" s="97"/>
      <c r="PFO73" s="97"/>
      <c r="PFP73" s="97"/>
      <c r="PFQ73" s="97"/>
      <c r="PFR73" s="97"/>
      <c r="PFS73" s="97"/>
      <c r="PFT73" s="97"/>
      <c r="PFU73" s="97"/>
      <c r="PFV73" s="97"/>
      <c r="PFW73" s="97"/>
      <c r="PFX73" s="97"/>
      <c r="PFY73" s="97"/>
      <c r="PFZ73" s="97"/>
      <c r="PGA73" s="97"/>
      <c r="PGB73" s="97"/>
      <c r="PGC73" s="97"/>
      <c r="PGD73" s="97"/>
      <c r="PGE73" s="97"/>
      <c r="PGF73" s="97"/>
      <c r="PGG73" s="97"/>
      <c r="PGH73" s="97"/>
      <c r="PGI73" s="97"/>
      <c r="PGJ73" s="97"/>
      <c r="PGK73" s="97"/>
      <c r="PGL73" s="97"/>
      <c r="PGM73" s="97"/>
      <c r="PGN73" s="97"/>
      <c r="PGO73" s="97"/>
      <c r="PGP73" s="97"/>
      <c r="PGQ73" s="97"/>
      <c r="PGR73" s="97"/>
      <c r="PGS73" s="97"/>
      <c r="PGT73" s="97"/>
      <c r="PGU73" s="97"/>
      <c r="PGV73" s="97"/>
      <c r="PGW73" s="97"/>
      <c r="PGX73" s="97"/>
      <c r="PGY73" s="97"/>
      <c r="PGZ73" s="97"/>
      <c r="PHA73" s="97"/>
      <c r="PHB73" s="97"/>
      <c r="PHC73" s="97"/>
      <c r="PHD73" s="97"/>
      <c r="PHE73" s="97"/>
      <c r="PHF73" s="97"/>
      <c r="PHG73" s="97"/>
      <c r="PHH73" s="97"/>
      <c r="PHI73" s="97"/>
      <c r="PHJ73" s="97"/>
      <c r="PHK73" s="97"/>
      <c r="PHL73" s="97"/>
      <c r="PHM73" s="97"/>
      <c r="PHN73" s="97"/>
      <c r="PHO73" s="97"/>
      <c r="PHP73" s="97"/>
      <c r="PHQ73" s="97"/>
      <c r="PHR73" s="97"/>
      <c r="PHS73" s="97"/>
      <c r="PHT73" s="97"/>
      <c r="PHU73" s="97"/>
      <c r="PHV73" s="97"/>
      <c r="PHW73" s="97"/>
      <c r="PHX73" s="97"/>
      <c r="PHY73" s="97"/>
      <c r="PHZ73" s="97"/>
      <c r="PIA73" s="97"/>
      <c r="PIB73" s="97"/>
      <c r="PIC73" s="97"/>
      <c r="PID73" s="97"/>
      <c r="PIE73" s="97"/>
      <c r="PIF73" s="97"/>
      <c r="PIG73" s="97"/>
      <c r="PIH73" s="97"/>
      <c r="PII73" s="97"/>
      <c r="PIJ73" s="97"/>
      <c r="PIK73" s="97"/>
      <c r="PIL73" s="97"/>
      <c r="PIM73" s="97"/>
      <c r="PIN73" s="97"/>
      <c r="PIO73" s="97"/>
      <c r="PIP73" s="97"/>
      <c r="PIQ73" s="97"/>
      <c r="PIR73" s="97"/>
      <c r="PIS73" s="97"/>
      <c r="PIT73" s="97"/>
      <c r="PIU73" s="97"/>
      <c r="PIV73" s="97"/>
      <c r="PIW73" s="97"/>
      <c r="PIX73" s="97"/>
      <c r="PIY73" s="97"/>
      <c r="PIZ73" s="97"/>
      <c r="PJA73" s="97"/>
      <c r="PJB73" s="97"/>
      <c r="PJC73" s="97"/>
      <c r="PJD73" s="97"/>
      <c r="PJE73" s="97"/>
      <c r="PJF73" s="97"/>
      <c r="PJG73" s="97"/>
      <c r="PJH73" s="97"/>
      <c r="PJI73" s="97"/>
      <c r="PJJ73" s="97"/>
      <c r="PJK73" s="97"/>
      <c r="PJL73" s="97"/>
      <c r="PJM73" s="97"/>
      <c r="PJN73" s="97"/>
      <c r="PJO73" s="97"/>
      <c r="PJP73" s="97"/>
      <c r="PJQ73" s="97"/>
      <c r="PJR73" s="97"/>
      <c r="PJS73" s="97"/>
      <c r="PJT73" s="97"/>
      <c r="PJU73" s="97"/>
      <c r="PJV73" s="97"/>
      <c r="PJW73" s="97"/>
      <c r="PJX73" s="97"/>
      <c r="PJY73" s="97"/>
      <c r="PJZ73" s="97"/>
      <c r="PKA73" s="97"/>
      <c r="PKB73" s="97"/>
      <c r="PKC73" s="97"/>
      <c r="PKD73" s="97"/>
      <c r="PKE73" s="97"/>
      <c r="PKF73" s="97"/>
      <c r="PKG73" s="97"/>
      <c r="PKH73" s="97"/>
      <c r="PKI73" s="97"/>
      <c r="PKJ73" s="97"/>
      <c r="PKK73" s="97"/>
      <c r="PKL73" s="97"/>
      <c r="PKM73" s="97"/>
      <c r="PKN73" s="97"/>
      <c r="PKO73" s="97"/>
      <c r="PKP73" s="97"/>
      <c r="PKQ73" s="97"/>
      <c r="PKR73" s="97"/>
      <c r="PKS73" s="97"/>
      <c r="PKT73" s="97"/>
      <c r="PKU73" s="97"/>
      <c r="PKV73" s="97"/>
      <c r="PKW73" s="97"/>
      <c r="PKX73" s="97"/>
      <c r="PKY73" s="97"/>
      <c r="PKZ73" s="97"/>
      <c r="PLA73" s="97"/>
      <c r="PLB73" s="97"/>
      <c r="PLC73" s="97"/>
      <c r="PLD73" s="97"/>
      <c r="PLE73" s="97"/>
      <c r="PLF73" s="97"/>
      <c r="PLG73" s="97"/>
      <c r="PLH73" s="97"/>
      <c r="PLI73" s="97"/>
      <c r="PLJ73" s="97"/>
      <c r="PLK73" s="97"/>
      <c r="PLL73" s="97"/>
      <c r="PLM73" s="97"/>
      <c r="PLN73" s="97"/>
      <c r="PLO73" s="97"/>
      <c r="PLP73" s="97"/>
      <c r="PLQ73" s="97"/>
      <c r="PLR73" s="97"/>
      <c r="PLS73" s="97"/>
      <c r="PLT73" s="97"/>
      <c r="PLU73" s="97"/>
      <c r="PLV73" s="97"/>
      <c r="PLW73" s="97"/>
      <c r="PLX73" s="97"/>
      <c r="PLY73" s="97"/>
      <c r="PLZ73" s="97"/>
      <c r="PMA73" s="97"/>
      <c r="PMB73" s="97"/>
      <c r="PMC73" s="97"/>
      <c r="PMD73" s="97"/>
      <c r="PME73" s="97"/>
      <c r="PMF73" s="97"/>
      <c r="PMG73" s="97"/>
      <c r="PMH73" s="97"/>
      <c r="PMI73" s="97"/>
      <c r="PMJ73" s="97"/>
      <c r="PMK73" s="97"/>
      <c r="PML73" s="97"/>
      <c r="PMM73" s="97"/>
      <c r="PMN73" s="97"/>
      <c r="PMO73" s="97"/>
      <c r="PMP73" s="97"/>
      <c r="PMQ73" s="97"/>
      <c r="PMR73" s="97"/>
      <c r="PMS73" s="97"/>
      <c r="PMT73" s="97"/>
      <c r="PMU73" s="97"/>
      <c r="PMV73" s="97"/>
      <c r="PMW73" s="97"/>
      <c r="PMX73" s="97"/>
      <c r="PMY73" s="97"/>
      <c r="PMZ73" s="97"/>
      <c r="PNA73" s="97"/>
      <c r="PNB73" s="97"/>
      <c r="PNC73" s="97"/>
      <c r="PND73" s="97"/>
      <c r="PNE73" s="97"/>
      <c r="PNF73" s="97"/>
      <c r="PNG73" s="97"/>
      <c r="PNH73" s="97"/>
      <c r="PNI73" s="97"/>
      <c r="PNJ73" s="97"/>
      <c r="PNK73" s="97"/>
      <c r="PNL73" s="97"/>
      <c r="PNM73" s="97"/>
      <c r="PNN73" s="97"/>
      <c r="PNO73" s="97"/>
      <c r="PNP73" s="97"/>
      <c r="PNQ73" s="97"/>
      <c r="PNR73" s="97"/>
      <c r="PNS73" s="97"/>
      <c r="PNT73" s="97"/>
      <c r="PNU73" s="97"/>
      <c r="PNV73" s="97"/>
      <c r="PNW73" s="97"/>
      <c r="PNX73" s="97"/>
      <c r="PNY73" s="97"/>
      <c r="PNZ73" s="97"/>
      <c r="POA73" s="97"/>
      <c r="POB73" s="97"/>
      <c r="POC73" s="97"/>
      <c r="POD73" s="97"/>
      <c r="POE73" s="97"/>
      <c r="POF73" s="97"/>
      <c r="POG73" s="97"/>
      <c r="POH73" s="97"/>
      <c r="POI73" s="97"/>
      <c r="POJ73" s="97"/>
      <c r="POK73" s="97"/>
      <c r="POL73" s="97"/>
      <c r="POM73" s="97"/>
      <c r="PON73" s="97"/>
      <c r="POO73" s="97"/>
      <c r="POP73" s="97"/>
      <c r="POQ73" s="97"/>
      <c r="POR73" s="97"/>
      <c r="POS73" s="97"/>
      <c r="POT73" s="97"/>
      <c r="POU73" s="97"/>
      <c r="POV73" s="97"/>
      <c r="POW73" s="97"/>
      <c r="POX73" s="97"/>
      <c r="POY73" s="97"/>
      <c r="POZ73" s="97"/>
      <c r="PPA73" s="97"/>
      <c r="PPB73" s="97"/>
      <c r="PPC73" s="97"/>
      <c r="PPD73" s="97"/>
      <c r="PPE73" s="97"/>
      <c r="PPF73" s="97"/>
      <c r="PPG73" s="97"/>
      <c r="PPH73" s="97"/>
      <c r="PPI73" s="97"/>
      <c r="PPJ73" s="97"/>
      <c r="PPK73" s="97"/>
      <c r="PPL73" s="97"/>
      <c r="PPM73" s="97"/>
      <c r="PPN73" s="97"/>
      <c r="PPO73" s="97"/>
      <c r="PPP73" s="97"/>
      <c r="PPQ73" s="97"/>
      <c r="PPR73" s="97"/>
      <c r="PPS73" s="97"/>
      <c r="PPT73" s="97"/>
      <c r="PPU73" s="97"/>
      <c r="PPV73" s="97"/>
      <c r="PPW73" s="97"/>
      <c r="PPX73" s="97"/>
      <c r="PPY73" s="97"/>
      <c r="PPZ73" s="97"/>
      <c r="PQA73" s="97"/>
      <c r="PQB73" s="97"/>
      <c r="PQC73" s="97"/>
      <c r="PQD73" s="97"/>
      <c r="PQE73" s="97"/>
      <c r="PQF73" s="97"/>
      <c r="PQG73" s="97"/>
      <c r="PQH73" s="97"/>
      <c r="PQI73" s="97"/>
      <c r="PQJ73" s="97"/>
      <c r="PQK73" s="97"/>
      <c r="PQL73" s="97"/>
      <c r="PQM73" s="97"/>
      <c r="PQN73" s="97"/>
      <c r="PQO73" s="97"/>
      <c r="PQP73" s="97"/>
      <c r="PQQ73" s="97"/>
      <c r="PQR73" s="97"/>
      <c r="PQS73" s="97"/>
      <c r="PQT73" s="97"/>
      <c r="PQU73" s="97"/>
      <c r="PQV73" s="97"/>
      <c r="PQW73" s="97"/>
      <c r="PQX73" s="97"/>
      <c r="PQY73" s="97"/>
      <c r="PQZ73" s="97"/>
      <c r="PRA73" s="97"/>
      <c r="PRB73" s="97"/>
      <c r="PRC73" s="97"/>
      <c r="PRD73" s="97"/>
      <c r="PRE73" s="97"/>
      <c r="PRF73" s="97"/>
      <c r="PRG73" s="97"/>
      <c r="PRH73" s="97"/>
      <c r="PRI73" s="97"/>
      <c r="PRJ73" s="97"/>
      <c r="PRK73" s="97"/>
      <c r="PRL73" s="97"/>
      <c r="PRM73" s="97"/>
      <c r="PRN73" s="97"/>
      <c r="PRO73" s="97"/>
      <c r="PRP73" s="97"/>
      <c r="PRQ73" s="97"/>
      <c r="PRR73" s="97"/>
      <c r="PRS73" s="97"/>
      <c r="PRT73" s="97"/>
      <c r="PRU73" s="97"/>
      <c r="PRV73" s="97"/>
      <c r="PRW73" s="97"/>
      <c r="PRX73" s="97"/>
      <c r="PRY73" s="97"/>
      <c r="PRZ73" s="97"/>
      <c r="PSA73" s="97"/>
      <c r="PSB73" s="97"/>
      <c r="PSC73" s="97"/>
      <c r="PSD73" s="97"/>
      <c r="PSE73" s="97"/>
      <c r="PSF73" s="97"/>
      <c r="PSG73" s="97"/>
      <c r="PSH73" s="97"/>
      <c r="PSI73" s="97"/>
      <c r="PSJ73" s="97"/>
      <c r="PSK73" s="97"/>
      <c r="PSL73" s="97"/>
      <c r="PSM73" s="97"/>
      <c r="PSN73" s="97"/>
      <c r="PSO73" s="97"/>
      <c r="PSP73" s="97"/>
      <c r="PSQ73" s="97"/>
      <c r="PSR73" s="97"/>
      <c r="PSS73" s="97"/>
      <c r="PST73" s="97"/>
      <c r="PSU73" s="97"/>
      <c r="PSV73" s="97"/>
      <c r="PSW73" s="97"/>
      <c r="PSX73" s="97"/>
      <c r="PSY73" s="97"/>
      <c r="PSZ73" s="97"/>
      <c r="PTA73" s="97"/>
      <c r="PTB73" s="97"/>
      <c r="PTC73" s="97"/>
      <c r="PTD73" s="97"/>
      <c r="PTE73" s="97"/>
      <c r="PTF73" s="97"/>
      <c r="PTG73" s="97"/>
      <c r="PTH73" s="97"/>
      <c r="PTI73" s="97"/>
      <c r="PTJ73" s="97"/>
      <c r="PTK73" s="97"/>
      <c r="PTL73" s="97"/>
      <c r="PTM73" s="97"/>
      <c r="PTN73" s="97"/>
      <c r="PTO73" s="97"/>
      <c r="PTP73" s="97"/>
      <c r="PTQ73" s="97"/>
      <c r="PTR73" s="97"/>
      <c r="PTS73" s="97"/>
      <c r="PTT73" s="97"/>
      <c r="PTU73" s="97"/>
      <c r="PTV73" s="97"/>
      <c r="PTW73" s="97"/>
      <c r="PTX73" s="97"/>
      <c r="PTY73" s="97"/>
      <c r="PTZ73" s="97"/>
      <c r="PUA73" s="97"/>
      <c r="PUB73" s="97"/>
      <c r="PUC73" s="97"/>
      <c r="PUD73" s="97"/>
      <c r="PUE73" s="97"/>
      <c r="PUF73" s="97"/>
      <c r="PUG73" s="97"/>
      <c r="PUH73" s="97"/>
      <c r="PUI73" s="97"/>
      <c r="PUJ73" s="97"/>
      <c r="PUK73" s="97"/>
      <c r="PUL73" s="97"/>
      <c r="PUM73" s="97"/>
      <c r="PUN73" s="97"/>
      <c r="PUO73" s="97"/>
      <c r="PUP73" s="97"/>
      <c r="PUQ73" s="97"/>
      <c r="PUR73" s="97"/>
      <c r="PUS73" s="97"/>
      <c r="PUT73" s="97"/>
      <c r="PUU73" s="97"/>
      <c r="PUV73" s="97"/>
      <c r="PUW73" s="97"/>
      <c r="PUX73" s="97"/>
      <c r="PUY73" s="97"/>
      <c r="PUZ73" s="97"/>
      <c r="PVA73" s="97"/>
      <c r="PVB73" s="97"/>
      <c r="PVC73" s="97"/>
      <c r="PVD73" s="97"/>
      <c r="PVE73" s="97"/>
      <c r="PVF73" s="97"/>
      <c r="PVG73" s="97"/>
      <c r="PVH73" s="97"/>
      <c r="PVI73" s="97"/>
      <c r="PVJ73" s="97"/>
      <c r="PVK73" s="97"/>
      <c r="PVL73" s="97"/>
      <c r="PVM73" s="97"/>
      <c r="PVN73" s="97"/>
      <c r="PVO73" s="97"/>
      <c r="PVP73" s="97"/>
      <c r="PVQ73" s="97"/>
      <c r="PVR73" s="97"/>
      <c r="PVS73" s="97"/>
      <c r="PVT73" s="97"/>
      <c r="PVU73" s="97"/>
      <c r="PVV73" s="97"/>
      <c r="PVW73" s="97"/>
      <c r="PVX73" s="97"/>
      <c r="PVY73" s="97"/>
      <c r="PVZ73" s="97"/>
      <c r="PWA73" s="97"/>
      <c r="PWB73" s="97"/>
      <c r="PWC73" s="97"/>
      <c r="PWD73" s="97"/>
      <c r="PWE73" s="97"/>
      <c r="PWF73" s="97"/>
      <c r="PWG73" s="97"/>
      <c r="PWH73" s="97"/>
      <c r="PWI73" s="97"/>
      <c r="PWJ73" s="97"/>
      <c r="PWK73" s="97"/>
      <c r="PWL73" s="97"/>
      <c r="PWM73" s="97"/>
      <c r="PWN73" s="97"/>
      <c r="PWO73" s="97"/>
      <c r="PWP73" s="97"/>
      <c r="PWQ73" s="97"/>
      <c r="PWR73" s="97"/>
      <c r="PWS73" s="97"/>
      <c r="PWT73" s="97"/>
      <c r="PWU73" s="97"/>
      <c r="PWV73" s="97"/>
      <c r="PWW73" s="97"/>
      <c r="PWX73" s="97"/>
      <c r="PWY73" s="97"/>
      <c r="PWZ73" s="97"/>
      <c r="PXA73" s="97"/>
      <c r="PXB73" s="97"/>
      <c r="PXC73" s="97"/>
      <c r="PXD73" s="97"/>
      <c r="PXE73" s="97"/>
      <c r="PXF73" s="97"/>
      <c r="PXG73" s="97"/>
      <c r="PXH73" s="97"/>
      <c r="PXI73" s="97"/>
      <c r="PXJ73" s="97"/>
      <c r="PXK73" s="97"/>
      <c r="PXL73" s="97"/>
      <c r="PXM73" s="97"/>
      <c r="PXN73" s="97"/>
      <c r="PXO73" s="97"/>
      <c r="PXP73" s="97"/>
      <c r="PXQ73" s="97"/>
      <c r="PXR73" s="97"/>
      <c r="PXS73" s="97"/>
      <c r="PXT73" s="97"/>
      <c r="PXU73" s="97"/>
      <c r="PXV73" s="97"/>
      <c r="PXW73" s="97"/>
      <c r="PXX73" s="97"/>
      <c r="PXY73" s="97"/>
      <c r="PXZ73" s="97"/>
      <c r="PYA73" s="97"/>
      <c r="PYB73" s="97"/>
      <c r="PYC73" s="97"/>
      <c r="PYD73" s="97"/>
      <c r="PYE73" s="97"/>
      <c r="PYF73" s="97"/>
      <c r="PYG73" s="97"/>
      <c r="PYH73" s="97"/>
      <c r="PYI73" s="97"/>
      <c r="PYJ73" s="97"/>
      <c r="PYK73" s="97"/>
      <c r="PYL73" s="97"/>
      <c r="PYM73" s="97"/>
      <c r="PYN73" s="97"/>
      <c r="PYO73" s="97"/>
      <c r="PYP73" s="97"/>
      <c r="PYQ73" s="97"/>
      <c r="PYR73" s="97"/>
      <c r="PYS73" s="97"/>
      <c r="PYT73" s="97"/>
      <c r="PYU73" s="97"/>
      <c r="PYV73" s="97"/>
      <c r="PYW73" s="97"/>
      <c r="PYX73" s="97"/>
      <c r="PYY73" s="97"/>
      <c r="PYZ73" s="97"/>
      <c r="PZA73" s="97"/>
      <c r="PZB73" s="97"/>
      <c r="PZC73" s="97"/>
      <c r="PZD73" s="97"/>
      <c r="PZE73" s="97"/>
      <c r="PZF73" s="97"/>
      <c r="PZG73" s="97"/>
      <c r="PZH73" s="97"/>
      <c r="PZI73" s="97"/>
      <c r="PZJ73" s="97"/>
      <c r="PZK73" s="97"/>
      <c r="PZL73" s="97"/>
      <c r="PZM73" s="97"/>
      <c r="PZN73" s="97"/>
      <c r="PZO73" s="97"/>
      <c r="PZP73" s="97"/>
      <c r="PZQ73" s="97"/>
      <c r="PZR73" s="97"/>
      <c r="PZS73" s="97"/>
      <c r="PZT73" s="97"/>
      <c r="PZU73" s="97"/>
      <c r="PZV73" s="97"/>
      <c r="PZW73" s="97"/>
      <c r="PZX73" s="97"/>
      <c r="PZY73" s="97"/>
      <c r="PZZ73" s="97"/>
      <c r="QAA73" s="97"/>
      <c r="QAB73" s="97"/>
      <c r="QAC73" s="97"/>
      <c r="QAD73" s="97"/>
      <c r="QAE73" s="97"/>
      <c r="QAF73" s="97"/>
      <c r="QAG73" s="97"/>
      <c r="QAH73" s="97"/>
      <c r="QAI73" s="97"/>
      <c r="QAJ73" s="97"/>
      <c r="QAK73" s="97"/>
      <c r="QAL73" s="97"/>
      <c r="QAM73" s="97"/>
      <c r="QAN73" s="97"/>
      <c r="QAO73" s="97"/>
      <c r="QAP73" s="97"/>
      <c r="QAQ73" s="97"/>
      <c r="QAR73" s="97"/>
      <c r="QAS73" s="97"/>
      <c r="QAT73" s="97"/>
      <c r="QAU73" s="97"/>
      <c r="QAV73" s="97"/>
      <c r="QAW73" s="97"/>
      <c r="QAX73" s="97"/>
      <c r="QAY73" s="97"/>
      <c r="QAZ73" s="97"/>
      <c r="QBA73" s="97"/>
      <c r="QBB73" s="97"/>
      <c r="QBC73" s="97"/>
      <c r="QBD73" s="97"/>
      <c r="QBE73" s="97"/>
      <c r="QBF73" s="97"/>
      <c r="QBG73" s="97"/>
      <c r="QBH73" s="97"/>
      <c r="QBI73" s="97"/>
      <c r="QBJ73" s="97"/>
      <c r="QBK73" s="97"/>
      <c r="QBL73" s="97"/>
      <c r="QBM73" s="97"/>
      <c r="QBN73" s="97"/>
      <c r="QBO73" s="97"/>
      <c r="QBP73" s="97"/>
      <c r="QBQ73" s="97"/>
      <c r="QBR73" s="97"/>
      <c r="QBS73" s="97"/>
      <c r="QBT73" s="97"/>
      <c r="QBU73" s="97"/>
      <c r="QBV73" s="97"/>
      <c r="QBW73" s="97"/>
      <c r="QBX73" s="97"/>
      <c r="QBY73" s="97"/>
      <c r="QBZ73" s="97"/>
      <c r="QCA73" s="97"/>
      <c r="QCB73" s="97"/>
      <c r="QCC73" s="97"/>
      <c r="QCD73" s="97"/>
      <c r="QCE73" s="97"/>
      <c r="QCF73" s="97"/>
      <c r="QCG73" s="97"/>
      <c r="QCH73" s="97"/>
      <c r="QCI73" s="97"/>
      <c r="QCJ73" s="97"/>
      <c r="QCK73" s="97"/>
      <c r="QCL73" s="97"/>
      <c r="QCM73" s="97"/>
      <c r="QCN73" s="97"/>
      <c r="QCO73" s="97"/>
      <c r="QCP73" s="97"/>
      <c r="QCQ73" s="97"/>
      <c r="QCR73" s="97"/>
      <c r="QCS73" s="97"/>
      <c r="QCT73" s="97"/>
      <c r="QCU73" s="97"/>
      <c r="QCV73" s="97"/>
      <c r="QCW73" s="97"/>
      <c r="QCX73" s="97"/>
      <c r="QCY73" s="97"/>
      <c r="QCZ73" s="97"/>
      <c r="QDA73" s="97"/>
      <c r="QDB73" s="97"/>
      <c r="QDC73" s="97"/>
      <c r="QDD73" s="97"/>
      <c r="QDE73" s="97"/>
      <c r="QDF73" s="97"/>
      <c r="QDG73" s="97"/>
      <c r="QDH73" s="97"/>
      <c r="QDI73" s="97"/>
      <c r="QDJ73" s="97"/>
      <c r="QDK73" s="97"/>
      <c r="QDL73" s="97"/>
      <c r="QDM73" s="97"/>
      <c r="QDN73" s="97"/>
      <c r="QDO73" s="97"/>
      <c r="QDP73" s="97"/>
      <c r="QDQ73" s="97"/>
      <c r="QDR73" s="97"/>
      <c r="QDS73" s="97"/>
      <c r="QDT73" s="97"/>
      <c r="QDU73" s="97"/>
      <c r="QDV73" s="97"/>
      <c r="QDW73" s="97"/>
      <c r="QDX73" s="97"/>
      <c r="QDY73" s="97"/>
      <c r="QDZ73" s="97"/>
      <c r="QEA73" s="97"/>
      <c r="QEB73" s="97"/>
      <c r="QEC73" s="97"/>
      <c r="QED73" s="97"/>
      <c r="QEE73" s="97"/>
      <c r="QEF73" s="97"/>
      <c r="QEG73" s="97"/>
      <c r="QEH73" s="97"/>
      <c r="QEI73" s="97"/>
      <c r="QEJ73" s="97"/>
      <c r="QEK73" s="97"/>
      <c r="QEL73" s="97"/>
      <c r="QEM73" s="97"/>
      <c r="QEN73" s="97"/>
      <c r="QEO73" s="97"/>
      <c r="QEP73" s="97"/>
      <c r="QEQ73" s="97"/>
      <c r="QER73" s="97"/>
      <c r="QES73" s="97"/>
      <c r="QET73" s="97"/>
      <c r="QEU73" s="97"/>
      <c r="QEV73" s="97"/>
      <c r="QEW73" s="97"/>
      <c r="QEX73" s="97"/>
      <c r="QEY73" s="97"/>
      <c r="QEZ73" s="97"/>
      <c r="QFA73" s="97"/>
      <c r="QFB73" s="97"/>
      <c r="QFC73" s="97"/>
      <c r="QFD73" s="97"/>
      <c r="QFE73" s="97"/>
      <c r="QFF73" s="97"/>
      <c r="QFG73" s="97"/>
      <c r="QFH73" s="97"/>
      <c r="QFI73" s="97"/>
      <c r="QFJ73" s="97"/>
      <c r="QFK73" s="97"/>
      <c r="QFL73" s="97"/>
      <c r="QFM73" s="97"/>
      <c r="QFN73" s="97"/>
      <c r="QFO73" s="97"/>
      <c r="QFP73" s="97"/>
      <c r="QFQ73" s="97"/>
      <c r="QFR73" s="97"/>
      <c r="QFS73" s="97"/>
      <c r="QFT73" s="97"/>
      <c r="QFU73" s="97"/>
      <c r="QFV73" s="97"/>
      <c r="QFW73" s="97"/>
      <c r="QFX73" s="97"/>
      <c r="QFY73" s="97"/>
      <c r="QFZ73" s="97"/>
      <c r="QGA73" s="97"/>
      <c r="QGB73" s="97"/>
      <c r="QGC73" s="97"/>
      <c r="QGD73" s="97"/>
      <c r="QGE73" s="97"/>
      <c r="QGF73" s="97"/>
      <c r="QGG73" s="97"/>
      <c r="QGH73" s="97"/>
      <c r="QGI73" s="97"/>
      <c r="QGJ73" s="97"/>
      <c r="QGK73" s="97"/>
      <c r="QGL73" s="97"/>
      <c r="QGM73" s="97"/>
      <c r="QGN73" s="97"/>
      <c r="QGO73" s="97"/>
      <c r="QGP73" s="97"/>
      <c r="QGQ73" s="97"/>
      <c r="QGR73" s="97"/>
      <c r="QGS73" s="97"/>
      <c r="QGT73" s="97"/>
      <c r="QGU73" s="97"/>
      <c r="QGV73" s="97"/>
      <c r="QGW73" s="97"/>
      <c r="QGX73" s="97"/>
      <c r="QGY73" s="97"/>
      <c r="QGZ73" s="97"/>
      <c r="QHA73" s="97"/>
      <c r="QHB73" s="97"/>
      <c r="QHC73" s="97"/>
      <c r="QHD73" s="97"/>
      <c r="QHE73" s="97"/>
      <c r="QHF73" s="97"/>
      <c r="QHG73" s="97"/>
      <c r="QHH73" s="97"/>
      <c r="QHI73" s="97"/>
      <c r="QHJ73" s="97"/>
      <c r="QHK73" s="97"/>
      <c r="QHL73" s="97"/>
      <c r="QHM73" s="97"/>
      <c r="QHN73" s="97"/>
      <c r="QHO73" s="97"/>
      <c r="QHP73" s="97"/>
      <c r="QHQ73" s="97"/>
      <c r="QHR73" s="97"/>
      <c r="QHS73" s="97"/>
      <c r="QHT73" s="97"/>
      <c r="QHU73" s="97"/>
      <c r="QHV73" s="97"/>
      <c r="QHW73" s="97"/>
      <c r="QHX73" s="97"/>
      <c r="QHY73" s="97"/>
      <c r="QHZ73" s="97"/>
      <c r="QIA73" s="97"/>
      <c r="QIB73" s="97"/>
      <c r="QIC73" s="97"/>
      <c r="QID73" s="97"/>
      <c r="QIE73" s="97"/>
      <c r="QIF73" s="97"/>
      <c r="QIG73" s="97"/>
      <c r="QIH73" s="97"/>
      <c r="QII73" s="97"/>
      <c r="QIJ73" s="97"/>
      <c r="QIK73" s="97"/>
      <c r="QIL73" s="97"/>
      <c r="QIM73" s="97"/>
      <c r="QIN73" s="97"/>
      <c r="QIO73" s="97"/>
      <c r="QIP73" s="97"/>
      <c r="QIQ73" s="97"/>
      <c r="QIR73" s="97"/>
      <c r="QIS73" s="97"/>
      <c r="QIT73" s="97"/>
      <c r="QIU73" s="97"/>
      <c r="QIV73" s="97"/>
      <c r="QIW73" s="97"/>
      <c r="QIX73" s="97"/>
      <c r="QIY73" s="97"/>
      <c r="QIZ73" s="97"/>
      <c r="QJA73" s="97"/>
      <c r="QJB73" s="97"/>
      <c r="QJC73" s="97"/>
      <c r="QJD73" s="97"/>
      <c r="QJE73" s="97"/>
      <c r="QJF73" s="97"/>
      <c r="QJG73" s="97"/>
      <c r="QJH73" s="97"/>
      <c r="QJI73" s="97"/>
      <c r="QJJ73" s="97"/>
      <c r="QJK73" s="97"/>
      <c r="QJL73" s="97"/>
      <c r="QJM73" s="97"/>
      <c r="QJN73" s="97"/>
      <c r="QJO73" s="97"/>
      <c r="QJP73" s="97"/>
      <c r="QJQ73" s="97"/>
      <c r="QJR73" s="97"/>
      <c r="QJS73" s="97"/>
      <c r="QJT73" s="97"/>
      <c r="QJU73" s="97"/>
      <c r="QJV73" s="97"/>
      <c r="QJW73" s="97"/>
      <c r="QJX73" s="97"/>
      <c r="QJY73" s="97"/>
      <c r="QJZ73" s="97"/>
      <c r="QKA73" s="97"/>
      <c r="QKB73" s="97"/>
      <c r="QKC73" s="97"/>
      <c r="QKD73" s="97"/>
      <c r="QKE73" s="97"/>
      <c r="QKF73" s="97"/>
      <c r="QKG73" s="97"/>
      <c r="QKH73" s="97"/>
      <c r="QKI73" s="97"/>
      <c r="QKJ73" s="97"/>
      <c r="QKK73" s="97"/>
      <c r="QKL73" s="97"/>
      <c r="QKM73" s="97"/>
      <c r="QKN73" s="97"/>
      <c r="QKO73" s="97"/>
      <c r="QKP73" s="97"/>
      <c r="QKQ73" s="97"/>
      <c r="QKR73" s="97"/>
      <c r="QKS73" s="97"/>
      <c r="QKT73" s="97"/>
      <c r="QKU73" s="97"/>
      <c r="QKV73" s="97"/>
      <c r="QKW73" s="97"/>
      <c r="QKX73" s="97"/>
      <c r="QKY73" s="97"/>
      <c r="QKZ73" s="97"/>
      <c r="QLA73" s="97"/>
      <c r="QLB73" s="97"/>
      <c r="QLC73" s="97"/>
      <c r="QLD73" s="97"/>
      <c r="QLE73" s="97"/>
      <c r="QLF73" s="97"/>
      <c r="QLG73" s="97"/>
      <c r="QLH73" s="97"/>
      <c r="QLI73" s="97"/>
      <c r="QLJ73" s="97"/>
      <c r="QLK73" s="97"/>
      <c r="QLL73" s="97"/>
      <c r="QLM73" s="97"/>
      <c r="QLN73" s="97"/>
      <c r="QLO73" s="97"/>
      <c r="QLP73" s="97"/>
      <c r="QLQ73" s="97"/>
      <c r="QLR73" s="97"/>
      <c r="QLS73" s="97"/>
      <c r="QLT73" s="97"/>
      <c r="QLU73" s="97"/>
      <c r="QLV73" s="97"/>
      <c r="QLW73" s="97"/>
      <c r="QLX73" s="97"/>
      <c r="QLY73" s="97"/>
      <c r="QLZ73" s="97"/>
      <c r="QMA73" s="97"/>
      <c r="QMB73" s="97"/>
      <c r="QMC73" s="97"/>
      <c r="QMD73" s="97"/>
      <c r="QME73" s="97"/>
      <c r="QMF73" s="97"/>
      <c r="QMG73" s="97"/>
      <c r="QMH73" s="97"/>
      <c r="QMI73" s="97"/>
      <c r="QMJ73" s="97"/>
      <c r="QMK73" s="97"/>
      <c r="QML73" s="97"/>
      <c r="QMM73" s="97"/>
      <c r="QMN73" s="97"/>
      <c r="QMO73" s="97"/>
      <c r="QMP73" s="97"/>
      <c r="QMQ73" s="97"/>
      <c r="QMR73" s="97"/>
      <c r="QMS73" s="97"/>
      <c r="QMT73" s="97"/>
      <c r="QMU73" s="97"/>
      <c r="QMV73" s="97"/>
      <c r="QMW73" s="97"/>
      <c r="QMX73" s="97"/>
      <c r="QMY73" s="97"/>
      <c r="QMZ73" s="97"/>
      <c r="QNA73" s="97"/>
      <c r="QNB73" s="97"/>
      <c r="QNC73" s="97"/>
      <c r="QND73" s="97"/>
      <c r="QNE73" s="97"/>
      <c r="QNF73" s="97"/>
      <c r="QNG73" s="97"/>
      <c r="QNH73" s="97"/>
      <c r="QNI73" s="97"/>
      <c r="QNJ73" s="97"/>
      <c r="QNK73" s="97"/>
      <c r="QNL73" s="97"/>
      <c r="QNM73" s="97"/>
      <c r="QNN73" s="97"/>
      <c r="QNO73" s="97"/>
      <c r="QNP73" s="97"/>
      <c r="QNQ73" s="97"/>
      <c r="QNR73" s="97"/>
      <c r="QNS73" s="97"/>
      <c r="QNT73" s="97"/>
      <c r="QNU73" s="97"/>
      <c r="QNV73" s="97"/>
      <c r="QNW73" s="97"/>
      <c r="QNX73" s="97"/>
      <c r="QNY73" s="97"/>
      <c r="QNZ73" s="97"/>
      <c r="QOA73" s="97"/>
      <c r="QOB73" s="97"/>
      <c r="QOC73" s="97"/>
      <c r="QOD73" s="97"/>
      <c r="QOE73" s="97"/>
      <c r="QOF73" s="97"/>
      <c r="QOG73" s="97"/>
      <c r="QOH73" s="97"/>
      <c r="QOI73" s="97"/>
      <c r="QOJ73" s="97"/>
      <c r="QOK73" s="97"/>
      <c r="QOL73" s="97"/>
      <c r="QOM73" s="97"/>
      <c r="QON73" s="97"/>
      <c r="QOO73" s="97"/>
      <c r="QOP73" s="97"/>
      <c r="QOQ73" s="97"/>
      <c r="QOR73" s="97"/>
      <c r="QOS73" s="97"/>
      <c r="QOT73" s="97"/>
      <c r="QOU73" s="97"/>
      <c r="QOV73" s="97"/>
      <c r="QOW73" s="97"/>
      <c r="QOX73" s="97"/>
      <c r="QOY73" s="97"/>
      <c r="QOZ73" s="97"/>
      <c r="QPA73" s="97"/>
      <c r="QPB73" s="97"/>
      <c r="QPC73" s="97"/>
      <c r="QPD73" s="97"/>
      <c r="QPE73" s="97"/>
      <c r="QPF73" s="97"/>
      <c r="QPG73" s="97"/>
      <c r="QPH73" s="97"/>
      <c r="QPI73" s="97"/>
      <c r="QPJ73" s="97"/>
      <c r="QPK73" s="97"/>
      <c r="QPL73" s="97"/>
      <c r="QPM73" s="97"/>
      <c r="QPN73" s="97"/>
      <c r="QPO73" s="97"/>
      <c r="QPP73" s="97"/>
      <c r="QPQ73" s="97"/>
      <c r="QPR73" s="97"/>
      <c r="QPS73" s="97"/>
      <c r="QPT73" s="97"/>
      <c r="QPU73" s="97"/>
      <c r="QPV73" s="97"/>
      <c r="QPW73" s="97"/>
      <c r="QPX73" s="97"/>
      <c r="QPY73" s="97"/>
      <c r="QPZ73" s="97"/>
      <c r="QQA73" s="97"/>
      <c r="QQB73" s="97"/>
      <c r="QQC73" s="97"/>
      <c r="QQD73" s="97"/>
      <c r="QQE73" s="97"/>
      <c r="QQF73" s="97"/>
      <c r="QQG73" s="97"/>
      <c r="QQH73" s="97"/>
      <c r="QQI73" s="97"/>
      <c r="QQJ73" s="97"/>
      <c r="QQK73" s="97"/>
      <c r="QQL73" s="97"/>
      <c r="QQM73" s="97"/>
      <c r="QQN73" s="97"/>
      <c r="QQO73" s="97"/>
      <c r="QQP73" s="97"/>
      <c r="QQQ73" s="97"/>
      <c r="QQR73" s="97"/>
      <c r="QQS73" s="97"/>
      <c r="QQT73" s="97"/>
      <c r="QQU73" s="97"/>
      <c r="QQV73" s="97"/>
      <c r="QQW73" s="97"/>
      <c r="QQX73" s="97"/>
      <c r="QQY73" s="97"/>
      <c r="QQZ73" s="97"/>
      <c r="QRA73" s="97"/>
      <c r="QRB73" s="97"/>
      <c r="QRC73" s="97"/>
      <c r="QRD73" s="97"/>
      <c r="QRE73" s="97"/>
      <c r="QRF73" s="97"/>
      <c r="QRG73" s="97"/>
      <c r="QRH73" s="97"/>
      <c r="QRI73" s="97"/>
      <c r="QRJ73" s="97"/>
      <c r="QRK73" s="97"/>
      <c r="QRL73" s="97"/>
      <c r="QRM73" s="97"/>
      <c r="QRN73" s="97"/>
      <c r="QRO73" s="97"/>
      <c r="QRP73" s="97"/>
      <c r="QRQ73" s="97"/>
      <c r="QRR73" s="97"/>
      <c r="QRS73" s="97"/>
      <c r="QRT73" s="97"/>
      <c r="QRU73" s="97"/>
      <c r="QRV73" s="97"/>
      <c r="QRW73" s="97"/>
      <c r="QRX73" s="97"/>
      <c r="QRY73" s="97"/>
      <c r="QRZ73" s="97"/>
      <c r="QSA73" s="97"/>
      <c r="QSB73" s="97"/>
      <c r="QSC73" s="97"/>
      <c r="QSD73" s="97"/>
      <c r="QSE73" s="97"/>
      <c r="QSF73" s="97"/>
      <c r="QSG73" s="97"/>
      <c r="QSH73" s="97"/>
      <c r="QSI73" s="97"/>
      <c r="QSJ73" s="97"/>
      <c r="QSK73" s="97"/>
      <c r="QSL73" s="97"/>
      <c r="QSM73" s="97"/>
      <c r="QSN73" s="97"/>
      <c r="QSO73" s="97"/>
      <c r="QSP73" s="97"/>
      <c r="QSQ73" s="97"/>
      <c r="QSR73" s="97"/>
      <c r="QSS73" s="97"/>
      <c r="QST73" s="97"/>
      <c r="QSU73" s="97"/>
      <c r="QSV73" s="97"/>
      <c r="QSW73" s="97"/>
      <c r="QSX73" s="97"/>
      <c r="QSY73" s="97"/>
      <c r="QSZ73" s="97"/>
      <c r="QTA73" s="97"/>
      <c r="QTB73" s="97"/>
      <c r="QTC73" s="97"/>
      <c r="QTD73" s="97"/>
      <c r="QTE73" s="97"/>
      <c r="QTF73" s="97"/>
      <c r="QTG73" s="97"/>
      <c r="QTH73" s="97"/>
      <c r="QTI73" s="97"/>
      <c r="QTJ73" s="97"/>
      <c r="QTK73" s="97"/>
      <c r="QTL73" s="97"/>
      <c r="QTM73" s="97"/>
      <c r="QTN73" s="97"/>
      <c r="QTO73" s="97"/>
      <c r="QTP73" s="97"/>
      <c r="QTQ73" s="97"/>
      <c r="QTR73" s="97"/>
      <c r="QTS73" s="97"/>
      <c r="QTT73" s="97"/>
      <c r="QTU73" s="97"/>
      <c r="QTV73" s="97"/>
      <c r="QTW73" s="97"/>
      <c r="QTX73" s="97"/>
      <c r="QTY73" s="97"/>
      <c r="QTZ73" s="97"/>
      <c r="QUA73" s="97"/>
      <c r="QUB73" s="97"/>
      <c r="QUC73" s="97"/>
      <c r="QUD73" s="97"/>
      <c r="QUE73" s="97"/>
      <c r="QUF73" s="97"/>
      <c r="QUG73" s="97"/>
      <c r="QUH73" s="97"/>
      <c r="QUI73" s="97"/>
      <c r="QUJ73" s="97"/>
      <c r="QUK73" s="97"/>
      <c r="QUL73" s="97"/>
      <c r="QUM73" s="97"/>
      <c r="QUN73" s="97"/>
      <c r="QUO73" s="97"/>
      <c r="QUP73" s="97"/>
      <c r="QUQ73" s="97"/>
      <c r="QUR73" s="97"/>
      <c r="QUS73" s="97"/>
      <c r="QUT73" s="97"/>
      <c r="QUU73" s="97"/>
      <c r="QUV73" s="97"/>
      <c r="QUW73" s="97"/>
      <c r="QUX73" s="97"/>
      <c r="QUY73" s="97"/>
      <c r="QUZ73" s="97"/>
      <c r="QVA73" s="97"/>
      <c r="QVB73" s="97"/>
      <c r="QVC73" s="97"/>
      <c r="QVD73" s="97"/>
      <c r="QVE73" s="97"/>
      <c r="QVF73" s="97"/>
      <c r="QVG73" s="97"/>
      <c r="QVH73" s="97"/>
      <c r="QVI73" s="97"/>
      <c r="QVJ73" s="97"/>
      <c r="QVK73" s="97"/>
      <c r="QVL73" s="97"/>
      <c r="QVM73" s="97"/>
      <c r="QVN73" s="97"/>
      <c r="QVO73" s="97"/>
      <c r="QVP73" s="97"/>
      <c r="QVQ73" s="97"/>
      <c r="QVR73" s="97"/>
      <c r="QVS73" s="97"/>
      <c r="QVT73" s="97"/>
      <c r="QVU73" s="97"/>
      <c r="QVV73" s="97"/>
      <c r="QVW73" s="97"/>
      <c r="QVX73" s="97"/>
      <c r="QVY73" s="97"/>
      <c r="QVZ73" s="97"/>
      <c r="QWA73" s="97"/>
      <c r="QWB73" s="97"/>
      <c r="QWC73" s="97"/>
      <c r="QWD73" s="97"/>
      <c r="QWE73" s="97"/>
      <c r="QWF73" s="97"/>
      <c r="QWG73" s="97"/>
      <c r="QWH73" s="97"/>
      <c r="QWI73" s="97"/>
      <c r="QWJ73" s="97"/>
      <c r="QWK73" s="97"/>
      <c r="QWL73" s="97"/>
      <c r="QWM73" s="97"/>
      <c r="QWN73" s="97"/>
      <c r="QWO73" s="97"/>
      <c r="QWP73" s="97"/>
      <c r="QWQ73" s="97"/>
      <c r="QWR73" s="97"/>
      <c r="QWS73" s="97"/>
      <c r="QWT73" s="97"/>
      <c r="QWU73" s="97"/>
      <c r="QWV73" s="97"/>
      <c r="QWW73" s="97"/>
      <c r="QWX73" s="97"/>
      <c r="QWY73" s="97"/>
      <c r="QWZ73" s="97"/>
      <c r="QXA73" s="97"/>
      <c r="QXB73" s="97"/>
      <c r="QXC73" s="97"/>
      <c r="QXD73" s="97"/>
      <c r="QXE73" s="97"/>
      <c r="QXF73" s="97"/>
      <c r="QXG73" s="97"/>
      <c r="QXH73" s="97"/>
      <c r="QXI73" s="97"/>
      <c r="QXJ73" s="97"/>
      <c r="QXK73" s="97"/>
      <c r="QXL73" s="97"/>
      <c r="QXM73" s="97"/>
      <c r="QXN73" s="97"/>
      <c r="QXO73" s="97"/>
      <c r="QXP73" s="97"/>
      <c r="QXQ73" s="97"/>
      <c r="QXR73" s="97"/>
      <c r="QXS73" s="97"/>
      <c r="QXT73" s="97"/>
      <c r="QXU73" s="97"/>
      <c r="QXV73" s="97"/>
      <c r="QXW73" s="97"/>
      <c r="QXX73" s="97"/>
      <c r="QXY73" s="97"/>
      <c r="QXZ73" s="97"/>
      <c r="QYA73" s="97"/>
      <c r="QYB73" s="97"/>
      <c r="QYC73" s="97"/>
      <c r="QYD73" s="97"/>
      <c r="QYE73" s="97"/>
      <c r="QYF73" s="97"/>
      <c r="QYG73" s="97"/>
      <c r="QYH73" s="97"/>
      <c r="QYI73" s="97"/>
      <c r="QYJ73" s="97"/>
      <c r="QYK73" s="97"/>
      <c r="QYL73" s="97"/>
      <c r="QYM73" s="97"/>
      <c r="QYN73" s="97"/>
      <c r="QYO73" s="97"/>
      <c r="QYP73" s="97"/>
      <c r="QYQ73" s="97"/>
      <c r="QYR73" s="97"/>
      <c r="QYS73" s="97"/>
      <c r="QYT73" s="97"/>
      <c r="QYU73" s="97"/>
      <c r="QYV73" s="97"/>
      <c r="QYW73" s="97"/>
      <c r="QYX73" s="97"/>
      <c r="QYY73" s="97"/>
      <c r="QYZ73" s="97"/>
      <c r="QZA73" s="97"/>
      <c r="QZB73" s="97"/>
      <c r="QZC73" s="97"/>
      <c r="QZD73" s="97"/>
      <c r="QZE73" s="97"/>
      <c r="QZF73" s="97"/>
      <c r="QZG73" s="97"/>
      <c r="QZH73" s="97"/>
      <c r="QZI73" s="97"/>
      <c r="QZJ73" s="97"/>
      <c r="QZK73" s="97"/>
      <c r="QZL73" s="97"/>
      <c r="QZM73" s="97"/>
      <c r="QZN73" s="97"/>
      <c r="QZO73" s="97"/>
      <c r="QZP73" s="97"/>
      <c r="QZQ73" s="97"/>
      <c r="QZR73" s="97"/>
      <c r="QZS73" s="97"/>
      <c r="QZT73" s="97"/>
      <c r="QZU73" s="97"/>
      <c r="QZV73" s="97"/>
      <c r="QZW73" s="97"/>
      <c r="QZX73" s="97"/>
      <c r="QZY73" s="97"/>
      <c r="QZZ73" s="97"/>
      <c r="RAA73" s="97"/>
      <c r="RAB73" s="97"/>
      <c r="RAC73" s="97"/>
      <c r="RAD73" s="97"/>
      <c r="RAE73" s="97"/>
      <c r="RAF73" s="97"/>
      <c r="RAG73" s="97"/>
      <c r="RAH73" s="97"/>
      <c r="RAI73" s="97"/>
      <c r="RAJ73" s="97"/>
      <c r="RAK73" s="97"/>
      <c r="RAL73" s="97"/>
      <c r="RAM73" s="97"/>
      <c r="RAN73" s="97"/>
      <c r="RAO73" s="97"/>
      <c r="RAP73" s="97"/>
      <c r="RAQ73" s="97"/>
      <c r="RAR73" s="97"/>
      <c r="RAS73" s="97"/>
      <c r="RAT73" s="97"/>
      <c r="RAU73" s="97"/>
      <c r="RAV73" s="97"/>
      <c r="RAW73" s="97"/>
      <c r="RAX73" s="97"/>
      <c r="RAY73" s="97"/>
      <c r="RAZ73" s="97"/>
      <c r="RBA73" s="97"/>
      <c r="RBB73" s="97"/>
      <c r="RBC73" s="97"/>
      <c r="RBD73" s="97"/>
      <c r="RBE73" s="97"/>
      <c r="RBF73" s="97"/>
      <c r="RBG73" s="97"/>
      <c r="RBH73" s="97"/>
      <c r="RBI73" s="97"/>
      <c r="RBJ73" s="97"/>
      <c r="RBK73" s="97"/>
      <c r="RBL73" s="97"/>
      <c r="RBM73" s="97"/>
      <c r="RBN73" s="97"/>
      <c r="RBO73" s="97"/>
      <c r="RBP73" s="97"/>
      <c r="RBQ73" s="97"/>
      <c r="RBR73" s="97"/>
      <c r="RBS73" s="97"/>
      <c r="RBT73" s="97"/>
      <c r="RBU73" s="97"/>
      <c r="RBV73" s="97"/>
      <c r="RBW73" s="97"/>
      <c r="RBX73" s="97"/>
      <c r="RBY73" s="97"/>
      <c r="RBZ73" s="97"/>
      <c r="RCA73" s="97"/>
      <c r="RCB73" s="97"/>
      <c r="RCC73" s="97"/>
      <c r="RCD73" s="97"/>
      <c r="RCE73" s="97"/>
      <c r="RCF73" s="97"/>
      <c r="RCG73" s="97"/>
      <c r="RCH73" s="97"/>
      <c r="RCI73" s="97"/>
      <c r="RCJ73" s="97"/>
      <c r="RCK73" s="97"/>
      <c r="RCL73" s="97"/>
      <c r="RCM73" s="97"/>
      <c r="RCN73" s="97"/>
      <c r="RCO73" s="97"/>
      <c r="RCP73" s="97"/>
      <c r="RCQ73" s="97"/>
      <c r="RCR73" s="97"/>
      <c r="RCS73" s="97"/>
      <c r="RCT73" s="97"/>
      <c r="RCU73" s="97"/>
      <c r="RCV73" s="97"/>
      <c r="RCW73" s="97"/>
      <c r="RCX73" s="97"/>
      <c r="RCY73" s="97"/>
      <c r="RCZ73" s="97"/>
      <c r="RDA73" s="97"/>
      <c r="RDB73" s="97"/>
      <c r="RDC73" s="97"/>
      <c r="RDD73" s="97"/>
      <c r="RDE73" s="97"/>
      <c r="RDF73" s="97"/>
      <c r="RDG73" s="97"/>
      <c r="RDH73" s="97"/>
      <c r="RDI73" s="97"/>
      <c r="RDJ73" s="97"/>
      <c r="RDK73" s="97"/>
      <c r="RDL73" s="97"/>
      <c r="RDM73" s="97"/>
      <c r="RDN73" s="97"/>
      <c r="RDO73" s="97"/>
      <c r="RDP73" s="97"/>
      <c r="RDQ73" s="97"/>
      <c r="RDR73" s="97"/>
      <c r="RDS73" s="97"/>
      <c r="RDT73" s="97"/>
      <c r="RDU73" s="97"/>
      <c r="RDV73" s="97"/>
      <c r="RDW73" s="97"/>
      <c r="RDX73" s="97"/>
      <c r="RDY73" s="97"/>
      <c r="RDZ73" s="97"/>
      <c r="REA73" s="97"/>
      <c r="REB73" s="97"/>
      <c r="REC73" s="97"/>
      <c r="RED73" s="97"/>
      <c r="REE73" s="97"/>
      <c r="REF73" s="97"/>
      <c r="REG73" s="97"/>
      <c r="REH73" s="97"/>
      <c r="REI73" s="97"/>
      <c r="REJ73" s="97"/>
      <c r="REK73" s="97"/>
      <c r="REL73" s="97"/>
      <c r="REM73" s="97"/>
      <c r="REN73" s="97"/>
      <c r="REO73" s="97"/>
      <c r="REP73" s="97"/>
      <c r="REQ73" s="97"/>
      <c r="RER73" s="97"/>
      <c r="RES73" s="97"/>
      <c r="RET73" s="97"/>
      <c r="REU73" s="97"/>
      <c r="REV73" s="97"/>
      <c r="REW73" s="97"/>
      <c r="REX73" s="97"/>
      <c r="REY73" s="97"/>
      <c r="REZ73" s="97"/>
      <c r="RFA73" s="97"/>
      <c r="RFB73" s="97"/>
      <c r="RFC73" s="97"/>
      <c r="RFD73" s="97"/>
      <c r="RFE73" s="97"/>
      <c r="RFF73" s="97"/>
      <c r="RFG73" s="97"/>
      <c r="RFH73" s="97"/>
      <c r="RFI73" s="97"/>
      <c r="RFJ73" s="97"/>
      <c r="RFK73" s="97"/>
      <c r="RFL73" s="97"/>
      <c r="RFM73" s="97"/>
      <c r="RFN73" s="97"/>
      <c r="RFO73" s="97"/>
      <c r="RFP73" s="97"/>
      <c r="RFQ73" s="97"/>
      <c r="RFR73" s="97"/>
      <c r="RFS73" s="97"/>
      <c r="RFT73" s="97"/>
      <c r="RFU73" s="97"/>
      <c r="RFV73" s="97"/>
      <c r="RFW73" s="97"/>
      <c r="RFX73" s="97"/>
      <c r="RFY73" s="97"/>
      <c r="RFZ73" s="97"/>
      <c r="RGA73" s="97"/>
      <c r="RGB73" s="97"/>
      <c r="RGC73" s="97"/>
      <c r="RGD73" s="97"/>
      <c r="RGE73" s="97"/>
      <c r="RGF73" s="97"/>
      <c r="RGG73" s="97"/>
      <c r="RGH73" s="97"/>
      <c r="RGI73" s="97"/>
      <c r="RGJ73" s="97"/>
      <c r="RGK73" s="97"/>
      <c r="RGL73" s="97"/>
      <c r="RGM73" s="97"/>
      <c r="RGN73" s="97"/>
      <c r="RGO73" s="97"/>
      <c r="RGP73" s="97"/>
      <c r="RGQ73" s="97"/>
      <c r="RGR73" s="97"/>
      <c r="RGS73" s="97"/>
      <c r="RGT73" s="97"/>
      <c r="RGU73" s="97"/>
      <c r="RGV73" s="97"/>
      <c r="RGW73" s="97"/>
      <c r="RGX73" s="97"/>
      <c r="RGY73" s="97"/>
      <c r="RGZ73" s="97"/>
      <c r="RHA73" s="97"/>
      <c r="RHB73" s="97"/>
      <c r="RHC73" s="97"/>
      <c r="RHD73" s="97"/>
      <c r="RHE73" s="97"/>
      <c r="RHF73" s="97"/>
      <c r="RHG73" s="97"/>
      <c r="RHH73" s="97"/>
      <c r="RHI73" s="97"/>
      <c r="RHJ73" s="97"/>
      <c r="RHK73" s="97"/>
      <c r="RHL73" s="97"/>
      <c r="RHM73" s="97"/>
      <c r="RHN73" s="97"/>
      <c r="RHO73" s="97"/>
      <c r="RHP73" s="97"/>
      <c r="RHQ73" s="97"/>
      <c r="RHR73" s="97"/>
      <c r="RHS73" s="97"/>
      <c r="RHT73" s="97"/>
      <c r="RHU73" s="97"/>
      <c r="RHV73" s="97"/>
      <c r="RHW73" s="97"/>
      <c r="RHX73" s="97"/>
      <c r="RHY73" s="97"/>
      <c r="RHZ73" s="97"/>
      <c r="RIA73" s="97"/>
      <c r="RIB73" s="97"/>
      <c r="RIC73" s="97"/>
      <c r="RID73" s="97"/>
      <c r="RIE73" s="97"/>
      <c r="RIF73" s="97"/>
      <c r="RIG73" s="97"/>
      <c r="RIH73" s="97"/>
      <c r="RII73" s="97"/>
      <c r="RIJ73" s="97"/>
      <c r="RIK73" s="97"/>
      <c r="RIL73" s="97"/>
      <c r="RIM73" s="97"/>
      <c r="RIN73" s="97"/>
      <c r="RIO73" s="97"/>
      <c r="RIP73" s="97"/>
      <c r="RIQ73" s="97"/>
      <c r="RIR73" s="97"/>
      <c r="RIS73" s="97"/>
      <c r="RIT73" s="97"/>
      <c r="RIU73" s="97"/>
      <c r="RIV73" s="97"/>
      <c r="RIW73" s="97"/>
      <c r="RIX73" s="97"/>
      <c r="RIY73" s="97"/>
      <c r="RIZ73" s="97"/>
      <c r="RJA73" s="97"/>
      <c r="RJB73" s="97"/>
      <c r="RJC73" s="97"/>
      <c r="RJD73" s="97"/>
      <c r="RJE73" s="97"/>
      <c r="RJF73" s="97"/>
      <c r="RJG73" s="97"/>
      <c r="RJH73" s="97"/>
      <c r="RJI73" s="97"/>
      <c r="RJJ73" s="97"/>
      <c r="RJK73" s="97"/>
      <c r="RJL73" s="97"/>
      <c r="RJM73" s="97"/>
      <c r="RJN73" s="97"/>
      <c r="RJO73" s="97"/>
      <c r="RJP73" s="97"/>
      <c r="RJQ73" s="97"/>
      <c r="RJR73" s="97"/>
      <c r="RJS73" s="97"/>
      <c r="RJT73" s="97"/>
      <c r="RJU73" s="97"/>
      <c r="RJV73" s="97"/>
      <c r="RJW73" s="97"/>
      <c r="RJX73" s="97"/>
      <c r="RJY73" s="97"/>
      <c r="RJZ73" s="97"/>
      <c r="RKA73" s="97"/>
      <c r="RKB73" s="97"/>
      <c r="RKC73" s="97"/>
      <c r="RKD73" s="97"/>
      <c r="RKE73" s="97"/>
      <c r="RKF73" s="97"/>
      <c r="RKG73" s="97"/>
      <c r="RKH73" s="97"/>
      <c r="RKI73" s="97"/>
      <c r="RKJ73" s="97"/>
      <c r="RKK73" s="97"/>
      <c r="RKL73" s="97"/>
      <c r="RKM73" s="97"/>
      <c r="RKN73" s="97"/>
      <c r="RKO73" s="97"/>
      <c r="RKP73" s="97"/>
      <c r="RKQ73" s="97"/>
      <c r="RKR73" s="97"/>
      <c r="RKS73" s="97"/>
      <c r="RKT73" s="97"/>
      <c r="RKU73" s="97"/>
      <c r="RKV73" s="97"/>
      <c r="RKW73" s="97"/>
      <c r="RKX73" s="97"/>
      <c r="RKY73" s="97"/>
      <c r="RKZ73" s="97"/>
      <c r="RLA73" s="97"/>
      <c r="RLB73" s="97"/>
      <c r="RLC73" s="97"/>
      <c r="RLD73" s="97"/>
      <c r="RLE73" s="97"/>
      <c r="RLF73" s="97"/>
      <c r="RLG73" s="97"/>
      <c r="RLH73" s="97"/>
      <c r="RLI73" s="97"/>
      <c r="RLJ73" s="97"/>
      <c r="RLK73" s="97"/>
      <c r="RLL73" s="97"/>
      <c r="RLM73" s="97"/>
      <c r="RLN73" s="97"/>
      <c r="RLO73" s="97"/>
      <c r="RLP73" s="97"/>
      <c r="RLQ73" s="97"/>
      <c r="RLR73" s="97"/>
      <c r="RLS73" s="97"/>
      <c r="RLT73" s="97"/>
      <c r="RLU73" s="97"/>
      <c r="RLV73" s="97"/>
      <c r="RLW73" s="97"/>
      <c r="RLX73" s="97"/>
      <c r="RLY73" s="97"/>
      <c r="RLZ73" s="97"/>
      <c r="RMA73" s="97"/>
      <c r="RMB73" s="97"/>
      <c r="RMC73" s="97"/>
      <c r="RMD73" s="97"/>
      <c r="RME73" s="97"/>
      <c r="RMF73" s="97"/>
      <c r="RMG73" s="97"/>
      <c r="RMH73" s="97"/>
      <c r="RMI73" s="97"/>
      <c r="RMJ73" s="97"/>
      <c r="RMK73" s="97"/>
      <c r="RML73" s="97"/>
      <c r="RMM73" s="97"/>
      <c r="RMN73" s="97"/>
      <c r="RMO73" s="97"/>
      <c r="RMP73" s="97"/>
      <c r="RMQ73" s="97"/>
      <c r="RMR73" s="97"/>
      <c r="RMS73" s="97"/>
      <c r="RMT73" s="97"/>
      <c r="RMU73" s="97"/>
      <c r="RMV73" s="97"/>
      <c r="RMW73" s="97"/>
      <c r="RMX73" s="97"/>
      <c r="RMY73" s="97"/>
      <c r="RMZ73" s="97"/>
      <c r="RNA73" s="97"/>
      <c r="RNB73" s="97"/>
      <c r="RNC73" s="97"/>
      <c r="RND73" s="97"/>
      <c r="RNE73" s="97"/>
      <c r="RNF73" s="97"/>
      <c r="RNG73" s="97"/>
      <c r="RNH73" s="97"/>
      <c r="RNI73" s="97"/>
      <c r="RNJ73" s="97"/>
      <c r="RNK73" s="97"/>
      <c r="RNL73" s="97"/>
      <c r="RNM73" s="97"/>
      <c r="RNN73" s="97"/>
      <c r="RNO73" s="97"/>
      <c r="RNP73" s="97"/>
      <c r="RNQ73" s="97"/>
      <c r="RNR73" s="97"/>
      <c r="RNS73" s="97"/>
      <c r="RNT73" s="97"/>
      <c r="RNU73" s="97"/>
      <c r="RNV73" s="97"/>
      <c r="RNW73" s="97"/>
      <c r="RNX73" s="97"/>
      <c r="RNY73" s="97"/>
      <c r="RNZ73" s="97"/>
      <c r="ROA73" s="97"/>
      <c r="ROB73" s="97"/>
      <c r="ROC73" s="97"/>
      <c r="ROD73" s="97"/>
      <c r="ROE73" s="97"/>
      <c r="ROF73" s="97"/>
      <c r="ROG73" s="97"/>
      <c r="ROH73" s="97"/>
      <c r="ROI73" s="97"/>
      <c r="ROJ73" s="97"/>
      <c r="ROK73" s="97"/>
      <c r="ROL73" s="97"/>
      <c r="ROM73" s="97"/>
      <c r="RON73" s="97"/>
      <c r="ROO73" s="97"/>
      <c r="ROP73" s="97"/>
      <c r="ROQ73" s="97"/>
      <c r="ROR73" s="97"/>
      <c r="ROS73" s="97"/>
      <c r="ROT73" s="97"/>
      <c r="ROU73" s="97"/>
      <c r="ROV73" s="97"/>
      <c r="ROW73" s="97"/>
      <c r="ROX73" s="97"/>
      <c r="ROY73" s="97"/>
      <c r="ROZ73" s="97"/>
      <c r="RPA73" s="97"/>
      <c r="RPB73" s="97"/>
      <c r="RPC73" s="97"/>
      <c r="RPD73" s="97"/>
      <c r="RPE73" s="97"/>
      <c r="RPF73" s="97"/>
      <c r="RPG73" s="97"/>
      <c r="RPH73" s="97"/>
      <c r="RPI73" s="97"/>
      <c r="RPJ73" s="97"/>
      <c r="RPK73" s="97"/>
      <c r="RPL73" s="97"/>
      <c r="RPM73" s="97"/>
      <c r="RPN73" s="97"/>
      <c r="RPO73" s="97"/>
      <c r="RPP73" s="97"/>
      <c r="RPQ73" s="97"/>
      <c r="RPR73" s="97"/>
      <c r="RPS73" s="97"/>
      <c r="RPT73" s="97"/>
      <c r="RPU73" s="97"/>
      <c r="RPV73" s="97"/>
      <c r="RPW73" s="97"/>
      <c r="RPX73" s="97"/>
      <c r="RPY73" s="97"/>
      <c r="RPZ73" s="97"/>
      <c r="RQA73" s="97"/>
      <c r="RQB73" s="97"/>
      <c r="RQC73" s="97"/>
      <c r="RQD73" s="97"/>
      <c r="RQE73" s="97"/>
      <c r="RQF73" s="97"/>
      <c r="RQG73" s="97"/>
      <c r="RQH73" s="97"/>
      <c r="RQI73" s="97"/>
      <c r="RQJ73" s="97"/>
      <c r="RQK73" s="97"/>
      <c r="RQL73" s="97"/>
      <c r="RQM73" s="97"/>
      <c r="RQN73" s="97"/>
      <c r="RQO73" s="97"/>
      <c r="RQP73" s="97"/>
      <c r="RQQ73" s="97"/>
      <c r="RQR73" s="97"/>
      <c r="RQS73" s="97"/>
      <c r="RQT73" s="97"/>
      <c r="RQU73" s="97"/>
      <c r="RQV73" s="97"/>
      <c r="RQW73" s="97"/>
      <c r="RQX73" s="97"/>
      <c r="RQY73" s="97"/>
      <c r="RQZ73" s="97"/>
      <c r="RRA73" s="97"/>
      <c r="RRB73" s="97"/>
      <c r="RRC73" s="97"/>
      <c r="RRD73" s="97"/>
      <c r="RRE73" s="97"/>
      <c r="RRF73" s="97"/>
      <c r="RRG73" s="97"/>
      <c r="RRH73" s="97"/>
      <c r="RRI73" s="97"/>
      <c r="RRJ73" s="97"/>
      <c r="RRK73" s="97"/>
      <c r="RRL73" s="97"/>
      <c r="RRM73" s="97"/>
      <c r="RRN73" s="97"/>
      <c r="RRO73" s="97"/>
      <c r="RRP73" s="97"/>
      <c r="RRQ73" s="97"/>
      <c r="RRR73" s="97"/>
      <c r="RRS73" s="97"/>
      <c r="RRT73" s="97"/>
      <c r="RRU73" s="97"/>
      <c r="RRV73" s="97"/>
      <c r="RRW73" s="97"/>
      <c r="RRX73" s="97"/>
      <c r="RRY73" s="97"/>
      <c r="RRZ73" s="97"/>
      <c r="RSA73" s="97"/>
      <c r="RSB73" s="97"/>
      <c r="RSC73" s="97"/>
      <c r="RSD73" s="97"/>
      <c r="RSE73" s="97"/>
      <c r="RSF73" s="97"/>
      <c r="RSG73" s="97"/>
      <c r="RSH73" s="97"/>
      <c r="RSI73" s="97"/>
      <c r="RSJ73" s="97"/>
      <c r="RSK73" s="97"/>
      <c r="RSL73" s="97"/>
      <c r="RSM73" s="97"/>
      <c r="RSN73" s="97"/>
      <c r="RSO73" s="97"/>
      <c r="RSP73" s="97"/>
      <c r="RSQ73" s="97"/>
      <c r="RSR73" s="97"/>
      <c r="RSS73" s="97"/>
      <c r="RST73" s="97"/>
      <c r="RSU73" s="97"/>
      <c r="RSV73" s="97"/>
      <c r="RSW73" s="97"/>
      <c r="RSX73" s="97"/>
      <c r="RSY73" s="97"/>
      <c r="RSZ73" s="97"/>
      <c r="RTA73" s="97"/>
      <c r="RTB73" s="97"/>
      <c r="RTC73" s="97"/>
      <c r="RTD73" s="97"/>
      <c r="RTE73" s="97"/>
      <c r="RTF73" s="97"/>
      <c r="RTG73" s="97"/>
      <c r="RTH73" s="97"/>
      <c r="RTI73" s="97"/>
      <c r="RTJ73" s="97"/>
      <c r="RTK73" s="97"/>
      <c r="RTL73" s="97"/>
      <c r="RTM73" s="97"/>
      <c r="RTN73" s="97"/>
      <c r="RTO73" s="97"/>
      <c r="RTP73" s="97"/>
      <c r="RTQ73" s="97"/>
      <c r="RTR73" s="97"/>
      <c r="RTS73" s="97"/>
      <c r="RTT73" s="97"/>
      <c r="RTU73" s="97"/>
      <c r="RTV73" s="97"/>
      <c r="RTW73" s="97"/>
      <c r="RTX73" s="97"/>
      <c r="RTY73" s="97"/>
      <c r="RTZ73" s="97"/>
      <c r="RUA73" s="97"/>
      <c r="RUB73" s="97"/>
      <c r="RUC73" s="97"/>
      <c r="RUD73" s="97"/>
      <c r="RUE73" s="97"/>
      <c r="RUF73" s="97"/>
      <c r="RUG73" s="97"/>
      <c r="RUH73" s="97"/>
      <c r="RUI73" s="97"/>
      <c r="RUJ73" s="97"/>
      <c r="RUK73" s="97"/>
      <c r="RUL73" s="97"/>
      <c r="RUM73" s="97"/>
      <c r="RUN73" s="97"/>
      <c r="RUO73" s="97"/>
      <c r="RUP73" s="97"/>
      <c r="RUQ73" s="97"/>
      <c r="RUR73" s="97"/>
      <c r="RUS73" s="97"/>
      <c r="RUT73" s="97"/>
      <c r="RUU73" s="97"/>
      <c r="RUV73" s="97"/>
      <c r="RUW73" s="97"/>
      <c r="RUX73" s="97"/>
      <c r="RUY73" s="97"/>
      <c r="RUZ73" s="97"/>
      <c r="RVA73" s="97"/>
      <c r="RVB73" s="97"/>
      <c r="RVC73" s="97"/>
      <c r="RVD73" s="97"/>
      <c r="RVE73" s="97"/>
      <c r="RVF73" s="97"/>
      <c r="RVG73" s="97"/>
      <c r="RVH73" s="97"/>
      <c r="RVI73" s="97"/>
      <c r="RVJ73" s="97"/>
      <c r="RVK73" s="97"/>
      <c r="RVL73" s="97"/>
      <c r="RVM73" s="97"/>
      <c r="RVN73" s="97"/>
      <c r="RVO73" s="97"/>
      <c r="RVP73" s="97"/>
      <c r="RVQ73" s="97"/>
      <c r="RVR73" s="97"/>
      <c r="RVS73" s="97"/>
      <c r="RVT73" s="97"/>
      <c r="RVU73" s="97"/>
      <c r="RVV73" s="97"/>
      <c r="RVW73" s="97"/>
      <c r="RVX73" s="97"/>
      <c r="RVY73" s="97"/>
      <c r="RVZ73" s="97"/>
      <c r="RWA73" s="97"/>
      <c r="RWB73" s="97"/>
      <c r="RWC73" s="97"/>
      <c r="RWD73" s="97"/>
      <c r="RWE73" s="97"/>
      <c r="RWF73" s="97"/>
      <c r="RWG73" s="97"/>
      <c r="RWH73" s="97"/>
      <c r="RWI73" s="97"/>
      <c r="RWJ73" s="97"/>
      <c r="RWK73" s="97"/>
      <c r="RWL73" s="97"/>
      <c r="RWM73" s="97"/>
      <c r="RWN73" s="97"/>
      <c r="RWO73" s="97"/>
      <c r="RWP73" s="97"/>
      <c r="RWQ73" s="97"/>
      <c r="RWR73" s="97"/>
      <c r="RWS73" s="97"/>
      <c r="RWT73" s="97"/>
      <c r="RWU73" s="97"/>
      <c r="RWV73" s="97"/>
      <c r="RWW73" s="97"/>
      <c r="RWX73" s="97"/>
      <c r="RWY73" s="97"/>
      <c r="RWZ73" s="97"/>
      <c r="RXA73" s="97"/>
      <c r="RXB73" s="97"/>
      <c r="RXC73" s="97"/>
      <c r="RXD73" s="97"/>
      <c r="RXE73" s="97"/>
      <c r="RXF73" s="97"/>
      <c r="RXG73" s="97"/>
      <c r="RXH73" s="97"/>
      <c r="RXI73" s="97"/>
      <c r="RXJ73" s="97"/>
      <c r="RXK73" s="97"/>
      <c r="RXL73" s="97"/>
      <c r="RXM73" s="97"/>
      <c r="RXN73" s="97"/>
      <c r="RXO73" s="97"/>
      <c r="RXP73" s="97"/>
      <c r="RXQ73" s="97"/>
      <c r="RXR73" s="97"/>
      <c r="RXS73" s="97"/>
      <c r="RXT73" s="97"/>
      <c r="RXU73" s="97"/>
      <c r="RXV73" s="97"/>
      <c r="RXW73" s="97"/>
      <c r="RXX73" s="97"/>
      <c r="RXY73" s="97"/>
      <c r="RXZ73" s="97"/>
      <c r="RYA73" s="97"/>
      <c r="RYB73" s="97"/>
      <c r="RYC73" s="97"/>
      <c r="RYD73" s="97"/>
      <c r="RYE73" s="97"/>
      <c r="RYF73" s="97"/>
      <c r="RYG73" s="97"/>
      <c r="RYH73" s="97"/>
      <c r="RYI73" s="97"/>
      <c r="RYJ73" s="97"/>
      <c r="RYK73" s="97"/>
      <c r="RYL73" s="97"/>
      <c r="RYM73" s="97"/>
      <c r="RYN73" s="97"/>
      <c r="RYO73" s="97"/>
      <c r="RYP73" s="97"/>
      <c r="RYQ73" s="97"/>
      <c r="RYR73" s="97"/>
      <c r="RYS73" s="97"/>
      <c r="RYT73" s="97"/>
      <c r="RYU73" s="97"/>
      <c r="RYV73" s="97"/>
      <c r="RYW73" s="97"/>
      <c r="RYX73" s="97"/>
      <c r="RYY73" s="97"/>
      <c r="RYZ73" s="97"/>
      <c r="RZA73" s="97"/>
      <c r="RZB73" s="97"/>
      <c r="RZC73" s="97"/>
      <c r="RZD73" s="97"/>
      <c r="RZE73" s="97"/>
      <c r="RZF73" s="97"/>
      <c r="RZG73" s="97"/>
      <c r="RZH73" s="97"/>
      <c r="RZI73" s="97"/>
      <c r="RZJ73" s="97"/>
      <c r="RZK73" s="97"/>
      <c r="RZL73" s="97"/>
      <c r="RZM73" s="97"/>
      <c r="RZN73" s="97"/>
      <c r="RZO73" s="97"/>
      <c r="RZP73" s="97"/>
      <c r="RZQ73" s="97"/>
      <c r="RZR73" s="97"/>
      <c r="RZS73" s="97"/>
      <c r="RZT73" s="97"/>
      <c r="RZU73" s="97"/>
      <c r="RZV73" s="97"/>
      <c r="RZW73" s="97"/>
      <c r="RZX73" s="97"/>
      <c r="RZY73" s="97"/>
      <c r="RZZ73" s="97"/>
      <c r="SAA73" s="97"/>
      <c r="SAB73" s="97"/>
      <c r="SAC73" s="97"/>
      <c r="SAD73" s="97"/>
      <c r="SAE73" s="97"/>
      <c r="SAF73" s="97"/>
      <c r="SAG73" s="97"/>
      <c r="SAH73" s="97"/>
      <c r="SAI73" s="97"/>
      <c r="SAJ73" s="97"/>
      <c r="SAK73" s="97"/>
      <c r="SAL73" s="97"/>
      <c r="SAM73" s="97"/>
      <c r="SAN73" s="97"/>
      <c r="SAO73" s="97"/>
      <c r="SAP73" s="97"/>
      <c r="SAQ73" s="97"/>
      <c r="SAR73" s="97"/>
      <c r="SAS73" s="97"/>
      <c r="SAT73" s="97"/>
      <c r="SAU73" s="97"/>
      <c r="SAV73" s="97"/>
      <c r="SAW73" s="97"/>
      <c r="SAX73" s="97"/>
      <c r="SAY73" s="97"/>
      <c r="SAZ73" s="97"/>
      <c r="SBA73" s="97"/>
      <c r="SBB73" s="97"/>
      <c r="SBC73" s="97"/>
      <c r="SBD73" s="97"/>
      <c r="SBE73" s="97"/>
      <c r="SBF73" s="97"/>
      <c r="SBG73" s="97"/>
      <c r="SBH73" s="97"/>
      <c r="SBI73" s="97"/>
      <c r="SBJ73" s="97"/>
      <c r="SBK73" s="97"/>
      <c r="SBL73" s="97"/>
      <c r="SBM73" s="97"/>
      <c r="SBN73" s="97"/>
      <c r="SBO73" s="97"/>
      <c r="SBP73" s="97"/>
      <c r="SBQ73" s="97"/>
      <c r="SBR73" s="97"/>
      <c r="SBS73" s="97"/>
      <c r="SBT73" s="97"/>
      <c r="SBU73" s="97"/>
      <c r="SBV73" s="97"/>
      <c r="SBW73" s="97"/>
      <c r="SBX73" s="97"/>
      <c r="SBY73" s="97"/>
      <c r="SBZ73" s="97"/>
      <c r="SCA73" s="97"/>
      <c r="SCB73" s="97"/>
      <c r="SCC73" s="97"/>
      <c r="SCD73" s="97"/>
      <c r="SCE73" s="97"/>
      <c r="SCF73" s="97"/>
      <c r="SCG73" s="97"/>
      <c r="SCH73" s="97"/>
      <c r="SCI73" s="97"/>
      <c r="SCJ73" s="97"/>
      <c r="SCK73" s="97"/>
      <c r="SCL73" s="97"/>
      <c r="SCM73" s="97"/>
      <c r="SCN73" s="97"/>
      <c r="SCO73" s="97"/>
      <c r="SCP73" s="97"/>
      <c r="SCQ73" s="97"/>
      <c r="SCR73" s="97"/>
      <c r="SCS73" s="97"/>
      <c r="SCT73" s="97"/>
      <c r="SCU73" s="97"/>
      <c r="SCV73" s="97"/>
      <c r="SCW73" s="97"/>
      <c r="SCX73" s="97"/>
      <c r="SCY73" s="97"/>
      <c r="SCZ73" s="97"/>
      <c r="SDA73" s="97"/>
      <c r="SDB73" s="97"/>
      <c r="SDC73" s="97"/>
      <c r="SDD73" s="97"/>
      <c r="SDE73" s="97"/>
      <c r="SDF73" s="97"/>
      <c r="SDG73" s="97"/>
      <c r="SDH73" s="97"/>
      <c r="SDI73" s="97"/>
      <c r="SDJ73" s="97"/>
      <c r="SDK73" s="97"/>
      <c r="SDL73" s="97"/>
      <c r="SDM73" s="97"/>
      <c r="SDN73" s="97"/>
      <c r="SDO73" s="97"/>
      <c r="SDP73" s="97"/>
      <c r="SDQ73" s="97"/>
      <c r="SDR73" s="97"/>
      <c r="SDS73" s="97"/>
      <c r="SDT73" s="97"/>
      <c r="SDU73" s="97"/>
      <c r="SDV73" s="97"/>
      <c r="SDW73" s="97"/>
      <c r="SDX73" s="97"/>
      <c r="SDY73" s="97"/>
      <c r="SDZ73" s="97"/>
      <c r="SEA73" s="97"/>
      <c r="SEB73" s="97"/>
      <c r="SEC73" s="97"/>
      <c r="SED73" s="97"/>
      <c r="SEE73" s="97"/>
      <c r="SEF73" s="97"/>
      <c r="SEG73" s="97"/>
      <c r="SEH73" s="97"/>
      <c r="SEI73" s="97"/>
      <c r="SEJ73" s="97"/>
      <c r="SEK73" s="97"/>
      <c r="SEL73" s="97"/>
      <c r="SEM73" s="97"/>
      <c r="SEN73" s="97"/>
      <c r="SEO73" s="97"/>
      <c r="SEP73" s="97"/>
      <c r="SEQ73" s="97"/>
      <c r="SER73" s="97"/>
      <c r="SES73" s="97"/>
      <c r="SET73" s="97"/>
      <c r="SEU73" s="97"/>
      <c r="SEV73" s="97"/>
      <c r="SEW73" s="97"/>
      <c r="SEX73" s="97"/>
      <c r="SEY73" s="97"/>
      <c r="SEZ73" s="97"/>
      <c r="SFA73" s="97"/>
      <c r="SFB73" s="97"/>
      <c r="SFC73" s="97"/>
      <c r="SFD73" s="97"/>
      <c r="SFE73" s="97"/>
      <c r="SFF73" s="97"/>
      <c r="SFG73" s="97"/>
      <c r="SFH73" s="97"/>
      <c r="SFI73" s="97"/>
      <c r="SFJ73" s="97"/>
      <c r="SFK73" s="97"/>
      <c r="SFL73" s="97"/>
      <c r="SFM73" s="97"/>
      <c r="SFN73" s="97"/>
      <c r="SFO73" s="97"/>
      <c r="SFP73" s="97"/>
      <c r="SFQ73" s="97"/>
      <c r="SFR73" s="97"/>
      <c r="SFS73" s="97"/>
      <c r="SFT73" s="97"/>
      <c r="SFU73" s="97"/>
      <c r="SFV73" s="97"/>
      <c r="SFW73" s="97"/>
      <c r="SFX73" s="97"/>
      <c r="SFY73" s="97"/>
      <c r="SFZ73" s="97"/>
      <c r="SGA73" s="97"/>
      <c r="SGB73" s="97"/>
      <c r="SGC73" s="97"/>
      <c r="SGD73" s="97"/>
      <c r="SGE73" s="97"/>
      <c r="SGF73" s="97"/>
      <c r="SGG73" s="97"/>
      <c r="SGH73" s="97"/>
      <c r="SGI73" s="97"/>
      <c r="SGJ73" s="97"/>
      <c r="SGK73" s="97"/>
      <c r="SGL73" s="97"/>
      <c r="SGM73" s="97"/>
      <c r="SGN73" s="97"/>
      <c r="SGO73" s="97"/>
      <c r="SGP73" s="97"/>
      <c r="SGQ73" s="97"/>
      <c r="SGR73" s="97"/>
      <c r="SGS73" s="97"/>
      <c r="SGT73" s="97"/>
      <c r="SGU73" s="97"/>
      <c r="SGV73" s="97"/>
      <c r="SGW73" s="97"/>
      <c r="SGX73" s="97"/>
      <c r="SGY73" s="97"/>
      <c r="SGZ73" s="97"/>
      <c r="SHA73" s="97"/>
      <c r="SHB73" s="97"/>
      <c r="SHC73" s="97"/>
      <c r="SHD73" s="97"/>
      <c r="SHE73" s="97"/>
      <c r="SHF73" s="97"/>
      <c r="SHG73" s="97"/>
      <c r="SHH73" s="97"/>
      <c r="SHI73" s="97"/>
      <c r="SHJ73" s="97"/>
      <c r="SHK73" s="97"/>
      <c r="SHL73" s="97"/>
      <c r="SHM73" s="97"/>
      <c r="SHN73" s="97"/>
      <c r="SHO73" s="97"/>
      <c r="SHP73" s="97"/>
      <c r="SHQ73" s="97"/>
      <c r="SHR73" s="97"/>
      <c r="SHS73" s="97"/>
      <c r="SHT73" s="97"/>
      <c r="SHU73" s="97"/>
      <c r="SHV73" s="97"/>
      <c r="SHW73" s="97"/>
      <c r="SHX73" s="97"/>
      <c r="SHY73" s="97"/>
      <c r="SHZ73" s="97"/>
      <c r="SIA73" s="97"/>
      <c r="SIB73" s="97"/>
      <c r="SIC73" s="97"/>
      <c r="SID73" s="97"/>
      <c r="SIE73" s="97"/>
      <c r="SIF73" s="97"/>
      <c r="SIG73" s="97"/>
      <c r="SIH73" s="97"/>
      <c r="SII73" s="97"/>
      <c r="SIJ73" s="97"/>
      <c r="SIK73" s="97"/>
      <c r="SIL73" s="97"/>
      <c r="SIM73" s="97"/>
      <c r="SIN73" s="97"/>
      <c r="SIO73" s="97"/>
      <c r="SIP73" s="97"/>
      <c r="SIQ73" s="97"/>
      <c r="SIR73" s="97"/>
      <c r="SIS73" s="97"/>
      <c r="SIT73" s="97"/>
      <c r="SIU73" s="97"/>
      <c r="SIV73" s="97"/>
      <c r="SIW73" s="97"/>
      <c r="SIX73" s="97"/>
      <c r="SIY73" s="97"/>
      <c r="SIZ73" s="97"/>
      <c r="SJA73" s="97"/>
      <c r="SJB73" s="97"/>
      <c r="SJC73" s="97"/>
      <c r="SJD73" s="97"/>
      <c r="SJE73" s="97"/>
      <c r="SJF73" s="97"/>
      <c r="SJG73" s="97"/>
      <c r="SJH73" s="97"/>
      <c r="SJI73" s="97"/>
      <c r="SJJ73" s="97"/>
      <c r="SJK73" s="97"/>
      <c r="SJL73" s="97"/>
      <c r="SJM73" s="97"/>
      <c r="SJN73" s="97"/>
      <c r="SJO73" s="97"/>
      <c r="SJP73" s="97"/>
      <c r="SJQ73" s="97"/>
      <c r="SJR73" s="97"/>
      <c r="SJS73" s="97"/>
      <c r="SJT73" s="97"/>
      <c r="SJU73" s="97"/>
      <c r="SJV73" s="97"/>
      <c r="SJW73" s="97"/>
      <c r="SJX73" s="97"/>
      <c r="SJY73" s="97"/>
      <c r="SJZ73" s="97"/>
      <c r="SKA73" s="97"/>
      <c r="SKB73" s="97"/>
      <c r="SKC73" s="97"/>
      <c r="SKD73" s="97"/>
      <c r="SKE73" s="97"/>
      <c r="SKF73" s="97"/>
      <c r="SKG73" s="97"/>
      <c r="SKH73" s="97"/>
      <c r="SKI73" s="97"/>
      <c r="SKJ73" s="97"/>
      <c r="SKK73" s="97"/>
      <c r="SKL73" s="97"/>
      <c r="SKM73" s="97"/>
      <c r="SKN73" s="97"/>
      <c r="SKO73" s="97"/>
      <c r="SKP73" s="97"/>
      <c r="SKQ73" s="97"/>
      <c r="SKR73" s="97"/>
      <c r="SKS73" s="97"/>
      <c r="SKT73" s="97"/>
      <c r="SKU73" s="97"/>
      <c r="SKV73" s="97"/>
      <c r="SKW73" s="97"/>
      <c r="SKX73" s="97"/>
      <c r="SKY73" s="97"/>
      <c r="SKZ73" s="97"/>
      <c r="SLA73" s="97"/>
      <c r="SLB73" s="97"/>
      <c r="SLC73" s="97"/>
      <c r="SLD73" s="97"/>
      <c r="SLE73" s="97"/>
      <c r="SLF73" s="97"/>
      <c r="SLG73" s="97"/>
      <c r="SLH73" s="97"/>
      <c r="SLI73" s="97"/>
      <c r="SLJ73" s="97"/>
      <c r="SLK73" s="97"/>
      <c r="SLL73" s="97"/>
      <c r="SLM73" s="97"/>
      <c r="SLN73" s="97"/>
      <c r="SLO73" s="97"/>
      <c r="SLP73" s="97"/>
      <c r="SLQ73" s="97"/>
      <c r="SLR73" s="97"/>
      <c r="SLS73" s="97"/>
      <c r="SLT73" s="97"/>
      <c r="SLU73" s="97"/>
      <c r="SLV73" s="97"/>
      <c r="SLW73" s="97"/>
      <c r="SLX73" s="97"/>
      <c r="SLY73" s="97"/>
      <c r="SLZ73" s="97"/>
      <c r="SMA73" s="97"/>
      <c r="SMB73" s="97"/>
      <c r="SMC73" s="97"/>
      <c r="SMD73" s="97"/>
      <c r="SME73" s="97"/>
      <c r="SMF73" s="97"/>
      <c r="SMG73" s="97"/>
      <c r="SMH73" s="97"/>
      <c r="SMI73" s="97"/>
      <c r="SMJ73" s="97"/>
      <c r="SMK73" s="97"/>
      <c r="SML73" s="97"/>
      <c r="SMM73" s="97"/>
      <c r="SMN73" s="97"/>
      <c r="SMO73" s="97"/>
      <c r="SMP73" s="97"/>
      <c r="SMQ73" s="97"/>
      <c r="SMR73" s="97"/>
      <c r="SMS73" s="97"/>
      <c r="SMT73" s="97"/>
      <c r="SMU73" s="97"/>
      <c r="SMV73" s="97"/>
      <c r="SMW73" s="97"/>
      <c r="SMX73" s="97"/>
      <c r="SMY73" s="97"/>
      <c r="SMZ73" s="97"/>
      <c r="SNA73" s="97"/>
      <c r="SNB73" s="97"/>
      <c r="SNC73" s="97"/>
      <c r="SND73" s="97"/>
      <c r="SNE73" s="97"/>
      <c r="SNF73" s="97"/>
      <c r="SNG73" s="97"/>
      <c r="SNH73" s="97"/>
      <c r="SNI73" s="97"/>
      <c r="SNJ73" s="97"/>
      <c r="SNK73" s="97"/>
      <c r="SNL73" s="97"/>
      <c r="SNM73" s="97"/>
      <c r="SNN73" s="97"/>
      <c r="SNO73" s="97"/>
      <c r="SNP73" s="97"/>
      <c r="SNQ73" s="97"/>
      <c r="SNR73" s="97"/>
      <c r="SNS73" s="97"/>
      <c r="SNT73" s="97"/>
      <c r="SNU73" s="97"/>
      <c r="SNV73" s="97"/>
      <c r="SNW73" s="97"/>
      <c r="SNX73" s="97"/>
      <c r="SNY73" s="97"/>
      <c r="SNZ73" s="97"/>
      <c r="SOA73" s="97"/>
      <c r="SOB73" s="97"/>
      <c r="SOC73" s="97"/>
      <c r="SOD73" s="97"/>
      <c r="SOE73" s="97"/>
      <c r="SOF73" s="97"/>
      <c r="SOG73" s="97"/>
      <c r="SOH73" s="97"/>
      <c r="SOI73" s="97"/>
      <c r="SOJ73" s="97"/>
      <c r="SOK73" s="97"/>
      <c r="SOL73" s="97"/>
      <c r="SOM73" s="97"/>
      <c r="SON73" s="97"/>
      <c r="SOO73" s="97"/>
      <c r="SOP73" s="97"/>
      <c r="SOQ73" s="97"/>
      <c r="SOR73" s="97"/>
      <c r="SOS73" s="97"/>
      <c r="SOT73" s="97"/>
      <c r="SOU73" s="97"/>
      <c r="SOV73" s="97"/>
      <c r="SOW73" s="97"/>
      <c r="SOX73" s="97"/>
      <c r="SOY73" s="97"/>
      <c r="SOZ73" s="97"/>
      <c r="SPA73" s="97"/>
      <c r="SPB73" s="97"/>
      <c r="SPC73" s="97"/>
      <c r="SPD73" s="97"/>
      <c r="SPE73" s="97"/>
      <c r="SPF73" s="97"/>
      <c r="SPG73" s="97"/>
      <c r="SPH73" s="97"/>
      <c r="SPI73" s="97"/>
      <c r="SPJ73" s="97"/>
      <c r="SPK73" s="97"/>
      <c r="SPL73" s="97"/>
      <c r="SPM73" s="97"/>
      <c r="SPN73" s="97"/>
      <c r="SPO73" s="97"/>
      <c r="SPP73" s="97"/>
      <c r="SPQ73" s="97"/>
      <c r="SPR73" s="97"/>
      <c r="SPS73" s="97"/>
      <c r="SPT73" s="97"/>
      <c r="SPU73" s="97"/>
      <c r="SPV73" s="97"/>
      <c r="SPW73" s="97"/>
      <c r="SPX73" s="97"/>
      <c r="SPY73" s="97"/>
      <c r="SPZ73" s="97"/>
      <c r="SQA73" s="97"/>
      <c r="SQB73" s="97"/>
      <c r="SQC73" s="97"/>
      <c r="SQD73" s="97"/>
      <c r="SQE73" s="97"/>
      <c r="SQF73" s="97"/>
      <c r="SQG73" s="97"/>
      <c r="SQH73" s="97"/>
      <c r="SQI73" s="97"/>
      <c r="SQJ73" s="97"/>
      <c r="SQK73" s="97"/>
      <c r="SQL73" s="97"/>
      <c r="SQM73" s="97"/>
      <c r="SQN73" s="97"/>
      <c r="SQO73" s="97"/>
      <c r="SQP73" s="97"/>
      <c r="SQQ73" s="97"/>
      <c r="SQR73" s="97"/>
      <c r="SQS73" s="97"/>
      <c r="SQT73" s="97"/>
      <c r="SQU73" s="97"/>
      <c r="SQV73" s="97"/>
      <c r="SQW73" s="97"/>
      <c r="SQX73" s="97"/>
      <c r="SQY73" s="97"/>
      <c r="SQZ73" s="97"/>
      <c r="SRA73" s="97"/>
      <c r="SRB73" s="97"/>
      <c r="SRC73" s="97"/>
      <c r="SRD73" s="97"/>
      <c r="SRE73" s="97"/>
      <c r="SRF73" s="97"/>
      <c r="SRG73" s="97"/>
      <c r="SRH73" s="97"/>
      <c r="SRI73" s="97"/>
      <c r="SRJ73" s="97"/>
      <c r="SRK73" s="97"/>
      <c r="SRL73" s="97"/>
      <c r="SRM73" s="97"/>
      <c r="SRN73" s="97"/>
      <c r="SRO73" s="97"/>
      <c r="SRP73" s="97"/>
      <c r="SRQ73" s="97"/>
      <c r="SRR73" s="97"/>
      <c r="SRS73" s="97"/>
      <c r="SRT73" s="97"/>
      <c r="SRU73" s="97"/>
      <c r="SRV73" s="97"/>
      <c r="SRW73" s="97"/>
      <c r="SRX73" s="97"/>
      <c r="SRY73" s="97"/>
      <c r="SRZ73" s="97"/>
      <c r="SSA73" s="97"/>
      <c r="SSB73" s="97"/>
      <c r="SSC73" s="97"/>
      <c r="SSD73" s="97"/>
      <c r="SSE73" s="97"/>
      <c r="SSF73" s="97"/>
      <c r="SSG73" s="97"/>
      <c r="SSH73" s="97"/>
      <c r="SSI73" s="97"/>
      <c r="SSJ73" s="97"/>
      <c r="SSK73" s="97"/>
      <c r="SSL73" s="97"/>
      <c r="SSM73" s="97"/>
      <c r="SSN73" s="97"/>
      <c r="SSO73" s="97"/>
      <c r="SSP73" s="97"/>
      <c r="SSQ73" s="97"/>
      <c r="SSR73" s="97"/>
      <c r="SSS73" s="97"/>
      <c r="SST73" s="97"/>
      <c r="SSU73" s="97"/>
      <c r="SSV73" s="97"/>
      <c r="SSW73" s="97"/>
      <c r="SSX73" s="97"/>
      <c r="SSY73" s="97"/>
      <c r="SSZ73" s="97"/>
      <c r="STA73" s="97"/>
      <c r="STB73" s="97"/>
      <c r="STC73" s="97"/>
      <c r="STD73" s="97"/>
      <c r="STE73" s="97"/>
      <c r="STF73" s="97"/>
      <c r="STG73" s="97"/>
      <c r="STH73" s="97"/>
      <c r="STI73" s="97"/>
      <c r="STJ73" s="97"/>
      <c r="STK73" s="97"/>
      <c r="STL73" s="97"/>
      <c r="STM73" s="97"/>
      <c r="STN73" s="97"/>
      <c r="STO73" s="97"/>
      <c r="STP73" s="97"/>
      <c r="STQ73" s="97"/>
      <c r="STR73" s="97"/>
      <c r="STS73" s="97"/>
      <c r="STT73" s="97"/>
      <c r="STU73" s="97"/>
      <c r="STV73" s="97"/>
      <c r="STW73" s="97"/>
      <c r="STX73" s="97"/>
      <c r="STY73" s="97"/>
      <c r="STZ73" s="97"/>
      <c r="SUA73" s="97"/>
      <c r="SUB73" s="97"/>
      <c r="SUC73" s="97"/>
      <c r="SUD73" s="97"/>
      <c r="SUE73" s="97"/>
      <c r="SUF73" s="97"/>
      <c r="SUG73" s="97"/>
      <c r="SUH73" s="97"/>
      <c r="SUI73" s="97"/>
      <c r="SUJ73" s="97"/>
      <c r="SUK73" s="97"/>
      <c r="SUL73" s="97"/>
      <c r="SUM73" s="97"/>
      <c r="SUN73" s="97"/>
      <c r="SUO73" s="97"/>
      <c r="SUP73" s="97"/>
      <c r="SUQ73" s="97"/>
      <c r="SUR73" s="97"/>
      <c r="SUS73" s="97"/>
      <c r="SUT73" s="97"/>
      <c r="SUU73" s="97"/>
      <c r="SUV73" s="97"/>
      <c r="SUW73" s="97"/>
      <c r="SUX73" s="97"/>
      <c r="SUY73" s="97"/>
      <c r="SUZ73" s="97"/>
      <c r="SVA73" s="97"/>
      <c r="SVB73" s="97"/>
      <c r="SVC73" s="97"/>
      <c r="SVD73" s="97"/>
      <c r="SVE73" s="97"/>
      <c r="SVF73" s="97"/>
      <c r="SVG73" s="97"/>
      <c r="SVH73" s="97"/>
      <c r="SVI73" s="97"/>
      <c r="SVJ73" s="97"/>
      <c r="SVK73" s="97"/>
      <c r="SVL73" s="97"/>
      <c r="SVM73" s="97"/>
      <c r="SVN73" s="97"/>
      <c r="SVO73" s="97"/>
      <c r="SVP73" s="97"/>
      <c r="SVQ73" s="97"/>
      <c r="SVR73" s="97"/>
      <c r="SVS73" s="97"/>
      <c r="SVT73" s="97"/>
      <c r="SVU73" s="97"/>
      <c r="SVV73" s="97"/>
      <c r="SVW73" s="97"/>
      <c r="SVX73" s="97"/>
      <c r="SVY73" s="97"/>
      <c r="SVZ73" s="97"/>
      <c r="SWA73" s="97"/>
      <c r="SWB73" s="97"/>
      <c r="SWC73" s="97"/>
      <c r="SWD73" s="97"/>
      <c r="SWE73" s="97"/>
      <c r="SWF73" s="97"/>
      <c r="SWG73" s="97"/>
      <c r="SWH73" s="97"/>
      <c r="SWI73" s="97"/>
      <c r="SWJ73" s="97"/>
      <c r="SWK73" s="97"/>
      <c r="SWL73" s="97"/>
      <c r="SWM73" s="97"/>
      <c r="SWN73" s="97"/>
      <c r="SWO73" s="97"/>
      <c r="SWP73" s="97"/>
      <c r="SWQ73" s="97"/>
      <c r="SWR73" s="97"/>
      <c r="SWS73" s="97"/>
      <c r="SWT73" s="97"/>
      <c r="SWU73" s="97"/>
      <c r="SWV73" s="97"/>
      <c r="SWW73" s="97"/>
      <c r="SWX73" s="97"/>
      <c r="SWY73" s="97"/>
      <c r="SWZ73" s="97"/>
      <c r="SXA73" s="97"/>
      <c r="SXB73" s="97"/>
      <c r="SXC73" s="97"/>
      <c r="SXD73" s="97"/>
      <c r="SXE73" s="97"/>
      <c r="SXF73" s="97"/>
      <c r="SXG73" s="97"/>
      <c r="SXH73" s="97"/>
      <c r="SXI73" s="97"/>
      <c r="SXJ73" s="97"/>
      <c r="SXK73" s="97"/>
      <c r="SXL73" s="97"/>
      <c r="SXM73" s="97"/>
      <c r="SXN73" s="97"/>
      <c r="SXO73" s="97"/>
      <c r="SXP73" s="97"/>
      <c r="SXQ73" s="97"/>
      <c r="SXR73" s="97"/>
      <c r="SXS73" s="97"/>
      <c r="SXT73" s="97"/>
      <c r="SXU73" s="97"/>
      <c r="SXV73" s="97"/>
      <c r="SXW73" s="97"/>
      <c r="SXX73" s="97"/>
      <c r="SXY73" s="97"/>
      <c r="SXZ73" s="97"/>
      <c r="SYA73" s="97"/>
      <c r="SYB73" s="97"/>
      <c r="SYC73" s="97"/>
      <c r="SYD73" s="97"/>
      <c r="SYE73" s="97"/>
      <c r="SYF73" s="97"/>
      <c r="SYG73" s="97"/>
      <c r="SYH73" s="97"/>
      <c r="SYI73" s="97"/>
      <c r="SYJ73" s="97"/>
      <c r="SYK73" s="97"/>
      <c r="SYL73" s="97"/>
      <c r="SYM73" s="97"/>
      <c r="SYN73" s="97"/>
      <c r="SYO73" s="97"/>
      <c r="SYP73" s="97"/>
      <c r="SYQ73" s="97"/>
      <c r="SYR73" s="97"/>
      <c r="SYS73" s="97"/>
      <c r="SYT73" s="97"/>
      <c r="SYU73" s="97"/>
      <c r="SYV73" s="97"/>
      <c r="SYW73" s="97"/>
      <c r="SYX73" s="97"/>
      <c r="SYY73" s="97"/>
      <c r="SYZ73" s="97"/>
      <c r="SZA73" s="97"/>
      <c r="SZB73" s="97"/>
      <c r="SZC73" s="97"/>
      <c r="SZD73" s="97"/>
      <c r="SZE73" s="97"/>
      <c r="SZF73" s="97"/>
      <c r="SZG73" s="97"/>
      <c r="SZH73" s="97"/>
      <c r="SZI73" s="97"/>
      <c r="SZJ73" s="97"/>
      <c r="SZK73" s="97"/>
      <c r="SZL73" s="97"/>
      <c r="SZM73" s="97"/>
      <c r="SZN73" s="97"/>
      <c r="SZO73" s="97"/>
      <c r="SZP73" s="97"/>
      <c r="SZQ73" s="97"/>
      <c r="SZR73" s="97"/>
      <c r="SZS73" s="97"/>
      <c r="SZT73" s="97"/>
      <c r="SZU73" s="97"/>
      <c r="SZV73" s="97"/>
      <c r="SZW73" s="97"/>
      <c r="SZX73" s="97"/>
      <c r="SZY73" s="97"/>
      <c r="SZZ73" s="97"/>
      <c r="TAA73" s="97"/>
      <c r="TAB73" s="97"/>
      <c r="TAC73" s="97"/>
      <c r="TAD73" s="97"/>
      <c r="TAE73" s="97"/>
      <c r="TAF73" s="97"/>
      <c r="TAG73" s="97"/>
      <c r="TAH73" s="97"/>
      <c r="TAI73" s="97"/>
      <c r="TAJ73" s="97"/>
      <c r="TAK73" s="97"/>
      <c r="TAL73" s="97"/>
      <c r="TAM73" s="97"/>
      <c r="TAN73" s="97"/>
      <c r="TAO73" s="97"/>
      <c r="TAP73" s="97"/>
      <c r="TAQ73" s="97"/>
      <c r="TAR73" s="97"/>
      <c r="TAS73" s="97"/>
      <c r="TAT73" s="97"/>
      <c r="TAU73" s="97"/>
      <c r="TAV73" s="97"/>
      <c r="TAW73" s="97"/>
      <c r="TAX73" s="97"/>
      <c r="TAY73" s="97"/>
      <c r="TAZ73" s="97"/>
      <c r="TBA73" s="97"/>
      <c r="TBB73" s="97"/>
      <c r="TBC73" s="97"/>
      <c r="TBD73" s="97"/>
      <c r="TBE73" s="97"/>
      <c r="TBF73" s="97"/>
      <c r="TBG73" s="97"/>
      <c r="TBH73" s="97"/>
      <c r="TBI73" s="97"/>
      <c r="TBJ73" s="97"/>
      <c r="TBK73" s="97"/>
      <c r="TBL73" s="97"/>
      <c r="TBM73" s="97"/>
      <c r="TBN73" s="97"/>
      <c r="TBO73" s="97"/>
      <c r="TBP73" s="97"/>
      <c r="TBQ73" s="97"/>
      <c r="TBR73" s="97"/>
      <c r="TBS73" s="97"/>
      <c r="TBT73" s="97"/>
      <c r="TBU73" s="97"/>
      <c r="TBV73" s="97"/>
      <c r="TBW73" s="97"/>
      <c r="TBX73" s="97"/>
      <c r="TBY73" s="97"/>
      <c r="TBZ73" s="97"/>
      <c r="TCA73" s="97"/>
      <c r="TCB73" s="97"/>
      <c r="TCC73" s="97"/>
      <c r="TCD73" s="97"/>
      <c r="TCE73" s="97"/>
      <c r="TCF73" s="97"/>
      <c r="TCG73" s="97"/>
      <c r="TCH73" s="97"/>
      <c r="TCI73" s="97"/>
      <c r="TCJ73" s="97"/>
      <c r="TCK73" s="97"/>
      <c r="TCL73" s="97"/>
      <c r="TCM73" s="97"/>
      <c r="TCN73" s="97"/>
      <c r="TCO73" s="97"/>
      <c r="TCP73" s="97"/>
      <c r="TCQ73" s="97"/>
      <c r="TCR73" s="97"/>
      <c r="TCS73" s="97"/>
      <c r="TCT73" s="97"/>
      <c r="TCU73" s="97"/>
      <c r="TCV73" s="97"/>
      <c r="TCW73" s="97"/>
      <c r="TCX73" s="97"/>
      <c r="TCY73" s="97"/>
      <c r="TCZ73" s="97"/>
      <c r="TDA73" s="97"/>
      <c r="TDB73" s="97"/>
      <c r="TDC73" s="97"/>
      <c r="TDD73" s="97"/>
      <c r="TDE73" s="97"/>
      <c r="TDF73" s="97"/>
      <c r="TDG73" s="97"/>
      <c r="TDH73" s="97"/>
      <c r="TDI73" s="97"/>
      <c r="TDJ73" s="97"/>
      <c r="TDK73" s="97"/>
      <c r="TDL73" s="97"/>
      <c r="TDM73" s="97"/>
      <c r="TDN73" s="97"/>
      <c r="TDO73" s="97"/>
      <c r="TDP73" s="97"/>
      <c r="TDQ73" s="97"/>
      <c r="TDR73" s="97"/>
      <c r="TDS73" s="97"/>
      <c r="TDT73" s="97"/>
      <c r="TDU73" s="97"/>
      <c r="TDV73" s="97"/>
      <c r="TDW73" s="97"/>
      <c r="TDX73" s="97"/>
      <c r="TDY73" s="97"/>
      <c r="TDZ73" s="97"/>
      <c r="TEA73" s="97"/>
      <c r="TEB73" s="97"/>
      <c r="TEC73" s="97"/>
      <c r="TED73" s="97"/>
      <c r="TEE73" s="97"/>
      <c r="TEF73" s="97"/>
      <c r="TEG73" s="97"/>
      <c r="TEH73" s="97"/>
      <c r="TEI73" s="97"/>
      <c r="TEJ73" s="97"/>
      <c r="TEK73" s="97"/>
      <c r="TEL73" s="97"/>
      <c r="TEM73" s="97"/>
      <c r="TEN73" s="97"/>
      <c r="TEO73" s="97"/>
      <c r="TEP73" s="97"/>
      <c r="TEQ73" s="97"/>
      <c r="TER73" s="97"/>
      <c r="TES73" s="97"/>
      <c r="TET73" s="97"/>
      <c r="TEU73" s="97"/>
      <c r="TEV73" s="97"/>
      <c r="TEW73" s="97"/>
      <c r="TEX73" s="97"/>
      <c r="TEY73" s="97"/>
      <c r="TEZ73" s="97"/>
      <c r="TFA73" s="97"/>
      <c r="TFB73" s="97"/>
      <c r="TFC73" s="97"/>
      <c r="TFD73" s="97"/>
      <c r="TFE73" s="97"/>
      <c r="TFF73" s="97"/>
      <c r="TFG73" s="97"/>
      <c r="TFH73" s="97"/>
      <c r="TFI73" s="97"/>
      <c r="TFJ73" s="97"/>
      <c r="TFK73" s="97"/>
      <c r="TFL73" s="97"/>
      <c r="TFM73" s="97"/>
      <c r="TFN73" s="97"/>
      <c r="TFO73" s="97"/>
      <c r="TFP73" s="97"/>
      <c r="TFQ73" s="97"/>
      <c r="TFR73" s="97"/>
      <c r="TFS73" s="97"/>
      <c r="TFT73" s="97"/>
      <c r="TFU73" s="97"/>
      <c r="TFV73" s="97"/>
      <c r="TFW73" s="97"/>
      <c r="TFX73" s="97"/>
      <c r="TFY73" s="97"/>
      <c r="TFZ73" s="97"/>
      <c r="TGA73" s="97"/>
      <c r="TGB73" s="97"/>
      <c r="TGC73" s="97"/>
      <c r="TGD73" s="97"/>
      <c r="TGE73" s="97"/>
      <c r="TGF73" s="97"/>
      <c r="TGG73" s="97"/>
      <c r="TGH73" s="97"/>
      <c r="TGI73" s="97"/>
      <c r="TGJ73" s="97"/>
      <c r="TGK73" s="97"/>
      <c r="TGL73" s="97"/>
      <c r="TGM73" s="97"/>
      <c r="TGN73" s="97"/>
      <c r="TGO73" s="97"/>
      <c r="TGP73" s="97"/>
      <c r="TGQ73" s="97"/>
      <c r="TGR73" s="97"/>
      <c r="TGS73" s="97"/>
      <c r="TGT73" s="97"/>
      <c r="TGU73" s="97"/>
      <c r="TGV73" s="97"/>
      <c r="TGW73" s="97"/>
      <c r="TGX73" s="97"/>
      <c r="TGY73" s="97"/>
      <c r="TGZ73" s="97"/>
      <c r="THA73" s="97"/>
      <c r="THB73" s="97"/>
      <c r="THC73" s="97"/>
      <c r="THD73" s="97"/>
      <c r="THE73" s="97"/>
      <c r="THF73" s="97"/>
      <c r="THG73" s="97"/>
      <c r="THH73" s="97"/>
      <c r="THI73" s="97"/>
      <c r="THJ73" s="97"/>
      <c r="THK73" s="97"/>
      <c r="THL73" s="97"/>
      <c r="THM73" s="97"/>
      <c r="THN73" s="97"/>
      <c r="THO73" s="97"/>
      <c r="THP73" s="97"/>
      <c r="THQ73" s="97"/>
      <c r="THR73" s="97"/>
      <c r="THS73" s="97"/>
      <c r="THT73" s="97"/>
      <c r="THU73" s="97"/>
      <c r="THV73" s="97"/>
      <c r="THW73" s="97"/>
      <c r="THX73" s="97"/>
      <c r="THY73" s="97"/>
      <c r="THZ73" s="97"/>
      <c r="TIA73" s="97"/>
      <c r="TIB73" s="97"/>
      <c r="TIC73" s="97"/>
      <c r="TID73" s="97"/>
      <c r="TIE73" s="97"/>
      <c r="TIF73" s="97"/>
      <c r="TIG73" s="97"/>
      <c r="TIH73" s="97"/>
      <c r="TII73" s="97"/>
      <c r="TIJ73" s="97"/>
      <c r="TIK73" s="97"/>
      <c r="TIL73" s="97"/>
      <c r="TIM73" s="97"/>
      <c r="TIN73" s="97"/>
      <c r="TIO73" s="97"/>
      <c r="TIP73" s="97"/>
      <c r="TIQ73" s="97"/>
      <c r="TIR73" s="97"/>
      <c r="TIS73" s="97"/>
      <c r="TIT73" s="97"/>
      <c r="TIU73" s="97"/>
      <c r="TIV73" s="97"/>
      <c r="TIW73" s="97"/>
      <c r="TIX73" s="97"/>
      <c r="TIY73" s="97"/>
      <c r="TIZ73" s="97"/>
      <c r="TJA73" s="97"/>
      <c r="TJB73" s="97"/>
      <c r="TJC73" s="97"/>
      <c r="TJD73" s="97"/>
      <c r="TJE73" s="97"/>
      <c r="TJF73" s="97"/>
      <c r="TJG73" s="97"/>
      <c r="TJH73" s="97"/>
      <c r="TJI73" s="97"/>
      <c r="TJJ73" s="97"/>
      <c r="TJK73" s="97"/>
      <c r="TJL73" s="97"/>
      <c r="TJM73" s="97"/>
      <c r="TJN73" s="97"/>
      <c r="TJO73" s="97"/>
      <c r="TJP73" s="97"/>
      <c r="TJQ73" s="97"/>
      <c r="TJR73" s="97"/>
      <c r="TJS73" s="97"/>
      <c r="TJT73" s="97"/>
      <c r="TJU73" s="97"/>
      <c r="TJV73" s="97"/>
      <c r="TJW73" s="97"/>
      <c r="TJX73" s="97"/>
      <c r="TJY73" s="97"/>
      <c r="TJZ73" s="97"/>
      <c r="TKA73" s="97"/>
      <c r="TKB73" s="97"/>
      <c r="TKC73" s="97"/>
      <c r="TKD73" s="97"/>
      <c r="TKE73" s="97"/>
      <c r="TKF73" s="97"/>
      <c r="TKG73" s="97"/>
      <c r="TKH73" s="97"/>
      <c r="TKI73" s="97"/>
      <c r="TKJ73" s="97"/>
      <c r="TKK73" s="97"/>
      <c r="TKL73" s="97"/>
      <c r="TKM73" s="97"/>
      <c r="TKN73" s="97"/>
      <c r="TKO73" s="97"/>
      <c r="TKP73" s="97"/>
      <c r="TKQ73" s="97"/>
      <c r="TKR73" s="97"/>
      <c r="TKS73" s="97"/>
      <c r="TKT73" s="97"/>
      <c r="TKU73" s="97"/>
      <c r="TKV73" s="97"/>
      <c r="TKW73" s="97"/>
      <c r="TKX73" s="97"/>
      <c r="TKY73" s="97"/>
      <c r="TKZ73" s="97"/>
      <c r="TLA73" s="97"/>
      <c r="TLB73" s="97"/>
      <c r="TLC73" s="97"/>
      <c r="TLD73" s="97"/>
      <c r="TLE73" s="97"/>
      <c r="TLF73" s="97"/>
      <c r="TLG73" s="97"/>
      <c r="TLH73" s="97"/>
      <c r="TLI73" s="97"/>
      <c r="TLJ73" s="97"/>
      <c r="TLK73" s="97"/>
      <c r="TLL73" s="97"/>
      <c r="TLM73" s="97"/>
      <c r="TLN73" s="97"/>
      <c r="TLO73" s="97"/>
      <c r="TLP73" s="97"/>
      <c r="TLQ73" s="97"/>
      <c r="TLR73" s="97"/>
      <c r="TLS73" s="97"/>
      <c r="TLT73" s="97"/>
      <c r="TLU73" s="97"/>
      <c r="TLV73" s="97"/>
      <c r="TLW73" s="97"/>
      <c r="TLX73" s="97"/>
      <c r="TLY73" s="97"/>
      <c r="TLZ73" s="97"/>
      <c r="TMA73" s="97"/>
      <c r="TMB73" s="97"/>
      <c r="TMC73" s="97"/>
      <c r="TMD73" s="97"/>
      <c r="TME73" s="97"/>
      <c r="TMF73" s="97"/>
      <c r="TMG73" s="97"/>
      <c r="TMH73" s="97"/>
      <c r="TMI73" s="97"/>
      <c r="TMJ73" s="97"/>
      <c r="TMK73" s="97"/>
      <c r="TML73" s="97"/>
      <c r="TMM73" s="97"/>
      <c r="TMN73" s="97"/>
      <c r="TMO73" s="97"/>
      <c r="TMP73" s="97"/>
      <c r="TMQ73" s="97"/>
      <c r="TMR73" s="97"/>
      <c r="TMS73" s="97"/>
      <c r="TMT73" s="97"/>
      <c r="TMU73" s="97"/>
      <c r="TMV73" s="97"/>
      <c r="TMW73" s="97"/>
      <c r="TMX73" s="97"/>
      <c r="TMY73" s="97"/>
      <c r="TMZ73" s="97"/>
      <c r="TNA73" s="97"/>
      <c r="TNB73" s="97"/>
      <c r="TNC73" s="97"/>
      <c r="TND73" s="97"/>
      <c r="TNE73" s="97"/>
      <c r="TNF73" s="97"/>
      <c r="TNG73" s="97"/>
      <c r="TNH73" s="97"/>
      <c r="TNI73" s="97"/>
      <c r="TNJ73" s="97"/>
      <c r="TNK73" s="97"/>
      <c r="TNL73" s="97"/>
      <c r="TNM73" s="97"/>
      <c r="TNN73" s="97"/>
      <c r="TNO73" s="97"/>
      <c r="TNP73" s="97"/>
      <c r="TNQ73" s="97"/>
      <c r="TNR73" s="97"/>
      <c r="TNS73" s="97"/>
      <c r="TNT73" s="97"/>
      <c r="TNU73" s="97"/>
      <c r="TNV73" s="97"/>
      <c r="TNW73" s="97"/>
      <c r="TNX73" s="97"/>
      <c r="TNY73" s="97"/>
      <c r="TNZ73" s="97"/>
      <c r="TOA73" s="97"/>
      <c r="TOB73" s="97"/>
      <c r="TOC73" s="97"/>
      <c r="TOD73" s="97"/>
      <c r="TOE73" s="97"/>
      <c r="TOF73" s="97"/>
      <c r="TOG73" s="97"/>
      <c r="TOH73" s="97"/>
      <c r="TOI73" s="97"/>
      <c r="TOJ73" s="97"/>
      <c r="TOK73" s="97"/>
      <c r="TOL73" s="97"/>
      <c r="TOM73" s="97"/>
      <c r="TON73" s="97"/>
      <c r="TOO73" s="97"/>
      <c r="TOP73" s="97"/>
      <c r="TOQ73" s="97"/>
      <c r="TOR73" s="97"/>
      <c r="TOS73" s="97"/>
      <c r="TOT73" s="97"/>
      <c r="TOU73" s="97"/>
      <c r="TOV73" s="97"/>
      <c r="TOW73" s="97"/>
      <c r="TOX73" s="97"/>
      <c r="TOY73" s="97"/>
      <c r="TOZ73" s="97"/>
      <c r="TPA73" s="97"/>
      <c r="TPB73" s="97"/>
      <c r="TPC73" s="97"/>
      <c r="TPD73" s="97"/>
      <c r="TPE73" s="97"/>
      <c r="TPF73" s="97"/>
      <c r="TPG73" s="97"/>
      <c r="TPH73" s="97"/>
      <c r="TPI73" s="97"/>
      <c r="TPJ73" s="97"/>
      <c r="TPK73" s="97"/>
      <c r="TPL73" s="97"/>
      <c r="TPM73" s="97"/>
      <c r="TPN73" s="97"/>
      <c r="TPO73" s="97"/>
      <c r="TPP73" s="97"/>
      <c r="TPQ73" s="97"/>
      <c r="TPR73" s="97"/>
      <c r="TPS73" s="97"/>
      <c r="TPT73" s="97"/>
      <c r="TPU73" s="97"/>
      <c r="TPV73" s="97"/>
      <c r="TPW73" s="97"/>
      <c r="TPX73" s="97"/>
      <c r="TPY73" s="97"/>
      <c r="TPZ73" s="97"/>
      <c r="TQA73" s="97"/>
      <c r="TQB73" s="97"/>
      <c r="TQC73" s="97"/>
      <c r="TQD73" s="97"/>
      <c r="TQE73" s="97"/>
      <c r="TQF73" s="97"/>
      <c r="TQG73" s="97"/>
      <c r="TQH73" s="97"/>
      <c r="TQI73" s="97"/>
      <c r="TQJ73" s="97"/>
      <c r="TQK73" s="97"/>
      <c r="TQL73" s="97"/>
      <c r="TQM73" s="97"/>
      <c r="TQN73" s="97"/>
      <c r="TQO73" s="97"/>
      <c r="TQP73" s="97"/>
      <c r="TQQ73" s="97"/>
      <c r="TQR73" s="97"/>
      <c r="TQS73" s="97"/>
      <c r="TQT73" s="97"/>
      <c r="TQU73" s="97"/>
      <c r="TQV73" s="97"/>
      <c r="TQW73" s="97"/>
      <c r="TQX73" s="97"/>
      <c r="TQY73" s="97"/>
      <c r="TQZ73" s="97"/>
      <c r="TRA73" s="97"/>
      <c r="TRB73" s="97"/>
      <c r="TRC73" s="97"/>
      <c r="TRD73" s="97"/>
      <c r="TRE73" s="97"/>
      <c r="TRF73" s="97"/>
      <c r="TRG73" s="97"/>
      <c r="TRH73" s="97"/>
      <c r="TRI73" s="97"/>
      <c r="TRJ73" s="97"/>
      <c r="TRK73" s="97"/>
      <c r="TRL73" s="97"/>
      <c r="TRM73" s="97"/>
      <c r="TRN73" s="97"/>
      <c r="TRO73" s="97"/>
      <c r="TRP73" s="97"/>
      <c r="TRQ73" s="97"/>
      <c r="TRR73" s="97"/>
      <c r="TRS73" s="97"/>
      <c r="TRT73" s="97"/>
      <c r="TRU73" s="97"/>
      <c r="TRV73" s="97"/>
      <c r="TRW73" s="97"/>
      <c r="TRX73" s="97"/>
      <c r="TRY73" s="97"/>
      <c r="TRZ73" s="97"/>
      <c r="TSA73" s="97"/>
      <c r="TSB73" s="97"/>
      <c r="TSC73" s="97"/>
      <c r="TSD73" s="97"/>
      <c r="TSE73" s="97"/>
      <c r="TSF73" s="97"/>
      <c r="TSG73" s="97"/>
      <c r="TSH73" s="97"/>
      <c r="TSI73" s="97"/>
      <c r="TSJ73" s="97"/>
      <c r="TSK73" s="97"/>
      <c r="TSL73" s="97"/>
      <c r="TSM73" s="97"/>
      <c r="TSN73" s="97"/>
      <c r="TSO73" s="97"/>
      <c r="TSP73" s="97"/>
      <c r="TSQ73" s="97"/>
      <c r="TSR73" s="97"/>
      <c r="TSS73" s="97"/>
      <c r="TST73" s="97"/>
      <c r="TSU73" s="97"/>
      <c r="TSV73" s="97"/>
      <c r="TSW73" s="97"/>
      <c r="TSX73" s="97"/>
      <c r="TSY73" s="97"/>
      <c r="TSZ73" s="97"/>
      <c r="TTA73" s="97"/>
      <c r="TTB73" s="97"/>
      <c r="TTC73" s="97"/>
      <c r="TTD73" s="97"/>
      <c r="TTE73" s="97"/>
      <c r="TTF73" s="97"/>
      <c r="TTG73" s="97"/>
      <c r="TTH73" s="97"/>
      <c r="TTI73" s="97"/>
      <c r="TTJ73" s="97"/>
      <c r="TTK73" s="97"/>
      <c r="TTL73" s="97"/>
      <c r="TTM73" s="97"/>
      <c r="TTN73" s="97"/>
      <c r="TTO73" s="97"/>
      <c r="TTP73" s="97"/>
      <c r="TTQ73" s="97"/>
      <c r="TTR73" s="97"/>
      <c r="TTS73" s="97"/>
      <c r="TTT73" s="97"/>
      <c r="TTU73" s="97"/>
      <c r="TTV73" s="97"/>
      <c r="TTW73" s="97"/>
      <c r="TTX73" s="97"/>
      <c r="TTY73" s="97"/>
      <c r="TTZ73" s="97"/>
      <c r="TUA73" s="97"/>
      <c r="TUB73" s="97"/>
      <c r="TUC73" s="97"/>
      <c r="TUD73" s="97"/>
      <c r="TUE73" s="97"/>
      <c r="TUF73" s="97"/>
      <c r="TUG73" s="97"/>
      <c r="TUH73" s="97"/>
      <c r="TUI73" s="97"/>
      <c r="TUJ73" s="97"/>
      <c r="TUK73" s="97"/>
      <c r="TUL73" s="97"/>
      <c r="TUM73" s="97"/>
      <c r="TUN73" s="97"/>
      <c r="TUO73" s="97"/>
      <c r="TUP73" s="97"/>
      <c r="TUQ73" s="97"/>
      <c r="TUR73" s="97"/>
      <c r="TUS73" s="97"/>
      <c r="TUT73" s="97"/>
      <c r="TUU73" s="97"/>
      <c r="TUV73" s="97"/>
      <c r="TUW73" s="97"/>
      <c r="TUX73" s="97"/>
      <c r="TUY73" s="97"/>
      <c r="TUZ73" s="97"/>
      <c r="TVA73" s="97"/>
      <c r="TVB73" s="97"/>
      <c r="TVC73" s="97"/>
      <c r="TVD73" s="97"/>
      <c r="TVE73" s="97"/>
      <c r="TVF73" s="97"/>
      <c r="TVG73" s="97"/>
      <c r="TVH73" s="97"/>
      <c r="TVI73" s="97"/>
      <c r="TVJ73" s="97"/>
      <c r="TVK73" s="97"/>
      <c r="TVL73" s="97"/>
      <c r="TVM73" s="97"/>
      <c r="TVN73" s="97"/>
      <c r="TVO73" s="97"/>
      <c r="TVP73" s="97"/>
      <c r="TVQ73" s="97"/>
      <c r="TVR73" s="97"/>
      <c r="TVS73" s="97"/>
      <c r="TVT73" s="97"/>
      <c r="TVU73" s="97"/>
      <c r="TVV73" s="97"/>
      <c r="TVW73" s="97"/>
      <c r="TVX73" s="97"/>
      <c r="TVY73" s="97"/>
      <c r="TVZ73" s="97"/>
      <c r="TWA73" s="97"/>
      <c r="TWB73" s="97"/>
      <c r="TWC73" s="97"/>
      <c r="TWD73" s="97"/>
      <c r="TWE73" s="97"/>
      <c r="TWF73" s="97"/>
      <c r="TWG73" s="97"/>
      <c r="TWH73" s="97"/>
      <c r="TWI73" s="97"/>
      <c r="TWJ73" s="97"/>
      <c r="TWK73" s="97"/>
      <c r="TWL73" s="97"/>
      <c r="TWM73" s="97"/>
      <c r="TWN73" s="97"/>
      <c r="TWO73" s="97"/>
      <c r="TWP73" s="97"/>
      <c r="TWQ73" s="97"/>
      <c r="TWR73" s="97"/>
      <c r="TWS73" s="97"/>
      <c r="TWT73" s="97"/>
      <c r="TWU73" s="97"/>
      <c r="TWV73" s="97"/>
      <c r="TWW73" s="97"/>
      <c r="TWX73" s="97"/>
      <c r="TWY73" s="97"/>
      <c r="TWZ73" s="97"/>
      <c r="TXA73" s="97"/>
      <c r="TXB73" s="97"/>
      <c r="TXC73" s="97"/>
      <c r="TXD73" s="97"/>
      <c r="TXE73" s="97"/>
      <c r="TXF73" s="97"/>
      <c r="TXG73" s="97"/>
      <c r="TXH73" s="97"/>
      <c r="TXI73" s="97"/>
      <c r="TXJ73" s="97"/>
      <c r="TXK73" s="97"/>
      <c r="TXL73" s="97"/>
      <c r="TXM73" s="97"/>
      <c r="TXN73" s="97"/>
      <c r="TXO73" s="97"/>
      <c r="TXP73" s="97"/>
      <c r="TXQ73" s="97"/>
      <c r="TXR73" s="97"/>
      <c r="TXS73" s="97"/>
      <c r="TXT73" s="97"/>
      <c r="TXU73" s="97"/>
      <c r="TXV73" s="97"/>
      <c r="TXW73" s="97"/>
      <c r="TXX73" s="97"/>
      <c r="TXY73" s="97"/>
      <c r="TXZ73" s="97"/>
      <c r="TYA73" s="97"/>
      <c r="TYB73" s="97"/>
      <c r="TYC73" s="97"/>
      <c r="TYD73" s="97"/>
      <c r="TYE73" s="97"/>
      <c r="TYF73" s="97"/>
      <c r="TYG73" s="97"/>
      <c r="TYH73" s="97"/>
      <c r="TYI73" s="97"/>
      <c r="TYJ73" s="97"/>
      <c r="TYK73" s="97"/>
      <c r="TYL73" s="97"/>
      <c r="TYM73" s="97"/>
      <c r="TYN73" s="97"/>
      <c r="TYO73" s="97"/>
      <c r="TYP73" s="97"/>
      <c r="TYQ73" s="97"/>
      <c r="TYR73" s="97"/>
      <c r="TYS73" s="97"/>
      <c r="TYT73" s="97"/>
      <c r="TYU73" s="97"/>
      <c r="TYV73" s="97"/>
      <c r="TYW73" s="97"/>
      <c r="TYX73" s="97"/>
      <c r="TYY73" s="97"/>
      <c r="TYZ73" s="97"/>
      <c r="TZA73" s="97"/>
      <c r="TZB73" s="97"/>
      <c r="TZC73" s="97"/>
      <c r="TZD73" s="97"/>
      <c r="TZE73" s="97"/>
      <c r="TZF73" s="97"/>
      <c r="TZG73" s="97"/>
      <c r="TZH73" s="97"/>
      <c r="TZI73" s="97"/>
      <c r="TZJ73" s="97"/>
      <c r="TZK73" s="97"/>
      <c r="TZL73" s="97"/>
      <c r="TZM73" s="97"/>
      <c r="TZN73" s="97"/>
      <c r="TZO73" s="97"/>
      <c r="TZP73" s="97"/>
      <c r="TZQ73" s="97"/>
      <c r="TZR73" s="97"/>
      <c r="TZS73" s="97"/>
      <c r="TZT73" s="97"/>
      <c r="TZU73" s="97"/>
      <c r="TZV73" s="97"/>
      <c r="TZW73" s="97"/>
      <c r="TZX73" s="97"/>
      <c r="TZY73" s="97"/>
      <c r="TZZ73" s="97"/>
      <c r="UAA73" s="97"/>
      <c r="UAB73" s="97"/>
      <c r="UAC73" s="97"/>
      <c r="UAD73" s="97"/>
      <c r="UAE73" s="97"/>
      <c r="UAF73" s="97"/>
      <c r="UAG73" s="97"/>
      <c r="UAH73" s="97"/>
      <c r="UAI73" s="97"/>
      <c r="UAJ73" s="97"/>
      <c r="UAK73" s="97"/>
      <c r="UAL73" s="97"/>
      <c r="UAM73" s="97"/>
      <c r="UAN73" s="97"/>
      <c r="UAO73" s="97"/>
      <c r="UAP73" s="97"/>
      <c r="UAQ73" s="97"/>
      <c r="UAR73" s="97"/>
      <c r="UAS73" s="97"/>
      <c r="UAT73" s="97"/>
      <c r="UAU73" s="97"/>
      <c r="UAV73" s="97"/>
      <c r="UAW73" s="97"/>
      <c r="UAX73" s="97"/>
      <c r="UAY73" s="97"/>
      <c r="UAZ73" s="97"/>
      <c r="UBA73" s="97"/>
      <c r="UBB73" s="97"/>
      <c r="UBC73" s="97"/>
      <c r="UBD73" s="97"/>
      <c r="UBE73" s="97"/>
      <c r="UBF73" s="97"/>
      <c r="UBG73" s="97"/>
      <c r="UBH73" s="97"/>
      <c r="UBI73" s="97"/>
      <c r="UBJ73" s="97"/>
      <c r="UBK73" s="97"/>
      <c r="UBL73" s="97"/>
      <c r="UBM73" s="97"/>
      <c r="UBN73" s="97"/>
      <c r="UBO73" s="97"/>
      <c r="UBP73" s="97"/>
      <c r="UBQ73" s="97"/>
      <c r="UBR73" s="97"/>
      <c r="UBS73" s="97"/>
      <c r="UBT73" s="97"/>
      <c r="UBU73" s="97"/>
      <c r="UBV73" s="97"/>
      <c r="UBW73" s="97"/>
      <c r="UBX73" s="97"/>
      <c r="UBY73" s="97"/>
      <c r="UBZ73" s="97"/>
      <c r="UCA73" s="97"/>
      <c r="UCB73" s="97"/>
      <c r="UCC73" s="97"/>
      <c r="UCD73" s="97"/>
      <c r="UCE73" s="97"/>
      <c r="UCF73" s="97"/>
      <c r="UCG73" s="97"/>
      <c r="UCH73" s="97"/>
      <c r="UCI73" s="97"/>
      <c r="UCJ73" s="97"/>
      <c r="UCK73" s="97"/>
      <c r="UCL73" s="97"/>
      <c r="UCM73" s="97"/>
      <c r="UCN73" s="97"/>
      <c r="UCO73" s="97"/>
      <c r="UCP73" s="97"/>
      <c r="UCQ73" s="97"/>
      <c r="UCR73" s="97"/>
      <c r="UCS73" s="97"/>
      <c r="UCT73" s="97"/>
      <c r="UCU73" s="97"/>
      <c r="UCV73" s="97"/>
      <c r="UCW73" s="97"/>
      <c r="UCX73" s="97"/>
      <c r="UCY73" s="97"/>
      <c r="UCZ73" s="97"/>
      <c r="UDA73" s="97"/>
      <c r="UDB73" s="97"/>
      <c r="UDC73" s="97"/>
      <c r="UDD73" s="97"/>
      <c r="UDE73" s="97"/>
      <c r="UDF73" s="97"/>
      <c r="UDG73" s="97"/>
      <c r="UDH73" s="97"/>
      <c r="UDI73" s="97"/>
      <c r="UDJ73" s="97"/>
      <c r="UDK73" s="97"/>
      <c r="UDL73" s="97"/>
      <c r="UDM73" s="97"/>
      <c r="UDN73" s="97"/>
      <c r="UDO73" s="97"/>
      <c r="UDP73" s="97"/>
      <c r="UDQ73" s="97"/>
      <c r="UDR73" s="97"/>
      <c r="UDS73" s="97"/>
      <c r="UDT73" s="97"/>
      <c r="UDU73" s="97"/>
      <c r="UDV73" s="97"/>
      <c r="UDW73" s="97"/>
      <c r="UDX73" s="97"/>
      <c r="UDY73" s="97"/>
      <c r="UDZ73" s="97"/>
      <c r="UEA73" s="97"/>
      <c r="UEB73" s="97"/>
      <c r="UEC73" s="97"/>
      <c r="UED73" s="97"/>
      <c r="UEE73" s="97"/>
      <c r="UEF73" s="97"/>
      <c r="UEG73" s="97"/>
      <c r="UEH73" s="97"/>
      <c r="UEI73" s="97"/>
      <c r="UEJ73" s="97"/>
      <c r="UEK73" s="97"/>
      <c r="UEL73" s="97"/>
      <c r="UEM73" s="97"/>
      <c r="UEN73" s="97"/>
      <c r="UEO73" s="97"/>
      <c r="UEP73" s="97"/>
      <c r="UEQ73" s="97"/>
      <c r="UER73" s="97"/>
      <c r="UES73" s="97"/>
      <c r="UET73" s="97"/>
      <c r="UEU73" s="97"/>
      <c r="UEV73" s="97"/>
      <c r="UEW73" s="97"/>
      <c r="UEX73" s="97"/>
      <c r="UEY73" s="97"/>
      <c r="UEZ73" s="97"/>
      <c r="UFA73" s="97"/>
      <c r="UFB73" s="97"/>
      <c r="UFC73" s="97"/>
      <c r="UFD73" s="97"/>
      <c r="UFE73" s="97"/>
      <c r="UFF73" s="97"/>
      <c r="UFG73" s="97"/>
      <c r="UFH73" s="97"/>
      <c r="UFI73" s="97"/>
      <c r="UFJ73" s="97"/>
      <c r="UFK73" s="97"/>
      <c r="UFL73" s="97"/>
      <c r="UFM73" s="97"/>
      <c r="UFN73" s="97"/>
      <c r="UFO73" s="97"/>
      <c r="UFP73" s="97"/>
      <c r="UFQ73" s="97"/>
      <c r="UFR73" s="97"/>
      <c r="UFS73" s="97"/>
      <c r="UFT73" s="97"/>
      <c r="UFU73" s="97"/>
      <c r="UFV73" s="97"/>
      <c r="UFW73" s="97"/>
      <c r="UFX73" s="97"/>
      <c r="UFY73" s="97"/>
      <c r="UFZ73" s="97"/>
      <c r="UGA73" s="97"/>
      <c r="UGB73" s="97"/>
      <c r="UGC73" s="97"/>
      <c r="UGD73" s="97"/>
      <c r="UGE73" s="97"/>
      <c r="UGF73" s="97"/>
      <c r="UGG73" s="97"/>
      <c r="UGH73" s="97"/>
      <c r="UGI73" s="97"/>
      <c r="UGJ73" s="97"/>
      <c r="UGK73" s="97"/>
      <c r="UGL73" s="97"/>
      <c r="UGM73" s="97"/>
      <c r="UGN73" s="97"/>
      <c r="UGO73" s="97"/>
      <c r="UGP73" s="97"/>
      <c r="UGQ73" s="97"/>
      <c r="UGR73" s="97"/>
      <c r="UGS73" s="97"/>
      <c r="UGT73" s="97"/>
      <c r="UGU73" s="97"/>
      <c r="UGV73" s="97"/>
      <c r="UGW73" s="97"/>
      <c r="UGX73" s="97"/>
      <c r="UGY73" s="97"/>
      <c r="UGZ73" s="97"/>
      <c r="UHA73" s="97"/>
      <c r="UHB73" s="97"/>
      <c r="UHC73" s="97"/>
      <c r="UHD73" s="97"/>
      <c r="UHE73" s="97"/>
      <c r="UHF73" s="97"/>
      <c r="UHG73" s="97"/>
      <c r="UHH73" s="97"/>
      <c r="UHI73" s="97"/>
      <c r="UHJ73" s="97"/>
      <c r="UHK73" s="97"/>
      <c r="UHL73" s="97"/>
      <c r="UHM73" s="97"/>
      <c r="UHN73" s="97"/>
      <c r="UHO73" s="97"/>
      <c r="UHP73" s="97"/>
      <c r="UHQ73" s="97"/>
      <c r="UHR73" s="97"/>
      <c r="UHS73" s="97"/>
      <c r="UHT73" s="97"/>
      <c r="UHU73" s="97"/>
      <c r="UHV73" s="97"/>
      <c r="UHW73" s="97"/>
      <c r="UHX73" s="97"/>
      <c r="UHY73" s="97"/>
      <c r="UHZ73" s="97"/>
      <c r="UIA73" s="97"/>
      <c r="UIB73" s="97"/>
      <c r="UIC73" s="97"/>
      <c r="UID73" s="97"/>
      <c r="UIE73" s="97"/>
      <c r="UIF73" s="97"/>
      <c r="UIG73" s="97"/>
      <c r="UIH73" s="97"/>
      <c r="UII73" s="97"/>
      <c r="UIJ73" s="97"/>
      <c r="UIK73" s="97"/>
      <c r="UIL73" s="97"/>
      <c r="UIM73" s="97"/>
      <c r="UIN73" s="97"/>
      <c r="UIO73" s="97"/>
      <c r="UIP73" s="97"/>
      <c r="UIQ73" s="97"/>
      <c r="UIR73" s="97"/>
      <c r="UIS73" s="97"/>
      <c r="UIT73" s="97"/>
      <c r="UIU73" s="97"/>
      <c r="UIV73" s="97"/>
      <c r="UIW73" s="97"/>
      <c r="UIX73" s="97"/>
      <c r="UIY73" s="97"/>
      <c r="UIZ73" s="97"/>
      <c r="UJA73" s="97"/>
      <c r="UJB73" s="97"/>
      <c r="UJC73" s="97"/>
      <c r="UJD73" s="97"/>
      <c r="UJE73" s="97"/>
      <c r="UJF73" s="97"/>
      <c r="UJG73" s="97"/>
      <c r="UJH73" s="97"/>
      <c r="UJI73" s="97"/>
      <c r="UJJ73" s="97"/>
      <c r="UJK73" s="97"/>
      <c r="UJL73" s="97"/>
      <c r="UJM73" s="97"/>
      <c r="UJN73" s="97"/>
      <c r="UJO73" s="97"/>
      <c r="UJP73" s="97"/>
      <c r="UJQ73" s="97"/>
      <c r="UJR73" s="97"/>
      <c r="UJS73" s="97"/>
      <c r="UJT73" s="97"/>
      <c r="UJU73" s="97"/>
      <c r="UJV73" s="97"/>
      <c r="UJW73" s="97"/>
      <c r="UJX73" s="97"/>
      <c r="UJY73" s="97"/>
      <c r="UJZ73" s="97"/>
      <c r="UKA73" s="97"/>
      <c r="UKB73" s="97"/>
      <c r="UKC73" s="97"/>
      <c r="UKD73" s="97"/>
      <c r="UKE73" s="97"/>
      <c r="UKF73" s="97"/>
      <c r="UKG73" s="97"/>
      <c r="UKH73" s="97"/>
      <c r="UKI73" s="97"/>
      <c r="UKJ73" s="97"/>
      <c r="UKK73" s="97"/>
      <c r="UKL73" s="97"/>
      <c r="UKM73" s="97"/>
      <c r="UKN73" s="97"/>
      <c r="UKO73" s="97"/>
      <c r="UKP73" s="97"/>
      <c r="UKQ73" s="97"/>
      <c r="UKR73" s="97"/>
      <c r="UKS73" s="97"/>
      <c r="UKT73" s="97"/>
      <c r="UKU73" s="97"/>
      <c r="UKV73" s="97"/>
      <c r="UKW73" s="97"/>
      <c r="UKX73" s="97"/>
      <c r="UKY73" s="97"/>
      <c r="UKZ73" s="97"/>
      <c r="ULA73" s="97"/>
      <c r="ULB73" s="97"/>
      <c r="ULC73" s="97"/>
      <c r="ULD73" s="97"/>
      <c r="ULE73" s="97"/>
      <c r="ULF73" s="97"/>
      <c r="ULG73" s="97"/>
      <c r="ULH73" s="97"/>
      <c r="ULI73" s="97"/>
      <c r="ULJ73" s="97"/>
      <c r="ULK73" s="97"/>
      <c r="ULL73" s="97"/>
      <c r="ULM73" s="97"/>
      <c r="ULN73" s="97"/>
      <c r="ULO73" s="97"/>
      <c r="ULP73" s="97"/>
      <c r="ULQ73" s="97"/>
      <c r="ULR73" s="97"/>
      <c r="ULS73" s="97"/>
      <c r="ULT73" s="97"/>
      <c r="ULU73" s="97"/>
      <c r="ULV73" s="97"/>
      <c r="ULW73" s="97"/>
      <c r="ULX73" s="97"/>
      <c r="ULY73" s="97"/>
      <c r="ULZ73" s="97"/>
      <c r="UMA73" s="97"/>
      <c r="UMB73" s="97"/>
      <c r="UMC73" s="97"/>
      <c r="UMD73" s="97"/>
      <c r="UME73" s="97"/>
      <c r="UMF73" s="97"/>
      <c r="UMG73" s="97"/>
      <c r="UMH73" s="97"/>
      <c r="UMI73" s="97"/>
      <c r="UMJ73" s="97"/>
      <c r="UMK73" s="97"/>
      <c r="UML73" s="97"/>
      <c r="UMM73" s="97"/>
      <c r="UMN73" s="97"/>
      <c r="UMO73" s="97"/>
      <c r="UMP73" s="97"/>
      <c r="UMQ73" s="97"/>
      <c r="UMR73" s="97"/>
      <c r="UMS73" s="97"/>
      <c r="UMT73" s="97"/>
      <c r="UMU73" s="97"/>
      <c r="UMV73" s="97"/>
      <c r="UMW73" s="97"/>
      <c r="UMX73" s="97"/>
      <c r="UMY73" s="97"/>
      <c r="UMZ73" s="97"/>
      <c r="UNA73" s="97"/>
      <c r="UNB73" s="97"/>
      <c r="UNC73" s="97"/>
      <c r="UND73" s="97"/>
      <c r="UNE73" s="97"/>
      <c r="UNF73" s="97"/>
      <c r="UNG73" s="97"/>
      <c r="UNH73" s="97"/>
      <c r="UNI73" s="97"/>
      <c r="UNJ73" s="97"/>
      <c r="UNK73" s="97"/>
      <c r="UNL73" s="97"/>
      <c r="UNM73" s="97"/>
      <c r="UNN73" s="97"/>
      <c r="UNO73" s="97"/>
      <c r="UNP73" s="97"/>
      <c r="UNQ73" s="97"/>
      <c r="UNR73" s="97"/>
      <c r="UNS73" s="97"/>
      <c r="UNT73" s="97"/>
      <c r="UNU73" s="97"/>
      <c r="UNV73" s="97"/>
      <c r="UNW73" s="97"/>
      <c r="UNX73" s="97"/>
      <c r="UNY73" s="97"/>
      <c r="UNZ73" s="97"/>
      <c r="UOA73" s="97"/>
      <c r="UOB73" s="97"/>
      <c r="UOC73" s="97"/>
      <c r="UOD73" s="97"/>
      <c r="UOE73" s="97"/>
      <c r="UOF73" s="97"/>
      <c r="UOG73" s="97"/>
      <c r="UOH73" s="97"/>
      <c r="UOI73" s="97"/>
      <c r="UOJ73" s="97"/>
      <c r="UOK73" s="97"/>
      <c r="UOL73" s="97"/>
      <c r="UOM73" s="97"/>
      <c r="UON73" s="97"/>
      <c r="UOO73" s="97"/>
      <c r="UOP73" s="97"/>
      <c r="UOQ73" s="97"/>
      <c r="UOR73" s="97"/>
      <c r="UOS73" s="97"/>
      <c r="UOT73" s="97"/>
      <c r="UOU73" s="97"/>
      <c r="UOV73" s="97"/>
      <c r="UOW73" s="97"/>
      <c r="UOX73" s="97"/>
      <c r="UOY73" s="97"/>
      <c r="UOZ73" s="97"/>
      <c r="UPA73" s="97"/>
      <c r="UPB73" s="97"/>
      <c r="UPC73" s="97"/>
      <c r="UPD73" s="97"/>
      <c r="UPE73" s="97"/>
      <c r="UPF73" s="97"/>
      <c r="UPG73" s="97"/>
      <c r="UPH73" s="97"/>
      <c r="UPI73" s="97"/>
      <c r="UPJ73" s="97"/>
      <c r="UPK73" s="97"/>
      <c r="UPL73" s="97"/>
      <c r="UPM73" s="97"/>
      <c r="UPN73" s="97"/>
      <c r="UPO73" s="97"/>
      <c r="UPP73" s="97"/>
      <c r="UPQ73" s="97"/>
      <c r="UPR73" s="97"/>
      <c r="UPS73" s="97"/>
      <c r="UPT73" s="97"/>
      <c r="UPU73" s="97"/>
      <c r="UPV73" s="97"/>
      <c r="UPW73" s="97"/>
      <c r="UPX73" s="97"/>
      <c r="UPY73" s="97"/>
      <c r="UPZ73" s="97"/>
      <c r="UQA73" s="97"/>
      <c r="UQB73" s="97"/>
      <c r="UQC73" s="97"/>
      <c r="UQD73" s="97"/>
      <c r="UQE73" s="97"/>
      <c r="UQF73" s="97"/>
      <c r="UQG73" s="97"/>
      <c r="UQH73" s="97"/>
      <c r="UQI73" s="97"/>
      <c r="UQJ73" s="97"/>
      <c r="UQK73" s="97"/>
      <c r="UQL73" s="97"/>
      <c r="UQM73" s="97"/>
      <c r="UQN73" s="97"/>
      <c r="UQO73" s="97"/>
      <c r="UQP73" s="97"/>
      <c r="UQQ73" s="97"/>
      <c r="UQR73" s="97"/>
      <c r="UQS73" s="97"/>
      <c r="UQT73" s="97"/>
      <c r="UQU73" s="97"/>
      <c r="UQV73" s="97"/>
      <c r="UQW73" s="97"/>
      <c r="UQX73" s="97"/>
      <c r="UQY73" s="97"/>
      <c r="UQZ73" s="97"/>
      <c r="URA73" s="97"/>
      <c r="URB73" s="97"/>
      <c r="URC73" s="97"/>
      <c r="URD73" s="97"/>
      <c r="URE73" s="97"/>
      <c r="URF73" s="97"/>
      <c r="URG73" s="97"/>
      <c r="URH73" s="97"/>
      <c r="URI73" s="97"/>
      <c r="URJ73" s="97"/>
      <c r="URK73" s="97"/>
      <c r="URL73" s="97"/>
      <c r="URM73" s="97"/>
      <c r="URN73" s="97"/>
      <c r="URO73" s="97"/>
      <c r="URP73" s="97"/>
      <c r="URQ73" s="97"/>
      <c r="URR73" s="97"/>
      <c r="URS73" s="97"/>
      <c r="URT73" s="97"/>
      <c r="URU73" s="97"/>
      <c r="URV73" s="97"/>
      <c r="URW73" s="97"/>
      <c r="URX73" s="97"/>
      <c r="URY73" s="97"/>
      <c r="URZ73" s="97"/>
      <c r="USA73" s="97"/>
      <c r="USB73" s="97"/>
      <c r="USC73" s="97"/>
      <c r="USD73" s="97"/>
      <c r="USE73" s="97"/>
      <c r="USF73" s="97"/>
      <c r="USG73" s="97"/>
      <c r="USH73" s="97"/>
      <c r="USI73" s="97"/>
      <c r="USJ73" s="97"/>
      <c r="USK73" s="97"/>
      <c r="USL73" s="97"/>
      <c r="USM73" s="97"/>
      <c r="USN73" s="97"/>
      <c r="USO73" s="97"/>
      <c r="USP73" s="97"/>
      <c r="USQ73" s="97"/>
      <c r="USR73" s="97"/>
      <c r="USS73" s="97"/>
      <c r="UST73" s="97"/>
      <c r="USU73" s="97"/>
      <c r="USV73" s="97"/>
      <c r="USW73" s="97"/>
      <c r="USX73" s="97"/>
      <c r="USY73" s="97"/>
      <c r="USZ73" s="97"/>
      <c r="UTA73" s="97"/>
      <c r="UTB73" s="97"/>
      <c r="UTC73" s="97"/>
      <c r="UTD73" s="97"/>
      <c r="UTE73" s="97"/>
      <c r="UTF73" s="97"/>
      <c r="UTG73" s="97"/>
      <c r="UTH73" s="97"/>
      <c r="UTI73" s="97"/>
      <c r="UTJ73" s="97"/>
      <c r="UTK73" s="97"/>
      <c r="UTL73" s="97"/>
      <c r="UTM73" s="97"/>
      <c r="UTN73" s="97"/>
      <c r="UTO73" s="97"/>
      <c r="UTP73" s="97"/>
      <c r="UTQ73" s="97"/>
      <c r="UTR73" s="97"/>
      <c r="UTS73" s="97"/>
      <c r="UTT73" s="97"/>
      <c r="UTU73" s="97"/>
      <c r="UTV73" s="97"/>
      <c r="UTW73" s="97"/>
      <c r="UTX73" s="97"/>
      <c r="UTY73" s="97"/>
      <c r="UTZ73" s="97"/>
      <c r="UUA73" s="97"/>
      <c r="UUB73" s="97"/>
      <c r="UUC73" s="97"/>
      <c r="UUD73" s="97"/>
      <c r="UUE73" s="97"/>
      <c r="UUF73" s="97"/>
      <c r="UUG73" s="97"/>
      <c r="UUH73" s="97"/>
      <c r="UUI73" s="97"/>
      <c r="UUJ73" s="97"/>
      <c r="UUK73" s="97"/>
      <c r="UUL73" s="97"/>
      <c r="UUM73" s="97"/>
      <c r="UUN73" s="97"/>
      <c r="UUO73" s="97"/>
      <c r="UUP73" s="97"/>
      <c r="UUQ73" s="97"/>
      <c r="UUR73" s="97"/>
      <c r="UUS73" s="97"/>
      <c r="UUT73" s="97"/>
      <c r="UUU73" s="97"/>
      <c r="UUV73" s="97"/>
      <c r="UUW73" s="97"/>
      <c r="UUX73" s="97"/>
      <c r="UUY73" s="97"/>
      <c r="UUZ73" s="97"/>
      <c r="UVA73" s="97"/>
      <c r="UVB73" s="97"/>
      <c r="UVC73" s="97"/>
      <c r="UVD73" s="97"/>
      <c r="UVE73" s="97"/>
      <c r="UVF73" s="97"/>
      <c r="UVG73" s="97"/>
      <c r="UVH73" s="97"/>
      <c r="UVI73" s="97"/>
      <c r="UVJ73" s="97"/>
      <c r="UVK73" s="97"/>
      <c r="UVL73" s="97"/>
      <c r="UVM73" s="97"/>
      <c r="UVN73" s="97"/>
      <c r="UVO73" s="97"/>
      <c r="UVP73" s="97"/>
      <c r="UVQ73" s="97"/>
      <c r="UVR73" s="97"/>
      <c r="UVS73" s="97"/>
      <c r="UVT73" s="97"/>
      <c r="UVU73" s="97"/>
      <c r="UVV73" s="97"/>
      <c r="UVW73" s="97"/>
      <c r="UVX73" s="97"/>
      <c r="UVY73" s="97"/>
      <c r="UVZ73" s="97"/>
      <c r="UWA73" s="97"/>
      <c r="UWB73" s="97"/>
      <c r="UWC73" s="97"/>
      <c r="UWD73" s="97"/>
      <c r="UWE73" s="97"/>
      <c r="UWF73" s="97"/>
      <c r="UWG73" s="97"/>
      <c r="UWH73" s="97"/>
      <c r="UWI73" s="97"/>
      <c r="UWJ73" s="97"/>
      <c r="UWK73" s="97"/>
      <c r="UWL73" s="97"/>
      <c r="UWM73" s="97"/>
      <c r="UWN73" s="97"/>
      <c r="UWO73" s="97"/>
      <c r="UWP73" s="97"/>
      <c r="UWQ73" s="97"/>
      <c r="UWR73" s="97"/>
      <c r="UWS73" s="97"/>
      <c r="UWT73" s="97"/>
      <c r="UWU73" s="97"/>
      <c r="UWV73" s="97"/>
      <c r="UWW73" s="97"/>
      <c r="UWX73" s="97"/>
      <c r="UWY73" s="97"/>
      <c r="UWZ73" s="97"/>
      <c r="UXA73" s="97"/>
      <c r="UXB73" s="97"/>
      <c r="UXC73" s="97"/>
      <c r="UXD73" s="97"/>
      <c r="UXE73" s="97"/>
      <c r="UXF73" s="97"/>
      <c r="UXG73" s="97"/>
      <c r="UXH73" s="97"/>
      <c r="UXI73" s="97"/>
      <c r="UXJ73" s="97"/>
      <c r="UXK73" s="97"/>
      <c r="UXL73" s="97"/>
      <c r="UXM73" s="97"/>
      <c r="UXN73" s="97"/>
      <c r="UXO73" s="97"/>
      <c r="UXP73" s="97"/>
      <c r="UXQ73" s="97"/>
      <c r="UXR73" s="97"/>
      <c r="UXS73" s="97"/>
      <c r="UXT73" s="97"/>
      <c r="UXU73" s="97"/>
      <c r="UXV73" s="97"/>
      <c r="UXW73" s="97"/>
      <c r="UXX73" s="97"/>
      <c r="UXY73" s="97"/>
      <c r="UXZ73" s="97"/>
      <c r="UYA73" s="97"/>
      <c r="UYB73" s="97"/>
      <c r="UYC73" s="97"/>
      <c r="UYD73" s="97"/>
      <c r="UYE73" s="97"/>
      <c r="UYF73" s="97"/>
      <c r="UYG73" s="97"/>
      <c r="UYH73" s="97"/>
      <c r="UYI73" s="97"/>
      <c r="UYJ73" s="97"/>
      <c r="UYK73" s="97"/>
      <c r="UYL73" s="97"/>
      <c r="UYM73" s="97"/>
      <c r="UYN73" s="97"/>
      <c r="UYO73" s="97"/>
      <c r="UYP73" s="97"/>
      <c r="UYQ73" s="97"/>
      <c r="UYR73" s="97"/>
      <c r="UYS73" s="97"/>
      <c r="UYT73" s="97"/>
      <c r="UYU73" s="97"/>
      <c r="UYV73" s="97"/>
      <c r="UYW73" s="97"/>
      <c r="UYX73" s="97"/>
      <c r="UYY73" s="97"/>
      <c r="UYZ73" s="97"/>
      <c r="UZA73" s="97"/>
      <c r="UZB73" s="97"/>
      <c r="UZC73" s="97"/>
      <c r="UZD73" s="97"/>
      <c r="UZE73" s="97"/>
      <c r="UZF73" s="97"/>
      <c r="UZG73" s="97"/>
      <c r="UZH73" s="97"/>
      <c r="UZI73" s="97"/>
      <c r="UZJ73" s="97"/>
      <c r="UZK73" s="97"/>
      <c r="UZL73" s="97"/>
      <c r="UZM73" s="97"/>
      <c r="UZN73" s="97"/>
      <c r="UZO73" s="97"/>
      <c r="UZP73" s="97"/>
      <c r="UZQ73" s="97"/>
      <c r="UZR73" s="97"/>
      <c r="UZS73" s="97"/>
      <c r="UZT73" s="97"/>
      <c r="UZU73" s="97"/>
      <c r="UZV73" s="97"/>
      <c r="UZW73" s="97"/>
      <c r="UZX73" s="97"/>
      <c r="UZY73" s="97"/>
      <c r="UZZ73" s="97"/>
      <c r="VAA73" s="97"/>
      <c r="VAB73" s="97"/>
      <c r="VAC73" s="97"/>
      <c r="VAD73" s="97"/>
      <c r="VAE73" s="97"/>
      <c r="VAF73" s="97"/>
      <c r="VAG73" s="97"/>
      <c r="VAH73" s="97"/>
      <c r="VAI73" s="97"/>
      <c r="VAJ73" s="97"/>
      <c r="VAK73" s="97"/>
      <c r="VAL73" s="97"/>
      <c r="VAM73" s="97"/>
      <c r="VAN73" s="97"/>
      <c r="VAO73" s="97"/>
      <c r="VAP73" s="97"/>
      <c r="VAQ73" s="97"/>
      <c r="VAR73" s="97"/>
      <c r="VAS73" s="97"/>
      <c r="VAT73" s="97"/>
      <c r="VAU73" s="97"/>
      <c r="VAV73" s="97"/>
      <c r="VAW73" s="97"/>
      <c r="VAX73" s="97"/>
      <c r="VAY73" s="97"/>
      <c r="VAZ73" s="97"/>
      <c r="VBA73" s="97"/>
      <c r="VBB73" s="97"/>
      <c r="VBC73" s="97"/>
      <c r="VBD73" s="97"/>
      <c r="VBE73" s="97"/>
      <c r="VBF73" s="97"/>
      <c r="VBG73" s="97"/>
      <c r="VBH73" s="97"/>
      <c r="VBI73" s="97"/>
      <c r="VBJ73" s="97"/>
      <c r="VBK73" s="97"/>
      <c r="VBL73" s="97"/>
      <c r="VBM73" s="97"/>
      <c r="VBN73" s="97"/>
      <c r="VBO73" s="97"/>
      <c r="VBP73" s="97"/>
      <c r="VBQ73" s="97"/>
      <c r="VBR73" s="97"/>
      <c r="VBS73" s="97"/>
      <c r="VBT73" s="97"/>
      <c r="VBU73" s="97"/>
      <c r="VBV73" s="97"/>
      <c r="VBW73" s="97"/>
      <c r="VBX73" s="97"/>
      <c r="VBY73" s="97"/>
      <c r="VBZ73" s="97"/>
      <c r="VCA73" s="97"/>
      <c r="VCB73" s="97"/>
      <c r="VCC73" s="97"/>
      <c r="VCD73" s="97"/>
      <c r="VCE73" s="97"/>
      <c r="VCF73" s="97"/>
      <c r="VCG73" s="97"/>
      <c r="VCH73" s="97"/>
      <c r="VCI73" s="97"/>
      <c r="VCJ73" s="97"/>
      <c r="VCK73" s="97"/>
      <c r="VCL73" s="97"/>
      <c r="VCM73" s="97"/>
      <c r="VCN73" s="97"/>
      <c r="VCO73" s="97"/>
      <c r="VCP73" s="97"/>
      <c r="VCQ73" s="97"/>
      <c r="VCR73" s="97"/>
      <c r="VCS73" s="97"/>
      <c r="VCT73" s="97"/>
      <c r="VCU73" s="97"/>
      <c r="VCV73" s="97"/>
      <c r="VCW73" s="97"/>
      <c r="VCX73" s="97"/>
      <c r="VCY73" s="97"/>
      <c r="VCZ73" s="97"/>
      <c r="VDA73" s="97"/>
      <c r="VDB73" s="97"/>
      <c r="VDC73" s="97"/>
      <c r="VDD73" s="97"/>
      <c r="VDE73" s="97"/>
      <c r="VDF73" s="97"/>
      <c r="VDG73" s="97"/>
      <c r="VDH73" s="97"/>
      <c r="VDI73" s="97"/>
      <c r="VDJ73" s="97"/>
      <c r="VDK73" s="97"/>
      <c r="VDL73" s="97"/>
      <c r="VDM73" s="97"/>
      <c r="VDN73" s="97"/>
      <c r="VDO73" s="97"/>
      <c r="VDP73" s="97"/>
      <c r="VDQ73" s="97"/>
      <c r="VDR73" s="97"/>
      <c r="VDS73" s="97"/>
      <c r="VDT73" s="97"/>
      <c r="VDU73" s="97"/>
      <c r="VDV73" s="97"/>
      <c r="VDW73" s="97"/>
      <c r="VDX73" s="97"/>
      <c r="VDY73" s="97"/>
      <c r="VDZ73" s="97"/>
      <c r="VEA73" s="97"/>
      <c r="VEB73" s="97"/>
      <c r="VEC73" s="97"/>
      <c r="VED73" s="97"/>
      <c r="VEE73" s="97"/>
      <c r="VEF73" s="97"/>
      <c r="VEG73" s="97"/>
      <c r="VEH73" s="97"/>
      <c r="VEI73" s="97"/>
      <c r="VEJ73" s="97"/>
      <c r="VEK73" s="97"/>
      <c r="VEL73" s="97"/>
      <c r="VEM73" s="97"/>
      <c r="VEN73" s="97"/>
      <c r="VEO73" s="97"/>
      <c r="VEP73" s="97"/>
      <c r="VEQ73" s="97"/>
      <c r="VER73" s="97"/>
      <c r="VES73" s="97"/>
      <c r="VET73" s="97"/>
      <c r="VEU73" s="97"/>
      <c r="VEV73" s="97"/>
      <c r="VEW73" s="97"/>
      <c r="VEX73" s="97"/>
      <c r="VEY73" s="97"/>
      <c r="VEZ73" s="97"/>
      <c r="VFA73" s="97"/>
      <c r="VFB73" s="97"/>
      <c r="VFC73" s="97"/>
      <c r="VFD73" s="97"/>
      <c r="VFE73" s="97"/>
      <c r="VFF73" s="97"/>
      <c r="VFG73" s="97"/>
      <c r="VFH73" s="97"/>
      <c r="VFI73" s="97"/>
      <c r="VFJ73" s="97"/>
      <c r="VFK73" s="97"/>
      <c r="VFL73" s="97"/>
      <c r="VFM73" s="97"/>
      <c r="VFN73" s="97"/>
      <c r="VFO73" s="97"/>
      <c r="VFP73" s="97"/>
      <c r="VFQ73" s="97"/>
      <c r="VFR73" s="97"/>
      <c r="VFS73" s="97"/>
      <c r="VFT73" s="97"/>
      <c r="VFU73" s="97"/>
      <c r="VFV73" s="97"/>
      <c r="VFW73" s="97"/>
      <c r="VFX73" s="97"/>
      <c r="VFY73" s="97"/>
      <c r="VFZ73" s="97"/>
      <c r="VGA73" s="97"/>
      <c r="VGB73" s="97"/>
      <c r="VGC73" s="97"/>
      <c r="VGD73" s="97"/>
      <c r="VGE73" s="97"/>
      <c r="VGF73" s="97"/>
      <c r="VGG73" s="97"/>
      <c r="VGH73" s="97"/>
      <c r="VGI73" s="97"/>
      <c r="VGJ73" s="97"/>
      <c r="VGK73" s="97"/>
      <c r="VGL73" s="97"/>
      <c r="VGM73" s="97"/>
      <c r="VGN73" s="97"/>
      <c r="VGO73" s="97"/>
      <c r="VGP73" s="97"/>
      <c r="VGQ73" s="97"/>
      <c r="VGR73" s="97"/>
      <c r="VGS73" s="97"/>
      <c r="VGT73" s="97"/>
      <c r="VGU73" s="97"/>
      <c r="VGV73" s="97"/>
      <c r="VGW73" s="97"/>
      <c r="VGX73" s="97"/>
      <c r="VGY73" s="97"/>
      <c r="VGZ73" s="97"/>
      <c r="VHA73" s="97"/>
      <c r="VHB73" s="97"/>
      <c r="VHC73" s="97"/>
      <c r="VHD73" s="97"/>
      <c r="VHE73" s="97"/>
      <c r="VHF73" s="97"/>
      <c r="VHG73" s="97"/>
      <c r="VHH73" s="97"/>
      <c r="VHI73" s="97"/>
      <c r="VHJ73" s="97"/>
      <c r="VHK73" s="97"/>
      <c r="VHL73" s="97"/>
      <c r="VHM73" s="97"/>
      <c r="VHN73" s="97"/>
      <c r="VHO73" s="97"/>
      <c r="VHP73" s="97"/>
      <c r="VHQ73" s="97"/>
      <c r="VHR73" s="97"/>
      <c r="VHS73" s="97"/>
      <c r="VHT73" s="97"/>
      <c r="VHU73" s="97"/>
      <c r="VHV73" s="97"/>
      <c r="VHW73" s="97"/>
      <c r="VHX73" s="97"/>
      <c r="VHY73" s="97"/>
      <c r="VHZ73" s="97"/>
      <c r="VIA73" s="97"/>
      <c r="VIB73" s="97"/>
      <c r="VIC73" s="97"/>
      <c r="VID73" s="97"/>
      <c r="VIE73" s="97"/>
      <c r="VIF73" s="97"/>
      <c r="VIG73" s="97"/>
      <c r="VIH73" s="97"/>
      <c r="VII73" s="97"/>
      <c r="VIJ73" s="97"/>
      <c r="VIK73" s="97"/>
      <c r="VIL73" s="97"/>
      <c r="VIM73" s="97"/>
      <c r="VIN73" s="97"/>
      <c r="VIO73" s="97"/>
      <c r="VIP73" s="97"/>
      <c r="VIQ73" s="97"/>
      <c r="VIR73" s="97"/>
      <c r="VIS73" s="97"/>
      <c r="VIT73" s="97"/>
      <c r="VIU73" s="97"/>
      <c r="VIV73" s="97"/>
      <c r="VIW73" s="97"/>
      <c r="VIX73" s="97"/>
      <c r="VIY73" s="97"/>
      <c r="VIZ73" s="97"/>
      <c r="VJA73" s="97"/>
      <c r="VJB73" s="97"/>
      <c r="VJC73" s="97"/>
      <c r="VJD73" s="97"/>
      <c r="VJE73" s="97"/>
      <c r="VJF73" s="97"/>
      <c r="VJG73" s="97"/>
      <c r="VJH73" s="97"/>
      <c r="VJI73" s="97"/>
      <c r="VJJ73" s="97"/>
      <c r="VJK73" s="97"/>
      <c r="VJL73" s="97"/>
      <c r="VJM73" s="97"/>
      <c r="VJN73" s="97"/>
      <c r="VJO73" s="97"/>
      <c r="VJP73" s="97"/>
      <c r="VJQ73" s="97"/>
      <c r="VJR73" s="97"/>
      <c r="VJS73" s="97"/>
      <c r="VJT73" s="97"/>
      <c r="VJU73" s="97"/>
      <c r="VJV73" s="97"/>
      <c r="VJW73" s="97"/>
      <c r="VJX73" s="97"/>
      <c r="VJY73" s="97"/>
      <c r="VJZ73" s="97"/>
      <c r="VKA73" s="97"/>
      <c r="VKB73" s="97"/>
      <c r="VKC73" s="97"/>
      <c r="VKD73" s="97"/>
      <c r="VKE73" s="97"/>
      <c r="VKF73" s="97"/>
      <c r="VKG73" s="97"/>
      <c r="VKH73" s="97"/>
      <c r="VKI73" s="97"/>
      <c r="VKJ73" s="97"/>
      <c r="VKK73" s="97"/>
      <c r="VKL73" s="97"/>
      <c r="VKM73" s="97"/>
      <c r="VKN73" s="97"/>
      <c r="VKO73" s="97"/>
      <c r="VKP73" s="97"/>
      <c r="VKQ73" s="97"/>
      <c r="VKR73" s="97"/>
      <c r="VKS73" s="97"/>
      <c r="VKT73" s="97"/>
      <c r="VKU73" s="97"/>
      <c r="VKV73" s="97"/>
      <c r="VKW73" s="97"/>
      <c r="VKX73" s="97"/>
      <c r="VKY73" s="97"/>
      <c r="VKZ73" s="97"/>
      <c r="VLA73" s="97"/>
      <c r="VLB73" s="97"/>
      <c r="VLC73" s="97"/>
      <c r="VLD73" s="97"/>
      <c r="VLE73" s="97"/>
      <c r="VLF73" s="97"/>
      <c r="VLG73" s="97"/>
      <c r="VLH73" s="97"/>
      <c r="VLI73" s="97"/>
      <c r="VLJ73" s="97"/>
      <c r="VLK73" s="97"/>
      <c r="VLL73" s="97"/>
      <c r="VLM73" s="97"/>
      <c r="VLN73" s="97"/>
      <c r="VLO73" s="97"/>
      <c r="VLP73" s="97"/>
      <c r="VLQ73" s="97"/>
      <c r="VLR73" s="97"/>
      <c r="VLS73" s="97"/>
      <c r="VLT73" s="97"/>
      <c r="VLU73" s="97"/>
      <c r="VLV73" s="97"/>
      <c r="VLW73" s="97"/>
      <c r="VLX73" s="97"/>
      <c r="VLY73" s="97"/>
      <c r="VLZ73" s="97"/>
      <c r="VMA73" s="97"/>
      <c r="VMB73" s="97"/>
      <c r="VMC73" s="97"/>
      <c r="VMD73" s="97"/>
      <c r="VME73" s="97"/>
      <c r="VMF73" s="97"/>
      <c r="VMG73" s="97"/>
      <c r="VMH73" s="97"/>
      <c r="VMI73" s="97"/>
      <c r="VMJ73" s="97"/>
      <c r="VMK73" s="97"/>
      <c r="VML73" s="97"/>
      <c r="VMM73" s="97"/>
      <c r="VMN73" s="97"/>
      <c r="VMO73" s="97"/>
      <c r="VMP73" s="97"/>
      <c r="VMQ73" s="97"/>
      <c r="VMR73" s="97"/>
      <c r="VMS73" s="97"/>
      <c r="VMT73" s="97"/>
      <c r="VMU73" s="97"/>
      <c r="VMV73" s="97"/>
      <c r="VMW73" s="97"/>
      <c r="VMX73" s="97"/>
      <c r="VMY73" s="97"/>
      <c r="VMZ73" s="97"/>
      <c r="VNA73" s="97"/>
      <c r="VNB73" s="97"/>
      <c r="VNC73" s="97"/>
      <c r="VND73" s="97"/>
      <c r="VNE73" s="97"/>
      <c r="VNF73" s="97"/>
      <c r="VNG73" s="97"/>
      <c r="VNH73" s="97"/>
      <c r="VNI73" s="97"/>
      <c r="VNJ73" s="97"/>
      <c r="VNK73" s="97"/>
      <c r="VNL73" s="97"/>
      <c r="VNM73" s="97"/>
      <c r="VNN73" s="97"/>
      <c r="VNO73" s="97"/>
      <c r="VNP73" s="97"/>
      <c r="VNQ73" s="97"/>
      <c r="VNR73" s="97"/>
      <c r="VNS73" s="97"/>
      <c r="VNT73" s="97"/>
      <c r="VNU73" s="97"/>
      <c r="VNV73" s="97"/>
      <c r="VNW73" s="97"/>
      <c r="VNX73" s="97"/>
      <c r="VNY73" s="97"/>
      <c r="VNZ73" s="97"/>
      <c r="VOA73" s="97"/>
      <c r="VOB73" s="97"/>
      <c r="VOC73" s="97"/>
      <c r="VOD73" s="97"/>
      <c r="VOE73" s="97"/>
      <c r="VOF73" s="97"/>
      <c r="VOG73" s="97"/>
      <c r="VOH73" s="97"/>
      <c r="VOI73" s="97"/>
      <c r="VOJ73" s="97"/>
      <c r="VOK73" s="97"/>
      <c r="VOL73" s="97"/>
      <c r="VOM73" s="97"/>
      <c r="VON73" s="97"/>
      <c r="VOO73" s="97"/>
      <c r="VOP73" s="97"/>
      <c r="VOQ73" s="97"/>
      <c r="VOR73" s="97"/>
      <c r="VOS73" s="97"/>
      <c r="VOT73" s="97"/>
      <c r="VOU73" s="97"/>
      <c r="VOV73" s="97"/>
      <c r="VOW73" s="97"/>
      <c r="VOX73" s="97"/>
      <c r="VOY73" s="97"/>
      <c r="VOZ73" s="97"/>
      <c r="VPA73" s="97"/>
      <c r="VPB73" s="97"/>
      <c r="VPC73" s="97"/>
      <c r="VPD73" s="97"/>
      <c r="VPE73" s="97"/>
      <c r="VPF73" s="97"/>
      <c r="VPG73" s="97"/>
      <c r="VPH73" s="97"/>
      <c r="VPI73" s="97"/>
      <c r="VPJ73" s="97"/>
      <c r="VPK73" s="97"/>
      <c r="VPL73" s="97"/>
      <c r="VPM73" s="97"/>
      <c r="VPN73" s="97"/>
      <c r="VPO73" s="97"/>
      <c r="VPP73" s="97"/>
      <c r="VPQ73" s="97"/>
      <c r="VPR73" s="97"/>
      <c r="VPS73" s="97"/>
      <c r="VPT73" s="97"/>
      <c r="VPU73" s="97"/>
      <c r="VPV73" s="97"/>
      <c r="VPW73" s="97"/>
      <c r="VPX73" s="97"/>
      <c r="VPY73" s="97"/>
      <c r="VPZ73" s="97"/>
      <c r="VQA73" s="97"/>
      <c r="VQB73" s="97"/>
      <c r="VQC73" s="97"/>
      <c r="VQD73" s="97"/>
      <c r="VQE73" s="97"/>
      <c r="VQF73" s="97"/>
      <c r="VQG73" s="97"/>
      <c r="VQH73" s="97"/>
      <c r="VQI73" s="97"/>
      <c r="VQJ73" s="97"/>
      <c r="VQK73" s="97"/>
      <c r="VQL73" s="97"/>
      <c r="VQM73" s="97"/>
      <c r="VQN73" s="97"/>
      <c r="VQO73" s="97"/>
      <c r="VQP73" s="97"/>
      <c r="VQQ73" s="97"/>
      <c r="VQR73" s="97"/>
      <c r="VQS73" s="97"/>
      <c r="VQT73" s="97"/>
      <c r="VQU73" s="97"/>
      <c r="VQV73" s="97"/>
      <c r="VQW73" s="97"/>
      <c r="VQX73" s="97"/>
      <c r="VQY73" s="97"/>
      <c r="VQZ73" s="97"/>
      <c r="VRA73" s="97"/>
      <c r="VRB73" s="97"/>
      <c r="VRC73" s="97"/>
      <c r="VRD73" s="97"/>
      <c r="VRE73" s="97"/>
      <c r="VRF73" s="97"/>
      <c r="VRG73" s="97"/>
      <c r="VRH73" s="97"/>
      <c r="VRI73" s="97"/>
      <c r="VRJ73" s="97"/>
      <c r="VRK73" s="97"/>
      <c r="VRL73" s="97"/>
      <c r="VRM73" s="97"/>
      <c r="VRN73" s="97"/>
      <c r="VRO73" s="97"/>
      <c r="VRP73" s="97"/>
      <c r="VRQ73" s="97"/>
      <c r="VRR73" s="97"/>
      <c r="VRS73" s="97"/>
      <c r="VRT73" s="97"/>
      <c r="VRU73" s="97"/>
      <c r="VRV73" s="97"/>
      <c r="VRW73" s="97"/>
      <c r="VRX73" s="97"/>
      <c r="VRY73" s="97"/>
      <c r="VRZ73" s="97"/>
      <c r="VSA73" s="97"/>
      <c r="VSB73" s="97"/>
      <c r="VSC73" s="97"/>
      <c r="VSD73" s="97"/>
      <c r="VSE73" s="97"/>
      <c r="VSF73" s="97"/>
      <c r="VSG73" s="97"/>
      <c r="VSH73" s="97"/>
      <c r="VSI73" s="97"/>
      <c r="VSJ73" s="97"/>
      <c r="VSK73" s="97"/>
      <c r="VSL73" s="97"/>
      <c r="VSM73" s="97"/>
      <c r="VSN73" s="97"/>
      <c r="VSO73" s="97"/>
      <c r="VSP73" s="97"/>
      <c r="VSQ73" s="97"/>
      <c r="VSR73" s="97"/>
      <c r="VSS73" s="97"/>
      <c r="VST73" s="97"/>
      <c r="VSU73" s="97"/>
      <c r="VSV73" s="97"/>
      <c r="VSW73" s="97"/>
      <c r="VSX73" s="97"/>
      <c r="VSY73" s="97"/>
      <c r="VSZ73" s="97"/>
      <c r="VTA73" s="97"/>
      <c r="VTB73" s="97"/>
      <c r="VTC73" s="97"/>
      <c r="VTD73" s="97"/>
      <c r="VTE73" s="97"/>
      <c r="VTF73" s="97"/>
      <c r="VTG73" s="97"/>
      <c r="VTH73" s="97"/>
      <c r="VTI73" s="97"/>
      <c r="VTJ73" s="97"/>
      <c r="VTK73" s="97"/>
      <c r="VTL73" s="97"/>
      <c r="VTM73" s="97"/>
      <c r="VTN73" s="97"/>
      <c r="VTO73" s="97"/>
      <c r="VTP73" s="97"/>
      <c r="VTQ73" s="97"/>
      <c r="VTR73" s="97"/>
      <c r="VTS73" s="97"/>
      <c r="VTT73" s="97"/>
      <c r="VTU73" s="97"/>
      <c r="VTV73" s="97"/>
      <c r="VTW73" s="97"/>
      <c r="VTX73" s="97"/>
      <c r="VTY73" s="97"/>
      <c r="VTZ73" s="97"/>
      <c r="VUA73" s="97"/>
      <c r="VUB73" s="97"/>
      <c r="VUC73" s="97"/>
      <c r="VUD73" s="97"/>
      <c r="VUE73" s="97"/>
      <c r="VUF73" s="97"/>
      <c r="VUG73" s="97"/>
      <c r="VUH73" s="97"/>
      <c r="VUI73" s="97"/>
      <c r="VUJ73" s="97"/>
      <c r="VUK73" s="97"/>
      <c r="VUL73" s="97"/>
      <c r="VUM73" s="97"/>
      <c r="VUN73" s="97"/>
      <c r="VUO73" s="97"/>
      <c r="VUP73" s="97"/>
      <c r="VUQ73" s="97"/>
      <c r="VUR73" s="97"/>
      <c r="VUS73" s="97"/>
      <c r="VUT73" s="97"/>
      <c r="VUU73" s="97"/>
      <c r="VUV73" s="97"/>
      <c r="VUW73" s="97"/>
      <c r="VUX73" s="97"/>
      <c r="VUY73" s="97"/>
      <c r="VUZ73" s="97"/>
      <c r="VVA73" s="97"/>
      <c r="VVB73" s="97"/>
      <c r="VVC73" s="97"/>
      <c r="VVD73" s="97"/>
      <c r="VVE73" s="97"/>
      <c r="VVF73" s="97"/>
      <c r="VVG73" s="97"/>
      <c r="VVH73" s="97"/>
      <c r="VVI73" s="97"/>
      <c r="VVJ73" s="97"/>
      <c r="VVK73" s="97"/>
      <c r="VVL73" s="97"/>
      <c r="VVM73" s="97"/>
      <c r="VVN73" s="97"/>
      <c r="VVO73" s="97"/>
      <c r="VVP73" s="97"/>
      <c r="VVQ73" s="97"/>
      <c r="VVR73" s="97"/>
      <c r="VVS73" s="97"/>
      <c r="VVT73" s="97"/>
      <c r="VVU73" s="97"/>
      <c r="VVV73" s="97"/>
      <c r="VVW73" s="97"/>
      <c r="VVX73" s="97"/>
      <c r="VVY73" s="97"/>
      <c r="VVZ73" s="97"/>
      <c r="VWA73" s="97"/>
      <c r="VWB73" s="97"/>
      <c r="VWC73" s="97"/>
      <c r="VWD73" s="97"/>
      <c r="VWE73" s="97"/>
      <c r="VWF73" s="97"/>
      <c r="VWG73" s="97"/>
      <c r="VWH73" s="97"/>
      <c r="VWI73" s="97"/>
      <c r="VWJ73" s="97"/>
      <c r="VWK73" s="97"/>
      <c r="VWL73" s="97"/>
      <c r="VWM73" s="97"/>
      <c r="VWN73" s="97"/>
      <c r="VWO73" s="97"/>
      <c r="VWP73" s="97"/>
      <c r="VWQ73" s="97"/>
      <c r="VWR73" s="97"/>
      <c r="VWS73" s="97"/>
      <c r="VWT73" s="97"/>
      <c r="VWU73" s="97"/>
      <c r="VWV73" s="97"/>
      <c r="VWW73" s="97"/>
      <c r="VWX73" s="97"/>
      <c r="VWY73" s="97"/>
      <c r="VWZ73" s="97"/>
      <c r="VXA73" s="97"/>
      <c r="VXB73" s="97"/>
      <c r="VXC73" s="97"/>
      <c r="VXD73" s="97"/>
      <c r="VXE73" s="97"/>
      <c r="VXF73" s="97"/>
      <c r="VXG73" s="97"/>
      <c r="VXH73" s="97"/>
      <c r="VXI73" s="97"/>
      <c r="VXJ73" s="97"/>
      <c r="VXK73" s="97"/>
      <c r="VXL73" s="97"/>
      <c r="VXM73" s="97"/>
      <c r="VXN73" s="97"/>
      <c r="VXO73" s="97"/>
      <c r="VXP73" s="97"/>
      <c r="VXQ73" s="97"/>
      <c r="VXR73" s="97"/>
      <c r="VXS73" s="97"/>
      <c r="VXT73" s="97"/>
      <c r="VXU73" s="97"/>
      <c r="VXV73" s="97"/>
      <c r="VXW73" s="97"/>
      <c r="VXX73" s="97"/>
      <c r="VXY73" s="97"/>
      <c r="VXZ73" s="97"/>
      <c r="VYA73" s="97"/>
      <c r="VYB73" s="97"/>
      <c r="VYC73" s="97"/>
      <c r="VYD73" s="97"/>
      <c r="VYE73" s="97"/>
      <c r="VYF73" s="97"/>
      <c r="VYG73" s="97"/>
      <c r="VYH73" s="97"/>
      <c r="VYI73" s="97"/>
      <c r="VYJ73" s="97"/>
      <c r="VYK73" s="97"/>
      <c r="VYL73" s="97"/>
      <c r="VYM73" s="97"/>
      <c r="VYN73" s="97"/>
      <c r="VYO73" s="97"/>
      <c r="VYP73" s="97"/>
      <c r="VYQ73" s="97"/>
      <c r="VYR73" s="97"/>
      <c r="VYS73" s="97"/>
      <c r="VYT73" s="97"/>
      <c r="VYU73" s="97"/>
      <c r="VYV73" s="97"/>
      <c r="VYW73" s="97"/>
      <c r="VYX73" s="97"/>
      <c r="VYY73" s="97"/>
      <c r="VYZ73" s="97"/>
      <c r="VZA73" s="97"/>
      <c r="VZB73" s="97"/>
      <c r="VZC73" s="97"/>
      <c r="VZD73" s="97"/>
      <c r="VZE73" s="97"/>
      <c r="VZF73" s="97"/>
      <c r="VZG73" s="97"/>
      <c r="VZH73" s="97"/>
      <c r="VZI73" s="97"/>
      <c r="VZJ73" s="97"/>
      <c r="VZK73" s="97"/>
      <c r="VZL73" s="97"/>
      <c r="VZM73" s="97"/>
      <c r="VZN73" s="97"/>
      <c r="VZO73" s="97"/>
      <c r="VZP73" s="97"/>
      <c r="VZQ73" s="97"/>
      <c r="VZR73" s="97"/>
      <c r="VZS73" s="97"/>
      <c r="VZT73" s="97"/>
      <c r="VZU73" s="97"/>
      <c r="VZV73" s="97"/>
      <c r="VZW73" s="97"/>
      <c r="VZX73" s="97"/>
      <c r="VZY73" s="97"/>
      <c r="VZZ73" s="97"/>
      <c r="WAA73" s="97"/>
      <c r="WAB73" s="97"/>
      <c r="WAC73" s="97"/>
      <c r="WAD73" s="97"/>
      <c r="WAE73" s="97"/>
      <c r="WAF73" s="97"/>
      <c r="WAG73" s="97"/>
      <c r="WAH73" s="97"/>
      <c r="WAI73" s="97"/>
      <c r="WAJ73" s="97"/>
      <c r="WAK73" s="97"/>
      <c r="WAL73" s="97"/>
      <c r="WAM73" s="97"/>
      <c r="WAN73" s="97"/>
      <c r="WAO73" s="97"/>
      <c r="WAP73" s="97"/>
      <c r="WAQ73" s="97"/>
      <c r="WAR73" s="97"/>
      <c r="WAS73" s="97"/>
      <c r="WAT73" s="97"/>
      <c r="WAU73" s="97"/>
      <c r="WAV73" s="97"/>
      <c r="WAW73" s="97"/>
      <c r="WAX73" s="97"/>
      <c r="WAY73" s="97"/>
      <c r="WAZ73" s="97"/>
      <c r="WBA73" s="97"/>
      <c r="WBB73" s="97"/>
      <c r="WBC73" s="97"/>
      <c r="WBD73" s="97"/>
      <c r="WBE73" s="97"/>
      <c r="WBF73" s="97"/>
      <c r="WBG73" s="97"/>
      <c r="WBH73" s="97"/>
      <c r="WBI73" s="97"/>
      <c r="WBJ73" s="97"/>
      <c r="WBK73" s="97"/>
      <c r="WBL73" s="97"/>
      <c r="WBM73" s="97"/>
      <c r="WBN73" s="97"/>
      <c r="WBO73" s="97"/>
      <c r="WBP73" s="97"/>
      <c r="WBQ73" s="97"/>
      <c r="WBR73" s="97"/>
      <c r="WBS73" s="97"/>
      <c r="WBT73" s="97"/>
      <c r="WBU73" s="97"/>
      <c r="WBV73" s="97"/>
      <c r="WBW73" s="97"/>
      <c r="WBX73" s="97"/>
      <c r="WBY73" s="97"/>
      <c r="WBZ73" s="97"/>
      <c r="WCA73" s="97"/>
      <c r="WCB73" s="97"/>
      <c r="WCC73" s="97"/>
      <c r="WCD73" s="97"/>
      <c r="WCE73" s="97"/>
      <c r="WCF73" s="97"/>
      <c r="WCG73" s="97"/>
      <c r="WCH73" s="97"/>
      <c r="WCI73" s="97"/>
      <c r="WCJ73" s="97"/>
      <c r="WCK73" s="97"/>
      <c r="WCL73" s="97"/>
      <c r="WCM73" s="97"/>
      <c r="WCN73" s="97"/>
      <c r="WCO73" s="97"/>
      <c r="WCP73" s="97"/>
      <c r="WCQ73" s="97"/>
      <c r="WCR73" s="97"/>
      <c r="WCS73" s="97"/>
      <c r="WCT73" s="97"/>
      <c r="WCU73" s="97"/>
      <c r="WCV73" s="97"/>
      <c r="WCW73" s="97"/>
      <c r="WCX73" s="97"/>
      <c r="WCY73" s="97"/>
      <c r="WCZ73" s="97"/>
      <c r="WDA73" s="97"/>
      <c r="WDB73" s="97"/>
      <c r="WDC73" s="97"/>
      <c r="WDD73" s="97"/>
      <c r="WDE73" s="97"/>
      <c r="WDF73" s="97"/>
      <c r="WDG73" s="97"/>
      <c r="WDH73" s="97"/>
      <c r="WDI73" s="97"/>
      <c r="WDJ73" s="97"/>
      <c r="WDK73" s="97"/>
      <c r="WDL73" s="97"/>
      <c r="WDM73" s="97"/>
      <c r="WDN73" s="97"/>
      <c r="WDO73" s="97"/>
      <c r="WDP73" s="97"/>
      <c r="WDQ73" s="97"/>
      <c r="WDR73" s="97"/>
      <c r="WDS73" s="97"/>
      <c r="WDT73" s="97"/>
      <c r="WDU73" s="97"/>
      <c r="WDV73" s="97"/>
      <c r="WDW73" s="97"/>
      <c r="WDX73" s="97"/>
      <c r="WDY73" s="97"/>
      <c r="WDZ73" s="97"/>
      <c r="WEA73" s="97"/>
      <c r="WEB73" s="97"/>
      <c r="WEC73" s="97"/>
      <c r="WED73" s="97"/>
      <c r="WEE73" s="97"/>
      <c r="WEF73" s="97"/>
      <c r="WEG73" s="97"/>
      <c r="WEH73" s="97"/>
      <c r="WEI73" s="97"/>
      <c r="WEJ73" s="97"/>
      <c r="WEK73" s="97"/>
      <c r="WEL73" s="97"/>
      <c r="WEM73" s="97"/>
      <c r="WEN73" s="97"/>
      <c r="WEO73" s="97"/>
      <c r="WEP73" s="97"/>
      <c r="WEQ73" s="97"/>
      <c r="WER73" s="97"/>
      <c r="WES73" s="97"/>
      <c r="WET73" s="97"/>
      <c r="WEU73" s="97"/>
      <c r="WEV73" s="97"/>
      <c r="WEW73" s="97"/>
      <c r="WEX73" s="97"/>
      <c r="WEY73" s="97"/>
      <c r="WEZ73" s="97"/>
      <c r="WFA73" s="97"/>
      <c r="WFB73" s="97"/>
      <c r="WFC73" s="97"/>
      <c r="WFD73" s="97"/>
      <c r="WFE73" s="97"/>
      <c r="WFF73" s="97"/>
      <c r="WFG73" s="97"/>
      <c r="WFH73" s="97"/>
      <c r="WFI73" s="97"/>
      <c r="WFJ73" s="97"/>
      <c r="WFK73" s="97"/>
      <c r="WFL73" s="97"/>
      <c r="WFM73" s="97"/>
      <c r="WFN73" s="97"/>
      <c r="WFO73" s="97"/>
      <c r="WFP73" s="97"/>
      <c r="WFQ73" s="97"/>
      <c r="WFR73" s="97"/>
      <c r="WFS73" s="97"/>
      <c r="WFT73" s="97"/>
      <c r="WFU73" s="97"/>
      <c r="WFV73" s="97"/>
      <c r="WFW73" s="97"/>
      <c r="WFX73" s="97"/>
      <c r="WFY73" s="97"/>
      <c r="WFZ73" s="97"/>
      <c r="WGA73" s="97"/>
      <c r="WGB73" s="97"/>
      <c r="WGC73" s="97"/>
      <c r="WGD73" s="97"/>
      <c r="WGE73" s="97"/>
      <c r="WGF73" s="97"/>
      <c r="WGG73" s="97"/>
      <c r="WGH73" s="97"/>
      <c r="WGI73" s="97"/>
      <c r="WGJ73" s="97"/>
      <c r="WGK73" s="97"/>
      <c r="WGL73" s="97"/>
      <c r="WGM73" s="97"/>
      <c r="WGN73" s="97"/>
      <c r="WGO73" s="97"/>
      <c r="WGP73" s="97"/>
      <c r="WGQ73" s="97"/>
      <c r="WGR73" s="97"/>
      <c r="WGS73" s="97"/>
      <c r="WGT73" s="97"/>
      <c r="WGU73" s="97"/>
      <c r="WGV73" s="97"/>
      <c r="WGW73" s="97"/>
      <c r="WGX73" s="97"/>
      <c r="WGY73" s="97"/>
      <c r="WGZ73" s="97"/>
      <c r="WHA73" s="97"/>
      <c r="WHB73" s="97"/>
      <c r="WHC73" s="97"/>
      <c r="WHD73" s="97"/>
      <c r="WHE73" s="97"/>
      <c r="WHF73" s="97"/>
      <c r="WHG73" s="97"/>
      <c r="WHH73" s="97"/>
      <c r="WHI73" s="97"/>
      <c r="WHJ73" s="97"/>
      <c r="WHK73" s="97"/>
      <c r="WHL73" s="97"/>
      <c r="WHM73" s="97"/>
      <c r="WHN73" s="97"/>
      <c r="WHO73" s="97"/>
      <c r="WHP73" s="97"/>
      <c r="WHQ73" s="97"/>
      <c r="WHR73" s="97"/>
      <c r="WHS73" s="97"/>
      <c r="WHT73" s="97"/>
      <c r="WHU73" s="97"/>
      <c r="WHV73" s="97"/>
      <c r="WHW73" s="97"/>
      <c r="WHX73" s="97"/>
      <c r="WHY73" s="97"/>
      <c r="WHZ73" s="97"/>
      <c r="WIA73" s="97"/>
      <c r="WIB73" s="97"/>
      <c r="WIC73" s="97"/>
      <c r="WID73" s="97"/>
      <c r="WIE73" s="97"/>
      <c r="WIF73" s="97"/>
      <c r="WIG73" s="97"/>
      <c r="WIH73" s="97"/>
      <c r="WII73" s="97"/>
      <c r="WIJ73" s="97"/>
      <c r="WIK73" s="97"/>
      <c r="WIL73" s="97"/>
      <c r="WIM73" s="97"/>
      <c r="WIN73" s="97"/>
      <c r="WIO73" s="97"/>
      <c r="WIP73" s="97"/>
      <c r="WIQ73" s="97"/>
      <c r="WIR73" s="97"/>
      <c r="WIS73" s="97"/>
      <c r="WIT73" s="97"/>
      <c r="WIU73" s="97"/>
      <c r="WIV73" s="97"/>
      <c r="WIW73" s="97"/>
      <c r="WIX73" s="97"/>
      <c r="WIY73" s="97"/>
      <c r="WIZ73" s="97"/>
      <c r="WJA73" s="97"/>
      <c r="WJB73" s="97"/>
      <c r="WJC73" s="97"/>
      <c r="WJD73" s="97"/>
      <c r="WJE73" s="97"/>
      <c r="WJF73" s="97"/>
      <c r="WJG73" s="97"/>
      <c r="WJH73" s="97"/>
      <c r="WJI73" s="97"/>
      <c r="WJJ73" s="97"/>
      <c r="WJK73" s="97"/>
      <c r="WJL73" s="97"/>
      <c r="WJM73" s="97"/>
      <c r="WJN73" s="97"/>
      <c r="WJO73" s="97"/>
      <c r="WJP73" s="97"/>
      <c r="WJQ73" s="97"/>
      <c r="WJR73" s="97"/>
      <c r="WJS73" s="97"/>
      <c r="WJT73" s="97"/>
      <c r="WJU73" s="97"/>
      <c r="WJV73" s="97"/>
      <c r="WJW73" s="97"/>
      <c r="WJX73" s="97"/>
      <c r="WJY73" s="97"/>
      <c r="WJZ73" s="97"/>
      <c r="WKA73" s="97"/>
      <c r="WKB73" s="97"/>
      <c r="WKC73" s="97"/>
      <c r="WKD73" s="97"/>
      <c r="WKE73" s="97"/>
      <c r="WKF73" s="97"/>
      <c r="WKG73" s="97"/>
      <c r="WKH73" s="97"/>
      <c r="WKI73" s="97"/>
      <c r="WKJ73" s="97"/>
      <c r="WKK73" s="97"/>
      <c r="WKL73" s="97"/>
      <c r="WKM73" s="97"/>
      <c r="WKN73" s="97"/>
      <c r="WKO73" s="97"/>
      <c r="WKP73" s="97"/>
      <c r="WKQ73" s="97"/>
      <c r="WKR73" s="97"/>
      <c r="WKS73" s="97"/>
      <c r="WKT73" s="97"/>
      <c r="WKU73" s="97"/>
      <c r="WKV73" s="97"/>
      <c r="WKW73" s="97"/>
      <c r="WKX73" s="97"/>
      <c r="WKY73" s="97"/>
      <c r="WKZ73" s="97"/>
      <c r="WLA73" s="97"/>
      <c r="WLB73" s="97"/>
      <c r="WLC73" s="97"/>
      <c r="WLD73" s="97"/>
      <c r="WLE73" s="97"/>
      <c r="WLF73" s="97"/>
      <c r="WLG73" s="97"/>
      <c r="WLH73" s="97"/>
      <c r="WLI73" s="97"/>
      <c r="WLJ73" s="97"/>
      <c r="WLK73" s="97"/>
      <c r="WLL73" s="97"/>
      <c r="WLM73" s="97"/>
      <c r="WLN73" s="97"/>
      <c r="WLO73" s="97"/>
      <c r="WLP73" s="97"/>
      <c r="WLQ73" s="97"/>
      <c r="WLR73" s="97"/>
      <c r="WLS73" s="97"/>
      <c r="WLT73" s="97"/>
      <c r="WLU73" s="97"/>
      <c r="WLV73" s="97"/>
      <c r="WLW73" s="97"/>
      <c r="WLX73" s="97"/>
      <c r="WLY73" s="97"/>
      <c r="WLZ73" s="97"/>
      <c r="WMA73" s="97"/>
      <c r="WMB73" s="97"/>
      <c r="WMC73" s="97"/>
      <c r="WMD73" s="97"/>
      <c r="WME73" s="97"/>
      <c r="WMF73" s="97"/>
      <c r="WMG73" s="97"/>
      <c r="WMH73" s="97"/>
      <c r="WMI73" s="97"/>
      <c r="WMJ73" s="97"/>
      <c r="WMK73" s="97"/>
      <c r="WML73" s="97"/>
      <c r="WMM73" s="97"/>
      <c r="WMN73" s="97"/>
      <c r="WMO73" s="97"/>
      <c r="WMP73" s="97"/>
      <c r="WMQ73" s="97"/>
      <c r="WMR73" s="97"/>
      <c r="WMS73" s="97"/>
      <c r="WMT73" s="97"/>
      <c r="WMU73" s="97"/>
      <c r="WMV73" s="97"/>
      <c r="WMW73" s="97"/>
      <c r="WMX73" s="97"/>
      <c r="WMY73" s="97"/>
      <c r="WMZ73" s="97"/>
      <c r="WNA73" s="97"/>
      <c r="WNB73" s="97"/>
      <c r="WNC73" s="97"/>
      <c r="WND73" s="97"/>
      <c r="WNE73" s="97"/>
      <c r="WNF73" s="97"/>
      <c r="WNG73" s="97"/>
      <c r="WNH73" s="97"/>
      <c r="WNI73" s="97"/>
      <c r="WNJ73" s="97"/>
      <c r="WNK73" s="97"/>
      <c r="WNL73" s="97"/>
      <c r="WNM73" s="97"/>
      <c r="WNN73" s="97"/>
      <c r="WNO73" s="97"/>
      <c r="WNP73" s="97"/>
      <c r="WNQ73" s="97"/>
      <c r="WNR73" s="97"/>
      <c r="WNS73" s="97"/>
      <c r="WNT73" s="97"/>
      <c r="WNU73" s="97"/>
      <c r="WNV73" s="97"/>
      <c r="WNW73" s="97"/>
      <c r="WNX73" s="97"/>
      <c r="WNY73" s="97"/>
      <c r="WNZ73" s="97"/>
      <c r="WOA73" s="97"/>
      <c r="WOB73" s="97"/>
      <c r="WOC73" s="97"/>
      <c r="WOD73" s="97"/>
      <c r="WOE73" s="97"/>
      <c r="WOF73" s="97"/>
      <c r="WOG73" s="97"/>
      <c r="WOH73" s="97"/>
      <c r="WOI73" s="97"/>
      <c r="WOJ73" s="97"/>
      <c r="WOK73" s="97"/>
      <c r="WOL73" s="97"/>
      <c r="WOM73" s="97"/>
      <c r="WON73" s="97"/>
      <c r="WOO73" s="97"/>
      <c r="WOP73" s="97"/>
      <c r="WOQ73" s="97"/>
      <c r="WOR73" s="97"/>
      <c r="WOS73" s="97"/>
      <c r="WOT73" s="97"/>
      <c r="WOU73" s="97"/>
      <c r="WOV73" s="97"/>
      <c r="WOW73" s="97"/>
      <c r="WOX73" s="97"/>
      <c r="WOY73" s="97"/>
      <c r="WOZ73" s="97"/>
      <c r="WPA73" s="97"/>
      <c r="WPB73" s="97"/>
      <c r="WPC73" s="97"/>
      <c r="WPD73" s="97"/>
      <c r="WPE73" s="97"/>
      <c r="WPF73" s="97"/>
      <c r="WPG73" s="97"/>
      <c r="WPH73" s="97"/>
      <c r="WPI73" s="97"/>
      <c r="WPJ73" s="97"/>
      <c r="WPK73" s="97"/>
      <c r="WPL73" s="97"/>
      <c r="WPM73" s="97"/>
      <c r="WPN73" s="97"/>
      <c r="WPO73" s="97"/>
      <c r="WPP73" s="97"/>
      <c r="WPQ73" s="97"/>
      <c r="WPR73" s="97"/>
      <c r="WPS73" s="97"/>
    </row>
    <row r="74" spans="1:15983" ht="12" customHeight="1" x14ac:dyDescent="0.25">
      <c r="A74" s="114" t="s">
        <v>317</v>
      </c>
      <c r="B74" s="97"/>
      <c r="C74" s="97"/>
      <c r="D74" s="97"/>
      <c r="E74" s="97"/>
      <c r="F74" s="97"/>
      <c r="G74" s="97"/>
      <c r="H74" s="97"/>
      <c r="I74" s="97"/>
      <c r="J74" s="97"/>
      <c r="K74" s="97"/>
      <c r="L74" s="97"/>
      <c r="M74" s="206"/>
      <c r="N74" s="97"/>
      <c r="O74" s="97"/>
      <c r="P74" s="97"/>
      <c r="Q74" s="97"/>
      <c r="R74" s="97"/>
      <c r="S74" s="97"/>
      <c r="T74" s="97"/>
      <c r="U74" s="97"/>
      <c r="V74" s="97"/>
      <c r="W74" s="97"/>
      <c r="X74" s="97"/>
      <c r="Y74" s="97"/>
      <c r="Z74" s="97"/>
      <c r="AA74" s="97"/>
      <c r="AB74" s="97"/>
      <c r="AC74" s="97"/>
      <c r="AD74" s="97"/>
      <c r="AE74" s="97"/>
      <c r="AF74" s="97"/>
      <c r="AG74" s="97"/>
      <c r="AH74" s="97"/>
      <c r="AI74" s="97"/>
      <c r="AJ74" s="97"/>
      <c r="AK74" s="97"/>
      <c r="AL74" s="97"/>
      <c r="AM74" s="97"/>
      <c r="AN74" s="97"/>
      <c r="AO74" s="97"/>
      <c r="AP74" s="97"/>
      <c r="AQ74" s="97"/>
      <c r="AR74" s="97"/>
      <c r="AS74" s="97"/>
      <c r="AT74" s="97"/>
      <c r="AU74" s="97"/>
      <c r="AV74" s="97"/>
      <c r="AW74" s="97"/>
      <c r="AX74" s="97"/>
      <c r="AY74" s="97"/>
      <c r="AZ74" s="97"/>
      <c r="BA74" s="97"/>
      <c r="BB74" s="97"/>
      <c r="BC74" s="97"/>
      <c r="BD74" s="97"/>
      <c r="BE74" s="97"/>
      <c r="BF74" s="97"/>
      <c r="BG74" s="97"/>
      <c r="BH74" s="97"/>
      <c r="BI74" s="97"/>
      <c r="BJ74" s="97"/>
      <c r="BK74" s="97"/>
      <c r="BL74" s="97"/>
      <c r="BM74" s="97"/>
      <c r="BN74" s="97"/>
      <c r="BO74" s="97"/>
      <c r="BP74" s="97"/>
      <c r="BQ74" s="97"/>
      <c r="BR74" s="97"/>
      <c r="BS74" s="97"/>
      <c r="BT74" s="97"/>
      <c r="BU74" s="97"/>
      <c r="BV74" s="97"/>
      <c r="BW74" s="97"/>
      <c r="BX74" s="97"/>
      <c r="BY74" s="97"/>
      <c r="BZ74" s="97"/>
      <c r="CA74" s="97"/>
      <c r="CB74" s="97"/>
      <c r="CC74" s="97"/>
      <c r="CD74" s="97"/>
      <c r="CE74" s="97"/>
      <c r="CF74" s="97"/>
      <c r="CG74" s="97"/>
      <c r="CH74" s="97"/>
      <c r="CI74" s="97"/>
      <c r="CJ74" s="97"/>
      <c r="CK74" s="97"/>
      <c r="CL74" s="97"/>
      <c r="CM74" s="97"/>
      <c r="CN74" s="97"/>
      <c r="CO74" s="97"/>
      <c r="CP74" s="97"/>
      <c r="CQ74" s="97"/>
      <c r="CR74" s="97"/>
      <c r="CS74" s="97"/>
      <c r="CT74" s="97"/>
      <c r="CU74" s="97"/>
      <c r="CV74" s="97"/>
      <c r="CW74" s="97"/>
      <c r="CX74" s="97"/>
      <c r="CY74" s="97"/>
      <c r="CZ74" s="97"/>
      <c r="DA74" s="97"/>
      <c r="DB74" s="97"/>
      <c r="DC74" s="97"/>
      <c r="DD74" s="97"/>
      <c r="DE74" s="97"/>
      <c r="DF74" s="97"/>
      <c r="DG74" s="97"/>
      <c r="DH74" s="97"/>
      <c r="DI74" s="97"/>
      <c r="DJ74" s="97"/>
      <c r="DK74" s="97"/>
      <c r="DL74" s="97"/>
      <c r="DM74" s="97"/>
      <c r="DN74" s="97"/>
      <c r="DO74" s="97"/>
      <c r="DP74" s="97"/>
      <c r="DQ74" s="97"/>
      <c r="DR74" s="97"/>
      <c r="DS74" s="97"/>
      <c r="DT74" s="97"/>
      <c r="DU74" s="97"/>
      <c r="DV74" s="97"/>
      <c r="DW74" s="97"/>
      <c r="DX74" s="97"/>
      <c r="DY74" s="97"/>
      <c r="DZ74" s="97"/>
      <c r="EA74" s="97"/>
      <c r="EB74" s="97"/>
      <c r="EC74" s="97"/>
      <c r="ED74" s="97"/>
      <c r="EE74" s="97"/>
      <c r="EF74" s="97"/>
      <c r="EG74" s="97"/>
      <c r="EH74" s="97"/>
      <c r="EI74" s="97"/>
      <c r="EJ74" s="97"/>
      <c r="EK74" s="97"/>
      <c r="EL74" s="97"/>
      <c r="EM74" s="97"/>
      <c r="EN74" s="97"/>
      <c r="EO74" s="97"/>
      <c r="EP74" s="97"/>
      <c r="EQ74" s="97"/>
      <c r="ER74" s="97"/>
      <c r="ES74" s="97"/>
      <c r="ET74" s="97"/>
      <c r="EU74" s="97"/>
      <c r="EV74" s="97"/>
      <c r="EW74" s="97"/>
      <c r="EX74" s="97"/>
      <c r="EY74" s="97"/>
      <c r="EZ74" s="97"/>
      <c r="FA74" s="97"/>
      <c r="FB74" s="97"/>
      <c r="FC74" s="97"/>
      <c r="FD74" s="97"/>
      <c r="FE74" s="97"/>
      <c r="FF74" s="97"/>
      <c r="FG74" s="97"/>
      <c r="FH74" s="97"/>
      <c r="FI74" s="97"/>
      <c r="FJ74" s="97"/>
      <c r="FK74" s="97"/>
      <c r="FL74" s="97"/>
      <c r="FM74" s="97"/>
      <c r="FN74" s="97"/>
      <c r="FO74" s="97"/>
      <c r="FP74" s="97"/>
      <c r="FQ74" s="97"/>
      <c r="FR74" s="97"/>
      <c r="FS74" s="97"/>
      <c r="FT74" s="97"/>
      <c r="FU74" s="97"/>
      <c r="FV74" s="97"/>
      <c r="FW74" s="97"/>
      <c r="FX74" s="97"/>
      <c r="FY74" s="97"/>
      <c r="FZ74" s="97"/>
      <c r="GA74" s="97"/>
      <c r="GB74" s="97"/>
      <c r="GC74" s="97"/>
      <c r="GD74" s="97"/>
      <c r="GE74" s="97"/>
      <c r="GF74" s="97"/>
      <c r="GG74" s="97"/>
      <c r="GH74" s="97"/>
      <c r="GI74" s="97"/>
      <c r="GJ74" s="97"/>
      <c r="GK74" s="97"/>
      <c r="GL74" s="97"/>
      <c r="GM74" s="97"/>
      <c r="GN74" s="97"/>
      <c r="GO74" s="97"/>
      <c r="GP74" s="97"/>
      <c r="GQ74" s="97"/>
      <c r="GR74" s="97"/>
      <c r="GS74" s="97"/>
      <c r="GT74" s="97"/>
      <c r="GU74" s="97"/>
      <c r="GV74" s="97"/>
      <c r="GW74" s="97"/>
      <c r="GX74" s="97"/>
      <c r="GY74" s="97"/>
      <c r="GZ74" s="97"/>
      <c r="HA74" s="97"/>
      <c r="HB74" s="97"/>
      <c r="HC74" s="97"/>
      <c r="HD74" s="97"/>
      <c r="HE74" s="97"/>
      <c r="HF74" s="97"/>
      <c r="HG74" s="97"/>
      <c r="HH74" s="97"/>
      <c r="HI74" s="97"/>
      <c r="HJ74" s="97"/>
      <c r="HK74" s="97"/>
      <c r="HL74" s="97"/>
      <c r="HM74" s="97"/>
      <c r="HN74" s="97"/>
      <c r="HO74" s="97"/>
      <c r="HP74" s="97"/>
      <c r="HQ74" s="97"/>
      <c r="HR74" s="97"/>
      <c r="HS74" s="97"/>
      <c r="HT74" s="97"/>
      <c r="HU74" s="97"/>
      <c r="HV74" s="97"/>
      <c r="HW74" s="97"/>
      <c r="HX74" s="97"/>
      <c r="HY74" s="97"/>
      <c r="HZ74" s="97"/>
      <c r="IA74" s="97"/>
      <c r="IB74" s="97"/>
      <c r="IC74" s="97"/>
      <c r="ID74" s="97"/>
      <c r="IE74" s="97"/>
      <c r="IF74" s="97"/>
      <c r="IG74" s="97"/>
      <c r="IH74" s="97"/>
      <c r="II74" s="97"/>
      <c r="IJ74" s="97"/>
      <c r="IK74" s="97"/>
      <c r="IL74" s="97"/>
      <c r="IM74" s="97"/>
      <c r="IN74" s="97"/>
      <c r="IO74" s="97"/>
      <c r="IP74" s="97"/>
      <c r="IQ74" s="97"/>
      <c r="IR74" s="97"/>
      <c r="IS74" s="97"/>
      <c r="IT74" s="97"/>
      <c r="IU74" s="97"/>
      <c r="IV74" s="97"/>
      <c r="IW74" s="97"/>
      <c r="IX74" s="97"/>
      <c r="IY74" s="97"/>
      <c r="IZ74" s="97"/>
      <c r="JA74" s="97"/>
      <c r="JB74" s="97"/>
      <c r="JC74" s="97"/>
      <c r="JD74" s="97"/>
      <c r="JE74" s="97"/>
      <c r="JF74" s="97"/>
      <c r="JG74" s="97"/>
      <c r="JH74" s="97"/>
      <c r="JI74" s="97"/>
      <c r="JJ74" s="97"/>
      <c r="JK74" s="97"/>
      <c r="JL74" s="97"/>
      <c r="JM74" s="97"/>
      <c r="JN74" s="97"/>
      <c r="JO74" s="97"/>
      <c r="JP74" s="97"/>
      <c r="JQ74" s="97"/>
      <c r="JR74" s="97"/>
      <c r="JS74" s="97"/>
      <c r="JT74" s="97"/>
      <c r="JU74" s="97"/>
      <c r="JV74" s="97"/>
      <c r="JW74" s="97"/>
      <c r="JX74" s="97"/>
      <c r="JY74" s="97"/>
      <c r="JZ74" s="97"/>
      <c r="KA74" s="97"/>
      <c r="KB74" s="97"/>
      <c r="KC74" s="97"/>
      <c r="KD74" s="97"/>
      <c r="KE74" s="97"/>
      <c r="KF74" s="97"/>
      <c r="KG74" s="97"/>
      <c r="KH74" s="97"/>
      <c r="KI74" s="97"/>
      <c r="KJ74" s="97"/>
      <c r="KK74" s="97"/>
      <c r="KL74" s="97"/>
      <c r="KM74" s="97"/>
      <c r="KN74" s="97"/>
      <c r="KO74" s="97"/>
      <c r="KP74" s="97"/>
      <c r="KQ74" s="97"/>
      <c r="KR74" s="97"/>
      <c r="KS74" s="97"/>
      <c r="KT74" s="97"/>
      <c r="KU74" s="97"/>
      <c r="KV74" s="97"/>
      <c r="KW74" s="97"/>
      <c r="KX74" s="97"/>
      <c r="KY74" s="97"/>
      <c r="KZ74" s="97"/>
      <c r="LA74" s="97"/>
      <c r="LB74" s="97"/>
      <c r="LC74" s="97"/>
      <c r="LD74" s="97"/>
      <c r="LE74" s="97"/>
      <c r="LF74" s="97"/>
      <c r="LG74" s="97"/>
      <c r="LH74" s="97"/>
      <c r="LI74" s="97"/>
      <c r="LJ74" s="97"/>
      <c r="LK74" s="97"/>
      <c r="LL74" s="97"/>
      <c r="LM74" s="97"/>
      <c r="LN74" s="97"/>
      <c r="LO74" s="97"/>
      <c r="LP74" s="97"/>
      <c r="LQ74" s="97"/>
      <c r="LR74" s="97"/>
      <c r="LS74" s="97"/>
      <c r="LT74" s="97"/>
      <c r="LU74" s="97"/>
      <c r="LV74" s="97"/>
      <c r="LW74" s="97"/>
      <c r="LX74" s="97"/>
      <c r="LY74" s="97"/>
      <c r="LZ74" s="97"/>
      <c r="MA74" s="97"/>
      <c r="MB74" s="97"/>
      <c r="MC74" s="97"/>
      <c r="MD74" s="97"/>
      <c r="ME74" s="97"/>
      <c r="MF74" s="97"/>
      <c r="MG74" s="97"/>
      <c r="MH74" s="97"/>
      <c r="MI74" s="97"/>
      <c r="MJ74" s="97"/>
      <c r="MK74" s="97"/>
      <c r="ML74" s="97"/>
      <c r="MM74" s="97"/>
      <c r="MN74" s="97"/>
      <c r="MO74" s="97"/>
      <c r="MP74" s="97"/>
      <c r="MQ74" s="97"/>
      <c r="MR74" s="97"/>
      <c r="MS74" s="97"/>
      <c r="MT74" s="97"/>
      <c r="MU74" s="97"/>
      <c r="MV74" s="97"/>
      <c r="MW74" s="97"/>
      <c r="MX74" s="97"/>
      <c r="MY74" s="97"/>
      <c r="MZ74" s="97"/>
      <c r="NA74" s="97"/>
      <c r="NB74" s="97"/>
      <c r="NC74" s="97"/>
      <c r="ND74" s="97"/>
      <c r="NE74" s="97"/>
      <c r="NF74" s="97"/>
      <c r="NG74" s="97"/>
      <c r="NH74" s="97"/>
      <c r="NI74" s="97"/>
      <c r="NJ74" s="97"/>
      <c r="NK74" s="97"/>
      <c r="NL74" s="97"/>
      <c r="NM74" s="97"/>
      <c r="NN74" s="97"/>
      <c r="NO74" s="97"/>
      <c r="NP74" s="97"/>
      <c r="NQ74" s="97"/>
      <c r="NR74" s="97"/>
      <c r="NS74" s="97"/>
      <c r="NT74" s="97"/>
      <c r="NU74" s="97"/>
      <c r="NV74" s="97"/>
      <c r="NW74" s="97"/>
      <c r="NX74" s="97"/>
      <c r="NY74" s="97"/>
      <c r="NZ74" s="97"/>
      <c r="OA74" s="97"/>
      <c r="OB74" s="97"/>
      <c r="OC74" s="97"/>
      <c r="OD74" s="97"/>
      <c r="OE74" s="97"/>
      <c r="OF74" s="97"/>
      <c r="OG74" s="97"/>
      <c r="OH74" s="97"/>
      <c r="OI74" s="97"/>
      <c r="OJ74" s="97"/>
      <c r="OK74" s="97"/>
      <c r="OL74" s="97"/>
      <c r="OM74" s="97"/>
      <c r="ON74" s="97"/>
      <c r="OO74" s="97"/>
      <c r="OP74" s="97"/>
      <c r="OQ74" s="97"/>
      <c r="OR74" s="97"/>
      <c r="OS74" s="97"/>
      <c r="OT74" s="97"/>
      <c r="OU74" s="97"/>
      <c r="OV74" s="97"/>
      <c r="OW74" s="97"/>
      <c r="OX74" s="97"/>
      <c r="OY74" s="97"/>
      <c r="OZ74" s="97"/>
      <c r="PA74" s="97"/>
      <c r="PB74" s="97"/>
      <c r="PC74" s="97"/>
      <c r="PD74" s="97"/>
      <c r="PE74" s="97"/>
      <c r="PF74" s="97"/>
      <c r="PG74" s="97"/>
      <c r="PH74" s="97"/>
      <c r="PI74" s="97"/>
      <c r="PJ74" s="97"/>
      <c r="PK74" s="97"/>
      <c r="PL74" s="97"/>
      <c r="PM74" s="97"/>
      <c r="PN74" s="97"/>
      <c r="PO74" s="97"/>
      <c r="PP74" s="97"/>
      <c r="PQ74" s="97"/>
      <c r="PR74" s="97"/>
      <c r="PS74" s="97"/>
      <c r="PT74" s="97"/>
      <c r="PU74" s="97"/>
      <c r="PV74" s="97"/>
      <c r="PW74" s="97"/>
      <c r="PX74" s="97"/>
      <c r="PY74" s="97"/>
      <c r="PZ74" s="97"/>
      <c r="QA74" s="97"/>
      <c r="QB74" s="97"/>
      <c r="QC74" s="97"/>
      <c r="QD74" s="97"/>
      <c r="QE74" s="97"/>
      <c r="QF74" s="97"/>
      <c r="QG74" s="97"/>
      <c r="QH74" s="97"/>
      <c r="QI74" s="97"/>
      <c r="QJ74" s="97"/>
      <c r="QK74" s="97"/>
      <c r="QL74" s="97"/>
      <c r="QM74" s="97"/>
      <c r="QN74" s="97"/>
      <c r="QO74" s="97"/>
      <c r="QP74" s="97"/>
      <c r="QQ74" s="97"/>
      <c r="QR74" s="97"/>
      <c r="QS74" s="97"/>
      <c r="QT74" s="97"/>
      <c r="QU74" s="97"/>
      <c r="QV74" s="97"/>
      <c r="QW74" s="97"/>
      <c r="QX74" s="97"/>
      <c r="QY74" s="97"/>
      <c r="QZ74" s="97"/>
      <c r="RA74" s="97"/>
      <c r="RB74" s="97"/>
      <c r="RC74" s="97"/>
      <c r="RD74" s="97"/>
      <c r="RE74" s="97"/>
      <c r="RF74" s="97"/>
      <c r="RG74" s="97"/>
      <c r="RH74" s="97"/>
      <c r="RI74" s="97"/>
      <c r="RJ74" s="97"/>
      <c r="RK74" s="97"/>
      <c r="RL74" s="97"/>
      <c r="RM74" s="97"/>
      <c r="RN74" s="97"/>
      <c r="RO74" s="97"/>
      <c r="RP74" s="97"/>
      <c r="RQ74" s="97"/>
      <c r="RR74" s="97"/>
      <c r="RS74" s="97"/>
      <c r="RT74" s="97"/>
      <c r="RU74" s="97"/>
      <c r="RV74" s="97"/>
      <c r="RW74" s="97"/>
      <c r="RX74" s="97"/>
      <c r="RY74" s="97"/>
      <c r="RZ74" s="97"/>
      <c r="SA74" s="97"/>
      <c r="SB74" s="97"/>
      <c r="SC74" s="97"/>
      <c r="SD74" s="97"/>
      <c r="SE74" s="97"/>
      <c r="SF74" s="97"/>
      <c r="SG74" s="97"/>
      <c r="SH74" s="97"/>
      <c r="SI74" s="97"/>
      <c r="SJ74" s="97"/>
      <c r="SK74" s="97"/>
      <c r="SL74" s="97"/>
      <c r="SM74" s="97"/>
      <c r="SN74" s="97"/>
      <c r="SO74" s="97"/>
      <c r="SP74" s="97"/>
      <c r="SQ74" s="97"/>
      <c r="SR74" s="97"/>
      <c r="SS74" s="97"/>
      <c r="ST74" s="97"/>
      <c r="SU74" s="97"/>
      <c r="SV74" s="97"/>
      <c r="SW74" s="97"/>
      <c r="SX74" s="97"/>
      <c r="SY74" s="97"/>
      <c r="SZ74" s="97"/>
      <c r="TA74" s="97"/>
      <c r="TB74" s="97"/>
      <c r="TC74" s="97"/>
      <c r="TD74" s="97"/>
      <c r="TE74" s="97"/>
      <c r="TF74" s="97"/>
      <c r="TG74" s="97"/>
      <c r="TH74" s="97"/>
      <c r="TI74" s="97"/>
      <c r="TJ74" s="97"/>
      <c r="TK74" s="97"/>
      <c r="TL74" s="97"/>
      <c r="TM74" s="97"/>
      <c r="TN74" s="97"/>
      <c r="TO74" s="97"/>
      <c r="TP74" s="97"/>
      <c r="TQ74" s="97"/>
      <c r="TR74" s="97"/>
      <c r="TS74" s="97"/>
      <c r="TT74" s="97"/>
      <c r="TU74" s="97"/>
      <c r="TV74" s="97"/>
      <c r="TW74" s="97"/>
      <c r="TX74" s="97"/>
      <c r="TY74" s="97"/>
      <c r="TZ74" s="97"/>
      <c r="UA74" s="97"/>
      <c r="UB74" s="97"/>
      <c r="UC74" s="97"/>
      <c r="UD74" s="97"/>
      <c r="UE74" s="97"/>
      <c r="UF74" s="97"/>
      <c r="UG74" s="97"/>
      <c r="UH74" s="97"/>
      <c r="UI74" s="97"/>
      <c r="UJ74" s="97"/>
      <c r="UK74" s="97"/>
      <c r="UL74" s="97"/>
      <c r="UM74" s="97"/>
      <c r="UN74" s="97"/>
      <c r="UO74" s="97"/>
      <c r="UP74" s="97"/>
      <c r="UQ74" s="97"/>
      <c r="UR74" s="97"/>
      <c r="US74" s="97"/>
      <c r="UT74" s="97"/>
      <c r="UU74" s="97"/>
      <c r="UV74" s="97"/>
      <c r="UW74" s="97"/>
      <c r="UX74" s="97"/>
      <c r="UY74" s="97"/>
      <c r="UZ74" s="97"/>
      <c r="VA74" s="97"/>
      <c r="VB74" s="97"/>
      <c r="VC74" s="97"/>
      <c r="VD74" s="97"/>
      <c r="VE74" s="97"/>
      <c r="VF74" s="97"/>
      <c r="VG74" s="97"/>
      <c r="VH74" s="97"/>
      <c r="VI74" s="97"/>
      <c r="VJ74" s="97"/>
      <c r="VK74" s="97"/>
      <c r="VL74" s="97"/>
      <c r="VM74" s="97"/>
      <c r="VN74" s="97"/>
      <c r="VO74" s="97"/>
      <c r="VP74" s="97"/>
      <c r="VQ74" s="97"/>
      <c r="VR74" s="97"/>
      <c r="VS74" s="97"/>
      <c r="VT74" s="97"/>
      <c r="VU74" s="97"/>
      <c r="VV74" s="97"/>
      <c r="VW74" s="97"/>
      <c r="VX74" s="97"/>
      <c r="VY74" s="97"/>
      <c r="VZ74" s="97"/>
      <c r="WA74" s="97"/>
      <c r="WB74" s="97"/>
      <c r="WC74" s="97"/>
      <c r="WD74" s="97"/>
      <c r="WE74" s="97"/>
      <c r="WF74" s="97"/>
      <c r="WG74" s="97"/>
      <c r="WH74" s="97"/>
      <c r="WI74" s="97"/>
      <c r="WJ74" s="97"/>
      <c r="WK74" s="97"/>
      <c r="WL74" s="97"/>
      <c r="WM74" s="97"/>
      <c r="WN74" s="97"/>
      <c r="WO74" s="97"/>
      <c r="WP74" s="97"/>
      <c r="WQ74" s="97"/>
      <c r="WR74" s="97"/>
      <c r="WS74" s="97"/>
      <c r="WT74" s="97"/>
      <c r="WU74" s="97"/>
      <c r="WV74" s="97"/>
      <c r="WW74" s="97"/>
      <c r="WX74" s="97"/>
      <c r="WY74" s="97"/>
      <c r="WZ74" s="97"/>
      <c r="XA74" s="97"/>
      <c r="XB74" s="97"/>
      <c r="XC74" s="97"/>
      <c r="XD74" s="97"/>
      <c r="XE74" s="97"/>
      <c r="XF74" s="97"/>
      <c r="XG74" s="97"/>
      <c r="XH74" s="97"/>
      <c r="XI74" s="97"/>
      <c r="XJ74" s="97"/>
      <c r="XK74" s="97"/>
      <c r="XL74" s="97"/>
      <c r="XM74" s="97"/>
      <c r="XN74" s="97"/>
      <c r="XO74" s="97"/>
      <c r="XP74" s="97"/>
      <c r="XQ74" s="97"/>
      <c r="XR74" s="97"/>
      <c r="XS74" s="97"/>
      <c r="XT74" s="97"/>
      <c r="XU74" s="97"/>
      <c r="XV74" s="97"/>
      <c r="XW74" s="97"/>
      <c r="XX74" s="97"/>
      <c r="XY74" s="97"/>
      <c r="XZ74" s="97"/>
      <c r="YA74" s="97"/>
      <c r="YB74" s="97"/>
      <c r="YC74" s="97"/>
      <c r="YD74" s="97"/>
      <c r="YE74" s="97"/>
      <c r="YF74" s="97"/>
      <c r="YG74" s="97"/>
      <c r="YH74" s="97"/>
      <c r="YI74" s="97"/>
      <c r="YJ74" s="97"/>
      <c r="YK74" s="97"/>
      <c r="YL74" s="97"/>
      <c r="YM74" s="97"/>
      <c r="YN74" s="97"/>
      <c r="YO74" s="97"/>
      <c r="YP74" s="97"/>
      <c r="YQ74" s="97"/>
      <c r="YR74" s="97"/>
      <c r="YS74" s="97"/>
      <c r="YT74" s="97"/>
      <c r="YU74" s="97"/>
      <c r="YV74" s="97"/>
      <c r="YW74" s="97"/>
      <c r="YX74" s="97"/>
      <c r="YY74" s="97"/>
      <c r="YZ74" s="97"/>
      <c r="ZA74" s="97"/>
      <c r="ZB74" s="97"/>
      <c r="ZC74" s="97"/>
      <c r="ZD74" s="97"/>
      <c r="ZE74" s="97"/>
      <c r="ZF74" s="97"/>
      <c r="ZG74" s="97"/>
      <c r="ZH74" s="97"/>
      <c r="ZI74" s="97"/>
      <c r="ZJ74" s="97"/>
      <c r="ZK74" s="97"/>
      <c r="ZL74" s="97"/>
      <c r="ZM74" s="97"/>
      <c r="ZN74" s="97"/>
      <c r="ZO74" s="97"/>
      <c r="ZP74" s="97"/>
      <c r="ZQ74" s="97"/>
      <c r="ZR74" s="97"/>
      <c r="ZS74" s="97"/>
      <c r="ZT74" s="97"/>
      <c r="ZU74" s="97"/>
      <c r="ZV74" s="97"/>
      <c r="ZW74" s="97"/>
      <c r="ZX74" s="97"/>
      <c r="ZY74" s="97"/>
      <c r="ZZ74" s="97"/>
      <c r="AAA74" s="97"/>
      <c r="AAB74" s="97"/>
      <c r="AAC74" s="97"/>
      <c r="AAD74" s="97"/>
      <c r="AAE74" s="97"/>
      <c r="AAF74" s="97"/>
      <c r="AAG74" s="97"/>
      <c r="AAH74" s="97"/>
      <c r="AAI74" s="97"/>
      <c r="AAJ74" s="97"/>
      <c r="AAK74" s="97"/>
      <c r="AAL74" s="97"/>
      <c r="AAM74" s="97"/>
      <c r="AAN74" s="97"/>
      <c r="AAO74" s="97"/>
      <c r="AAP74" s="97"/>
      <c r="AAQ74" s="97"/>
      <c r="AAR74" s="97"/>
      <c r="AAS74" s="97"/>
      <c r="AAT74" s="97"/>
      <c r="AAU74" s="97"/>
      <c r="AAV74" s="97"/>
      <c r="AAW74" s="97"/>
      <c r="AAX74" s="97"/>
      <c r="AAY74" s="97"/>
      <c r="AAZ74" s="97"/>
      <c r="ABA74" s="97"/>
      <c r="ABB74" s="97"/>
      <c r="ABC74" s="97"/>
      <c r="ABD74" s="97"/>
      <c r="ABE74" s="97"/>
      <c r="ABF74" s="97"/>
      <c r="ABG74" s="97"/>
      <c r="ABH74" s="97"/>
      <c r="ABI74" s="97"/>
      <c r="ABJ74" s="97"/>
      <c r="ABK74" s="97"/>
      <c r="ABL74" s="97"/>
      <c r="ABM74" s="97"/>
      <c r="ABN74" s="97"/>
      <c r="ABO74" s="97"/>
      <c r="ABP74" s="97"/>
      <c r="ABQ74" s="97"/>
      <c r="ABR74" s="97"/>
      <c r="ABS74" s="97"/>
      <c r="ABT74" s="97"/>
      <c r="ABU74" s="97"/>
      <c r="ABV74" s="97"/>
      <c r="ABW74" s="97"/>
      <c r="ABX74" s="97"/>
      <c r="ABY74" s="97"/>
      <c r="ABZ74" s="97"/>
      <c r="ACA74" s="97"/>
      <c r="ACB74" s="97"/>
      <c r="ACC74" s="97"/>
      <c r="ACD74" s="97"/>
      <c r="ACE74" s="97"/>
      <c r="ACF74" s="97"/>
      <c r="ACG74" s="97"/>
      <c r="ACH74" s="97"/>
      <c r="ACI74" s="97"/>
      <c r="ACJ74" s="97"/>
      <c r="ACK74" s="97"/>
      <c r="ACL74" s="97"/>
      <c r="ACM74" s="97"/>
      <c r="ACN74" s="97"/>
      <c r="ACO74" s="97"/>
      <c r="ACP74" s="97"/>
      <c r="ACQ74" s="97"/>
      <c r="ACR74" s="97"/>
      <c r="ACS74" s="97"/>
      <c r="ACT74" s="97"/>
      <c r="ACU74" s="97"/>
      <c r="ACV74" s="97"/>
      <c r="ACW74" s="97"/>
      <c r="ACX74" s="97"/>
      <c r="ACY74" s="97"/>
      <c r="ACZ74" s="97"/>
      <c r="ADA74" s="97"/>
      <c r="ADB74" s="97"/>
      <c r="ADC74" s="97"/>
      <c r="ADD74" s="97"/>
      <c r="ADE74" s="97"/>
      <c r="ADF74" s="97"/>
      <c r="ADG74" s="97"/>
      <c r="ADH74" s="97"/>
      <c r="ADI74" s="97"/>
      <c r="ADJ74" s="97"/>
      <c r="ADK74" s="97"/>
      <c r="ADL74" s="97"/>
      <c r="ADM74" s="97"/>
      <c r="ADN74" s="97"/>
      <c r="ADO74" s="97"/>
      <c r="ADP74" s="97"/>
      <c r="ADQ74" s="97"/>
      <c r="ADR74" s="97"/>
      <c r="ADS74" s="97"/>
      <c r="ADT74" s="97"/>
      <c r="ADU74" s="97"/>
      <c r="ADV74" s="97"/>
      <c r="ADW74" s="97"/>
      <c r="ADX74" s="97"/>
      <c r="ADY74" s="97"/>
      <c r="ADZ74" s="97"/>
      <c r="AEA74" s="97"/>
      <c r="AEB74" s="97"/>
      <c r="AEC74" s="97"/>
      <c r="AED74" s="97"/>
      <c r="AEE74" s="97"/>
      <c r="AEF74" s="97"/>
      <c r="AEG74" s="97"/>
      <c r="AEH74" s="97"/>
      <c r="AEI74" s="97"/>
      <c r="AEJ74" s="97"/>
      <c r="AEK74" s="97"/>
      <c r="AEL74" s="97"/>
      <c r="AEM74" s="97"/>
      <c r="AEN74" s="97"/>
      <c r="AEO74" s="97"/>
      <c r="AEP74" s="97"/>
      <c r="AEQ74" s="97"/>
      <c r="AER74" s="97"/>
      <c r="AES74" s="97"/>
      <c r="AET74" s="97"/>
      <c r="AEU74" s="97"/>
      <c r="AEV74" s="97"/>
      <c r="AEW74" s="97"/>
      <c r="AEX74" s="97"/>
      <c r="AEY74" s="97"/>
      <c r="AEZ74" s="97"/>
      <c r="AFA74" s="97"/>
      <c r="AFB74" s="97"/>
      <c r="AFC74" s="97"/>
      <c r="AFD74" s="97"/>
      <c r="AFE74" s="97"/>
      <c r="AFF74" s="97"/>
      <c r="AFG74" s="97"/>
      <c r="AFH74" s="97"/>
      <c r="AFI74" s="97"/>
      <c r="AFJ74" s="97"/>
      <c r="AFK74" s="97"/>
      <c r="AFL74" s="97"/>
      <c r="AFM74" s="97"/>
      <c r="AFN74" s="97"/>
      <c r="AFO74" s="97"/>
      <c r="AFP74" s="97"/>
      <c r="AFQ74" s="97"/>
      <c r="AFR74" s="97"/>
      <c r="AFS74" s="97"/>
      <c r="AFT74" s="97"/>
      <c r="AFU74" s="97"/>
      <c r="AFV74" s="97"/>
      <c r="AFW74" s="97"/>
      <c r="AFX74" s="97"/>
      <c r="AFY74" s="97"/>
      <c r="AFZ74" s="97"/>
      <c r="AGA74" s="97"/>
      <c r="AGB74" s="97"/>
      <c r="AGC74" s="97"/>
      <c r="AGD74" s="97"/>
      <c r="AGE74" s="97"/>
      <c r="AGF74" s="97"/>
      <c r="AGG74" s="97"/>
      <c r="AGH74" s="97"/>
      <c r="AGI74" s="97"/>
      <c r="AGJ74" s="97"/>
      <c r="AGK74" s="97"/>
      <c r="AGL74" s="97"/>
      <c r="AGM74" s="97"/>
      <c r="AGN74" s="97"/>
      <c r="AGO74" s="97"/>
      <c r="AGP74" s="97"/>
      <c r="AGQ74" s="97"/>
      <c r="AGR74" s="97"/>
      <c r="AGS74" s="97"/>
      <c r="AGT74" s="97"/>
      <c r="AGU74" s="97"/>
      <c r="AGV74" s="97"/>
      <c r="AGW74" s="97"/>
      <c r="AGX74" s="97"/>
      <c r="AGY74" s="97"/>
      <c r="AGZ74" s="97"/>
      <c r="AHA74" s="97"/>
      <c r="AHB74" s="97"/>
      <c r="AHC74" s="97"/>
      <c r="AHD74" s="97"/>
      <c r="AHE74" s="97"/>
      <c r="AHF74" s="97"/>
      <c r="AHG74" s="97"/>
      <c r="AHH74" s="97"/>
      <c r="AHI74" s="97"/>
      <c r="AHJ74" s="97"/>
      <c r="AHK74" s="97"/>
      <c r="AHL74" s="97"/>
      <c r="AHM74" s="97"/>
      <c r="AHN74" s="97"/>
      <c r="AHO74" s="97"/>
      <c r="AHP74" s="97"/>
      <c r="AHQ74" s="97"/>
      <c r="AHR74" s="97"/>
      <c r="AHS74" s="97"/>
      <c r="AHT74" s="97"/>
      <c r="AHU74" s="97"/>
      <c r="AHV74" s="97"/>
      <c r="AHW74" s="97"/>
      <c r="AHX74" s="97"/>
      <c r="AHY74" s="97"/>
      <c r="AHZ74" s="97"/>
      <c r="AIA74" s="97"/>
      <c r="AIB74" s="97"/>
      <c r="AIC74" s="97"/>
      <c r="AID74" s="97"/>
      <c r="AIE74" s="97"/>
      <c r="AIF74" s="97"/>
      <c r="AIG74" s="97"/>
      <c r="AIH74" s="97"/>
      <c r="AII74" s="97"/>
      <c r="AIJ74" s="97"/>
      <c r="AIK74" s="97"/>
      <c r="AIL74" s="97"/>
      <c r="AIM74" s="97"/>
      <c r="AIN74" s="97"/>
      <c r="AIO74" s="97"/>
      <c r="AIP74" s="97"/>
      <c r="AIQ74" s="97"/>
      <c r="AIR74" s="97"/>
      <c r="AIS74" s="97"/>
      <c r="AIT74" s="97"/>
      <c r="AIU74" s="97"/>
      <c r="AIV74" s="97"/>
      <c r="AIW74" s="97"/>
      <c r="AIX74" s="97"/>
      <c r="AIY74" s="97"/>
      <c r="AIZ74" s="97"/>
      <c r="AJA74" s="97"/>
      <c r="AJB74" s="97"/>
      <c r="AJC74" s="97"/>
      <c r="AJD74" s="97"/>
      <c r="AJE74" s="97"/>
      <c r="AJF74" s="97"/>
      <c r="AJG74" s="97"/>
      <c r="AJH74" s="97"/>
      <c r="AJI74" s="97"/>
      <c r="AJJ74" s="97"/>
      <c r="AJK74" s="97"/>
      <c r="AJL74" s="97"/>
      <c r="AJM74" s="97"/>
      <c r="AJN74" s="97"/>
      <c r="AJO74" s="97"/>
      <c r="AJP74" s="97"/>
      <c r="AJQ74" s="97"/>
      <c r="AJR74" s="97"/>
      <c r="AJS74" s="97"/>
      <c r="AJT74" s="97"/>
      <c r="AJU74" s="97"/>
      <c r="AJV74" s="97"/>
      <c r="AJW74" s="97"/>
      <c r="AJX74" s="97"/>
      <c r="AJY74" s="97"/>
      <c r="AJZ74" s="97"/>
      <c r="AKA74" s="97"/>
      <c r="AKB74" s="97"/>
      <c r="AKC74" s="97"/>
      <c r="AKD74" s="97"/>
      <c r="AKE74" s="97"/>
      <c r="AKF74" s="97"/>
      <c r="AKG74" s="97"/>
      <c r="AKH74" s="97"/>
      <c r="AKI74" s="97"/>
      <c r="AKJ74" s="97"/>
      <c r="AKK74" s="97"/>
      <c r="AKL74" s="97"/>
      <c r="AKM74" s="97"/>
      <c r="AKN74" s="97"/>
      <c r="AKO74" s="97"/>
      <c r="AKP74" s="97"/>
      <c r="AKQ74" s="97"/>
      <c r="AKR74" s="97"/>
      <c r="AKS74" s="97"/>
      <c r="AKT74" s="97"/>
      <c r="AKU74" s="97"/>
      <c r="AKV74" s="97"/>
      <c r="AKW74" s="97"/>
      <c r="AKX74" s="97"/>
      <c r="AKY74" s="97"/>
      <c r="AKZ74" s="97"/>
      <c r="ALA74" s="97"/>
      <c r="ALB74" s="97"/>
      <c r="ALC74" s="97"/>
      <c r="ALD74" s="97"/>
      <c r="ALE74" s="97"/>
      <c r="ALF74" s="97"/>
      <c r="ALG74" s="97"/>
      <c r="ALH74" s="97"/>
      <c r="ALI74" s="97"/>
      <c r="ALJ74" s="97"/>
      <c r="ALK74" s="97"/>
      <c r="ALL74" s="97"/>
      <c r="ALM74" s="97"/>
      <c r="ALN74" s="97"/>
      <c r="ALO74" s="97"/>
      <c r="ALP74" s="97"/>
      <c r="ALQ74" s="97"/>
      <c r="ALR74" s="97"/>
      <c r="ALS74" s="97"/>
      <c r="ALT74" s="97"/>
      <c r="ALU74" s="97"/>
      <c r="ALV74" s="97"/>
      <c r="ALW74" s="97"/>
      <c r="ALX74" s="97"/>
      <c r="ALY74" s="97"/>
      <c r="ALZ74" s="97"/>
      <c r="AMA74" s="97"/>
      <c r="AMB74" s="97"/>
      <c r="AMC74" s="97"/>
      <c r="AMD74" s="97"/>
      <c r="AME74" s="97"/>
      <c r="AMF74" s="97"/>
      <c r="AMG74" s="97"/>
      <c r="AMH74" s="97"/>
      <c r="AMI74" s="97"/>
      <c r="AMJ74" s="97"/>
      <c r="AMK74" s="97"/>
      <c r="AML74" s="97"/>
      <c r="AMM74" s="97"/>
      <c r="AMN74" s="97"/>
      <c r="AMO74" s="97"/>
      <c r="AMP74" s="97"/>
      <c r="AMQ74" s="97"/>
      <c r="AMR74" s="97"/>
      <c r="AMS74" s="97"/>
      <c r="AMT74" s="97"/>
      <c r="AMU74" s="97"/>
      <c r="AMV74" s="97"/>
      <c r="AMW74" s="97"/>
      <c r="AMX74" s="97"/>
      <c r="AMY74" s="97"/>
      <c r="AMZ74" s="97"/>
      <c r="ANA74" s="97"/>
      <c r="ANB74" s="97"/>
      <c r="ANC74" s="97"/>
      <c r="AND74" s="97"/>
      <c r="ANE74" s="97"/>
      <c r="ANF74" s="97"/>
      <c r="ANG74" s="97"/>
      <c r="ANH74" s="97"/>
      <c r="ANI74" s="97"/>
      <c r="ANJ74" s="97"/>
      <c r="ANK74" s="97"/>
      <c r="ANL74" s="97"/>
      <c r="ANM74" s="97"/>
      <c r="ANN74" s="97"/>
      <c r="ANO74" s="97"/>
      <c r="ANP74" s="97"/>
      <c r="ANQ74" s="97"/>
      <c r="ANR74" s="97"/>
      <c r="ANS74" s="97"/>
      <c r="ANT74" s="97"/>
      <c r="ANU74" s="97"/>
      <c r="ANV74" s="97"/>
      <c r="ANW74" s="97"/>
      <c r="ANX74" s="97"/>
      <c r="ANY74" s="97"/>
      <c r="ANZ74" s="97"/>
      <c r="AOA74" s="97"/>
      <c r="AOB74" s="97"/>
      <c r="AOC74" s="97"/>
      <c r="AOD74" s="97"/>
      <c r="AOE74" s="97"/>
      <c r="AOF74" s="97"/>
      <c r="AOG74" s="97"/>
      <c r="AOH74" s="97"/>
      <c r="AOI74" s="97"/>
      <c r="AOJ74" s="97"/>
      <c r="AOK74" s="97"/>
      <c r="AOL74" s="97"/>
      <c r="AOM74" s="97"/>
      <c r="AON74" s="97"/>
      <c r="AOO74" s="97"/>
      <c r="AOP74" s="97"/>
      <c r="AOQ74" s="97"/>
      <c r="AOR74" s="97"/>
      <c r="AOS74" s="97"/>
      <c r="AOT74" s="97"/>
      <c r="AOU74" s="97"/>
      <c r="AOV74" s="97"/>
      <c r="AOW74" s="97"/>
      <c r="AOX74" s="97"/>
      <c r="AOY74" s="97"/>
      <c r="AOZ74" s="97"/>
      <c r="APA74" s="97"/>
      <c r="APB74" s="97"/>
      <c r="APC74" s="97"/>
      <c r="APD74" s="97"/>
      <c r="APE74" s="97"/>
      <c r="APF74" s="97"/>
      <c r="APG74" s="97"/>
      <c r="APH74" s="97"/>
      <c r="API74" s="97"/>
      <c r="APJ74" s="97"/>
      <c r="APK74" s="97"/>
      <c r="APL74" s="97"/>
      <c r="APM74" s="97"/>
      <c r="APN74" s="97"/>
      <c r="APO74" s="97"/>
      <c r="APP74" s="97"/>
      <c r="APQ74" s="97"/>
      <c r="APR74" s="97"/>
      <c r="APS74" s="97"/>
      <c r="APT74" s="97"/>
      <c r="APU74" s="97"/>
      <c r="APV74" s="97"/>
      <c r="APW74" s="97"/>
      <c r="APX74" s="97"/>
      <c r="APY74" s="97"/>
      <c r="APZ74" s="97"/>
      <c r="AQA74" s="97"/>
      <c r="AQB74" s="97"/>
      <c r="AQC74" s="97"/>
      <c r="AQD74" s="97"/>
      <c r="AQE74" s="97"/>
      <c r="AQF74" s="97"/>
      <c r="AQG74" s="97"/>
      <c r="AQH74" s="97"/>
      <c r="AQI74" s="97"/>
      <c r="AQJ74" s="97"/>
      <c r="AQK74" s="97"/>
      <c r="AQL74" s="97"/>
      <c r="AQM74" s="97"/>
      <c r="AQN74" s="97"/>
      <c r="AQO74" s="97"/>
      <c r="AQP74" s="97"/>
      <c r="AQQ74" s="97"/>
      <c r="AQR74" s="97"/>
      <c r="AQS74" s="97"/>
      <c r="AQT74" s="97"/>
      <c r="AQU74" s="97"/>
      <c r="AQV74" s="97"/>
      <c r="AQW74" s="97"/>
      <c r="AQX74" s="97"/>
      <c r="AQY74" s="97"/>
      <c r="AQZ74" s="97"/>
      <c r="ARA74" s="97"/>
      <c r="ARB74" s="97"/>
      <c r="ARC74" s="97"/>
      <c r="ARD74" s="97"/>
      <c r="ARE74" s="97"/>
      <c r="ARF74" s="97"/>
      <c r="ARG74" s="97"/>
      <c r="ARH74" s="97"/>
      <c r="ARI74" s="97"/>
      <c r="ARJ74" s="97"/>
      <c r="ARK74" s="97"/>
      <c r="ARL74" s="97"/>
      <c r="ARM74" s="97"/>
      <c r="ARN74" s="97"/>
      <c r="ARO74" s="97"/>
      <c r="ARP74" s="97"/>
      <c r="ARQ74" s="97"/>
      <c r="ARR74" s="97"/>
      <c r="ARS74" s="97"/>
      <c r="ART74" s="97"/>
      <c r="ARU74" s="97"/>
      <c r="ARV74" s="97"/>
      <c r="ARW74" s="97"/>
      <c r="ARX74" s="97"/>
      <c r="ARY74" s="97"/>
      <c r="ARZ74" s="97"/>
      <c r="ASA74" s="97"/>
      <c r="ASB74" s="97"/>
      <c r="ASC74" s="97"/>
      <c r="ASD74" s="97"/>
      <c r="ASE74" s="97"/>
      <c r="ASF74" s="97"/>
      <c r="ASG74" s="97"/>
      <c r="ASH74" s="97"/>
      <c r="ASI74" s="97"/>
      <c r="ASJ74" s="97"/>
      <c r="ASK74" s="97"/>
      <c r="ASL74" s="97"/>
      <c r="ASM74" s="97"/>
      <c r="ASN74" s="97"/>
      <c r="ASO74" s="97"/>
      <c r="ASP74" s="97"/>
      <c r="ASQ74" s="97"/>
      <c r="ASR74" s="97"/>
      <c r="ASS74" s="97"/>
      <c r="AST74" s="97"/>
      <c r="ASU74" s="97"/>
      <c r="ASV74" s="97"/>
      <c r="ASW74" s="97"/>
      <c r="ASX74" s="97"/>
      <c r="ASY74" s="97"/>
      <c r="ASZ74" s="97"/>
      <c r="ATA74" s="97"/>
      <c r="ATB74" s="97"/>
      <c r="ATC74" s="97"/>
      <c r="ATD74" s="97"/>
      <c r="ATE74" s="97"/>
      <c r="ATF74" s="97"/>
      <c r="ATG74" s="97"/>
      <c r="ATH74" s="97"/>
      <c r="ATI74" s="97"/>
      <c r="ATJ74" s="97"/>
      <c r="ATK74" s="97"/>
      <c r="ATL74" s="97"/>
      <c r="ATM74" s="97"/>
      <c r="ATN74" s="97"/>
      <c r="ATO74" s="97"/>
      <c r="ATP74" s="97"/>
      <c r="ATQ74" s="97"/>
      <c r="ATR74" s="97"/>
      <c r="ATS74" s="97"/>
      <c r="ATT74" s="97"/>
      <c r="ATU74" s="97"/>
      <c r="ATV74" s="97"/>
      <c r="ATW74" s="97"/>
      <c r="ATX74" s="97"/>
      <c r="ATY74" s="97"/>
      <c r="ATZ74" s="97"/>
      <c r="AUA74" s="97"/>
      <c r="AUB74" s="97"/>
      <c r="AUC74" s="97"/>
      <c r="AUD74" s="97"/>
      <c r="AUE74" s="97"/>
      <c r="AUF74" s="97"/>
      <c r="AUG74" s="97"/>
      <c r="AUH74" s="97"/>
      <c r="AUI74" s="97"/>
      <c r="AUJ74" s="97"/>
      <c r="AUK74" s="97"/>
      <c r="AUL74" s="97"/>
      <c r="AUM74" s="97"/>
      <c r="AUN74" s="97"/>
      <c r="AUO74" s="97"/>
      <c r="AUP74" s="97"/>
      <c r="AUQ74" s="97"/>
      <c r="AUR74" s="97"/>
      <c r="AUS74" s="97"/>
      <c r="AUT74" s="97"/>
      <c r="AUU74" s="97"/>
      <c r="AUV74" s="97"/>
      <c r="AUW74" s="97"/>
      <c r="AUX74" s="97"/>
      <c r="AUY74" s="97"/>
      <c r="AUZ74" s="97"/>
      <c r="AVA74" s="97"/>
      <c r="AVB74" s="97"/>
      <c r="AVC74" s="97"/>
      <c r="AVD74" s="97"/>
      <c r="AVE74" s="97"/>
      <c r="AVF74" s="97"/>
      <c r="AVG74" s="97"/>
      <c r="AVH74" s="97"/>
      <c r="AVI74" s="97"/>
      <c r="AVJ74" s="97"/>
      <c r="AVK74" s="97"/>
      <c r="AVL74" s="97"/>
      <c r="AVM74" s="97"/>
      <c r="AVN74" s="97"/>
      <c r="AVO74" s="97"/>
      <c r="AVP74" s="97"/>
      <c r="AVQ74" s="97"/>
      <c r="AVR74" s="97"/>
      <c r="AVS74" s="97"/>
      <c r="AVT74" s="97"/>
      <c r="AVU74" s="97"/>
      <c r="AVV74" s="97"/>
      <c r="AVW74" s="97"/>
      <c r="AVX74" s="97"/>
      <c r="AVY74" s="97"/>
      <c r="AVZ74" s="97"/>
      <c r="AWA74" s="97"/>
      <c r="AWB74" s="97"/>
      <c r="AWC74" s="97"/>
      <c r="AWD74" s="97"/>
      <c r="AWE74" s="97"/>
      <c r="AWF74" s="97"/>
      <c r="AWG74" s="97"/>
      <c r="AWH74" s="97"/>
      <c r="AWI74" s="97"/>
      <c r="AWJ74" s="97"/>
      <c r="AWK74" s="97"/>
      <c r="AWL74" s="97"/>
      <c r="AWM74" s="97"/>
      <c r="AWN74" s="97"/>
      <c r="AWO74" s="97"/>
      <c r="AWP74" s="97"/>
      <c r="AWQ74" s="97"/>
      <c r="AWR74" s="97"/>
      <c r="AWS74" s="97"/>
      <c r="AWT74" s="97"/>
      <c r="AWU74" s="97"/>
      <c r="AWV74" s="97"/>
      <c r="AWW74" s="97"/>
      <c r="AWX74" s="97"/>
      <c r="AWY74" s="97"/>
      <c r="AWZ74" s="97"/>
      <c r="AXA74" s="97"/>
      <c r="AXB74" s="97"/>
      <c r="AXC74" s="97"/>
      <c r="AXD74" s="97"/>
      <c r="AXE74" s="97"/>
      <c r="AXF74" s="97"/>
      <c r="AXG74" s="97"/>
      <c r="AXH74" s="97"/>
      <c r="AXI74" s="97"/>
      <c r="AXJ74" s="97"/>
      <c r="AXK74" s="97"/>
      <c r="AXL74" s="97"/>
      <c r="AXM74" s="97"/>
      <c r="AXN74" s="97"/>
      <c r="AXO74" s="97"/>
      <c r="AXP74" s="97"/>
      <c r="AXQ74" s="97"/>
      <c r="AXR74" s="97"/>
      <c r="AXS74" s="97"/>
      <c r="AXT74" s="97"/>
      <c r="AXU74" s="97"/>
      <c r="AXV74" s="97"/>
      <c r="AXW74" s="97"/>
      <c r="AXX74" s="97"/>
      <c r="AXY74" s="97"/>
      <c r="AXZ74" s="97"/>
      <c r="AYA74" s="97"/>
      <c r="AYB74" s="97"/>
      <c r="AYC74" s="97"/>
      <c r="AYD74" s="97"/>
      <c r="AYE74" s="97"/>
      <c r="AYF74" s="97"/>
      <c r="AYG74" s="97"/>
      <c r="AYH74" s="97"/>
      <c r="AYI74" s="97"/>
      <c r="AYJ74" s="97"/>
      <c r="AYK74" s="97"/>
      <c r="AYL74" s="97"/>
      <c r="AYM74" s="97"/>
      <c r="AYN74" s="97"/>
      <c r="AYO74" s="97"/>
      <c r="AYP74" s="97"/>
      <c r="AYQ74" s="97"/>
      <c r="AYR74" s="97"/>
      <c r="AYS74" s="97"/>
      <c r="AYT74" s="97"/>
      <c r="AYU74" s="97"/>
      <c r="AYV74" s="97"/>
      <c r="AYW74" s="97"/>
      <c r="AYX74" s="97"/>
      <c r="AYY74" s="97"/>
      <c r="AYZ74" s="97"/>
      <c r="AZA74" s="97"/>
      <c r="AZB74" s="97"/>
      <c r="AZC74" s="97"/>
      <c r="AZD74" s="97"/>
      <c r="AZE74" s="97"/>
      <c r="AZF74" s="97"/>
      <c r="AZG74" s="97"/>
      <c r="AZH74" s="97"/>
      <c r="AZI74" s="97"/>
      <c r="AZJ74" s="97"/>
      <c r="AZK74" s="97"/>
      <c r="AZL74" s="97"/>
      <c r="AZM74" s="97"/>
      <c r="AZN74" s="97"/>
      <c r="AZO74" s="97"/>
      <c r="AZP74" s="97"/>
      <c r="AZQ74" s="97"/>
      <c r="AZR74" s="97"/>
      <c r="AZS74" s="97"/>
      <c r="AZT74" s="97"/>
      <c r="AZU74" s="97"/>
      <c r="AZV74" s="97"/>
      <c r="AZW74" s="97"/>
      <c r="AZX74" s="97"/>
      <c r="AZY74" s="97"/>
      <c r="AZZ74" s="97"/>
      <c r="BAA74" s="97"/>
      <c r="BAB74" s="97"/>
      <c r="BAC74" s="97"/>
      <c r="BAD74" s="97"/>
      <c r="BAE74" s="97"/>
      <c r="BAF74" s="97"/>
      <c r="BAG74" s="97"/>
      <c r="BAH74" s="97"/>
      <c r="BAI74" s="97"/>
      <c r="BAJ74" s="97"/>
      <c r="BAK74" s="97"/>
      <c r="BAL74" s="97"/>
      <c r="BAM74" s="97"/>
      <c r="BAN74" s="97"/>
      <c r="BAO74" s="97"/>
      <c r="BAP74" s="97"/>
      <c r="BAQ74" s="97"/>
      <c r="BAR74" s="97"/>
      <c r="BAS74" s="97"/>
      <c r="BAT74" s="97"/>
      <c r="BAU74" s="97"/>
      <c r="BAV74" s="97"/>
      <c r="BAW74" s="97"/>
      <c r="BAX74" s="97"/>
      <c r="BAY74" s="97"/>
      <c r="BAZ74" s="97"/>
      <c r="BBA74" s="97"/>
      <c r="BBB74" s="97"/>
      <c r="BBC74" s="97"/>
      <c r="BBD74" s="97"/>
      <c r="BBE74" s="97"/>
      <c r="BBF74" s="97"/>
      <c r="BBG74" s="97"/>
      <c r="BBH74" s="97"/>
      <c r="BBI74" s="97"/>
      <c r="BBJ74" s="97"/>
      <c r="BBK74" s="97"/>
      <c r="BBL74" s="97"/>
      <c r="BBM74" s="97"/>
      <c r="BBN74" s="97"/>
      <c r="BBO74" s="97"/>
      <c r="BBP74" s="97"/>
      <c r="BBQ74" s="97"/>
      <c r="BBR74" s="97"/>
      <c r="BBS74" s="97"/>
      <c r="BBT74" s="97"/>
      <c r="BBU74" s="97"/>
      <c r="BBV74" s="97"/>
      <c r="BBW74" s="97"/>
      <c r="BBX74" s="97"/>
      <c r="BBY74" s="97"/>
      <c r="BBZ74" s="97"/>
      <c r="BCA74" s="97"/>
      <c r="BCB74" s="97"/>
      <c r="BCC74" s="97"/>
      <c r="BCD74" s="97"/>
      <c r="BCE74" s="97"/>
      <c r="BCF74" s="97"/>
      <c r="BCG74" s="97"/>
      <c r="BCH74" s="97"/>
      <c r="BCI74" s="97"/>
      <c r="BCJ74" s="97"/>
      <c r="BCK74" s="97"/>
      <c r="BCL74" s="97"/>
      <c r="BCM74" s="97"/>
      <c r="BCN74" s="97"/>
      <c r="BCO74" s="97"/>
      <c r="BCP74" s="97"/>
      <c r="BCQ74" s="97"/>
      <c r="BCR74" s="97"/>
      <c r="BCS74" s="97"/>
      <c r="BCT74" s="97"/>
      <c r="BCU74" s="97"/>
      <c r="BCV74" s="97"/>
      <c r="BCW74" s="97"/>
      <c r="BCX74" s="97"/>
      <c r="BCY74" s="97"/>
      <c r="BCZ74" s="97"/>
      <c r="BDA74" s="97"/>
      <c r="BDB74" s="97"/>
      <c r="BDC74" s="97"/>
      <c r="BDD74" s="97"/>
      <c r="BDE74" s="97"/>
      <c r="BDF74" s="97"/>
      <c r="BDG74" s="97"/>
      <c r="BDH74" s="97"/>
      <c r="BDI74" s="97"/>
      <c r="BDJ74" s="97"/>
      <c r="BDK74" s="97"/>
      <c r="BDL74" s="97"/>
      <c r="BDM74" s="97"/>
      <c r="BDN74" s="97"/>
      <c r="BDO74" s="97"/>
      <c r="BDP74" s="97"/>
      <c r="BDQ74" s="97"/>
      <c r="BDR74" s="97"/>
      <c r="BDS74" s="97"/>
      <c r="BDT74" s="97"/>
      <c r="BDU74" s="97"/>
      <c r="BDV74" s="97"/>
      <c r="BDW74" s="97"/>
      <c r="BDX74" s="97"/>
      <c r="BDY74" s="97"/>
      <c r="BDZ74" s="97"/>
      <c r="BEA74" s="97"/>
      <c r="BEB74" s="97"/>
      <c r="BEC74" s="97"/>
      <c r="BED74" s="97"/>
      <c r="BEE74" s="97"/>
      <c r="BEF74" s="97"/>
      <c r="BEG74" s="97"/>
      <c r="BEH74" s="97"/>
      <c r="BEI74" s="97"/>
      <c r="BEJ74" s="97"/>
      <c r="BEK74" s="97"/>
      <c r="BEL74" s="97"/>
      <c r="BEM74" s="97"/>
      <c r="BEN74" s="97"/>
      <c r="BEO74" s="97"/>
      <c r="BEP74" s="97"/>
      <c r="BEQ74" s="97"/>
      <c r="BER74" s="97"/>
      <c r="BES74" s="97"/>
      <c r="BET74" s="97"/>
      <c r="BEU74" s="97"/>
      <c r="BEV74" s="97"/>
      <c r="BEW74" s="97"/>
      <c r="BEX74" s="97"/>
      <c r="BEY74" s="97"/>
      <c r="BEZ74" s="97"/>
      <c r="BFA74" s="97"/>
      <c r="BFB74" s="97"/>
      <c r="BFC74" s="97"/>
      <c r="BFD74" s="97"/>
      <c r="BFE74" s="97"/>
      <c r="BFF74" s="97"/>
      <c r="BFG74" s="97"/>
      <c r="BFH74" s="97"/>
      <c r="BFI74" s="97"/>
      <c r="BFJ74" s="97"/>
      <c r="BFK74" s="97"/>
      <c r="BFL74" s="97"/>
      <c r="BFM74" s="97"/>
      <c r="BFN74" s="97"/>
      <c r="BFO74" s="97"/>
      <c r="BFP74" s="97"/>
      <c r="BFQ74" s="97"/>
      <c r="BFR74" s="97"/>
      <c r="BFS74" s="97"/>
      <c r="BFT74" s="97"/>
      <c r="BFU74" s="97"/>
      <c r="BFV74" s="97"/>
      <c r="BFW74" s="97"/>
      <c r="BFX74" s="97"/>
      <c r="BFY74" s="97"/>
      <c r="BFZ74" s="97"/>
      <c r="BGA74" s="97"/>
      <c r="BGB74" s="97"/>
      <c r="BGC74" s="97"/>
      <c r="BGD74" s="97"/>
      <c r="BGE74" s="97"/>
      <c r="BGF74" s="97"/>
      <c r="BGG74" s="97"/>
      <c r="BGH74" s="97"/>
      <c r="BGI74" s="97"/>
      <c r="BGJ74" s="97"/>
      <c r="BGK74" s="97"/>
      <c r="BGL74" s="97"/>
      <c r="BGM74" s="97"/>
      <c r="BGN74" s="97"/>
      <c r="BGO74" s="97"/>
      <c r="BGP74" s="97"/>
      <c r="BGQ74" s="97"/>
      <c r="BGR74" s="97"/>
      <c r="BGS74" s="97"/>
      <c r="BGT74" s="97"/>
      <c r="BGU74" s="97"/>
      <c r="BGV74" s="97"/>
      <c r="BGW74" s="97"/>
      <c r="BGX74" s="97"/>
      <c r="BGY74" s="97"/>
      <c r="BGZ74" s="97"/>
      <c r="BHA74" s="97"/>
      <c r="BHB74" s="97"/>
      <c r="BHC74" s="97"/>
      <c r="BHD74" s="97"/>
      <c r="BHE74" s="97"/>
      <c r="BHF74" s="97"/>
      <c r="BHG74" s="97"/>
      <c r="BHH74" s="97"/>
      <c r="BHI74" s="97"/>
      <c r="BHJ74" s="97"/>
      <c r="BHK74" s="97"/>
      <c r="BHL74" s="97"/>
      <c r="BHM74" s="97"/>
      <c r="BHN74" s="97"/>
      <c r="BHO74" s="97"/>
      <c r="BHP74" s="97"/>
      <c r="BHQ74" s="97"/>
      <c r="BHR74" s="97"/>
      <c r="BHS74" s="97"/>
      <c r="BHT74" s="97"/>
      <c r="BHU74" s="97"/>
      <c r="BHV74" s="97"/>
      <c r="BHW74" s="97"/>
      <c r="BHX74" s="97"/>
      <c r="BHY74" s="97"/>
      <c r="BHZ74" s="97"/>
      <c r="BIA74" s="97"/>
      <c r="BIB74" s="97"/>
      <c r="BIC74" s="97"/>
      <c r="BID74" s="97"/>
      <c r="BIE74" s="97"/>
      <c r="BIF74" s="97"/>
      <c r="BIG74" s="97"/>
      <c r="BIH74" s="97"/>
      <c r="BII74" s="97"/>
      <c r="BIJ74" s="97"/>
      <c r="BIK74" s="97"/>
      <c r="BIL74" s="97"/>
      <c r="BIM74" s="97"/>
      <c r="BIN74" s="97"/>
      <c r="BIO74" s="97"/>
      <c r="BIP74" s="97"/>
      <c r="BIQ74" s="97"/>
      <c r="BIR74" s="97"/>
      <c r="BIS74" s="97"/>
      <c r="BIT74" s="97"/>
      <c r="BIU74" s="97"/>
      <c r="BIV74" s="97"/>
      <c r="BIW74" s="97"/>
      <c r="BIX74" s="97"/>
      <c r="BIY74" s="97"/>
      <c r="BIZ74" s="97"/>
      <c r="BJA74" s="97"/>
      <c r="BJB74" s="97"/>
      <c r="BJC74" s="97"/>
      <c r="BJD74" s="97"/>
      <c r="BJE74" s="97"/>
      <c r="BJF74" s="97"/>
      <c r="BJG74" s="97"/>
      <c r="BJH74" s="97"/>
      <c r="BJI74" s="97"/>
      <c r="BJJ74" s="97"/>
      <c r="BJK74" s="97"/>
      <c r="BJL74" s="97"/>
      <c r="BJM74" s="97"/>
      <c r="BJN74" s="97"/>
      <c r="BJO74" s="97"/>
      <c r="BJP74" s="97"/>
      <c r="BJQ74" s="97"/>
      <c r="BJR74" s="97"/>
      <c r="BJS74" s="97"/>
      <c r="BJT74" s="97"/>
      <c r="BJU74" s="97"/>
      <c r="BJV74" s="97"/>
      <c r="BJW74" s="97"/>
      <c r="BJX74" s="97"/>
      <c r="BJY74" s="97"/>
      <c r="BJZ74" s="97"/>
      <c r="BKA74" s="97"/>
      <c r="BKB74" s="97"/>
      <c r="BKC74" s="97"/>
      <c r="BKD74" s="97"/>
      <c r="BKE74" s="97"/>
      <c r="BKF74" s="97"/>
      <c r="BKG74" s="97"/>
      <c r="BKH74" s="97"/>
      <c r="BKI74" s="97"/>
      <c r="BKJ74" s="97"/>
      <c r="BKK74" s="97"/>
      <c r="BKL74" s="97"/>
      <c r="BKM74" s="97"/>
      <c r="BKN74" s="97"/>
      <c r="BKO74" s="97"/>
      <c r="BKP74" s="97"/>
      <c r="BKQ74" s="97"/>
      <c r="BKR74" s="97"/>
      <c r="BKS74" s="97"/>
      <c r="BKT74" s="97"/>
      <c r="BKU74" s="97"/>
      <c r="BKV74" s="97"/>
      <c r="BKW74" s="97"/>
      <c r="BKX74" s="97"/>
      <c r="BKY74" s="97"/>
      <c r="BKZ74" s="97"/>
      <c r="BLA74" s="97"/>
      <c r="BLB74" s="97"/>
      <c r="BLC74" s="97"/>
      <c r="BLD74" s="97"/>
      <c r="BLE74" s="97"/>
      <c r="BLF74" s="97"/>
      <c r="BLG74" s="97"/>
      <c r="BLH74" s="97"/>
      <c r="BLI74" s="97"/>
      <c r="BLJ74" s="97"/>
      <c r="BLK74" s="97"/>
      <c r="BLL74" s="97"/>
      <c r="BLM74" s="97"/>
      <c r="BLN74" s="97"/>
      <c r="BLO74" s="97"/>
      <c r="BLP74" s="97"/>
      <c r="BLQ74" s="97"/>
      <c r="BLR74" s="97"/>
      <c r="BLS74" s="97"/>
      <c r="BLT74" s="97"/>
      <c r="BLU74" s="97"/>
      <c r="BLV74" s="97"/>
      <c r="BLW74" s="97"/>
      <c r="BLX74" s="97"/>
      <c r="BLY74" s="97"/>
      <c r="BLZ74" s="97"/>
      <c r="BMA74" s="97"/>
      <c r="BMB74" s="97"/>
      <c r="BMC74" s="97"/>
      <c r="BMD74" s="97"/>
      <c r="BME74" s="97"/>
      <c r="BMF74" s="97"/>
      <c r="BMG74" s="97"/>
      <c r="BMH74" s="97"/>
      <c r="BMI74" s="97"/>
      <c r="BMJ74" s="97"/>
      <c r="BMK74" s="97"/>
      <c r="BML74" s="97"/>
      <c r="BMM74" s="97"/>
      <c r="BMN74" s="97"/>
      <c r="BMO74" s="97"/>
      <c r="BMP74" s="97"/>
      <c r="BMQ74" s="97"/>
      <c r="BMR74" s="97"/>
      <c r="BMS74" s="97"/>
      <c r="BMT74" s="97"/>
      <c r="BMU74" s="97"/>
      <c r="BMV74" s="97"/>
      <c r="BMW74" s="97"/>
      <c r="BMX74" s="97"/>
      <c r="BMY74" s="97"/>
      <c r="BMZ74" s="97"/>
      <c r="BNA74" s="97"/>
      <c r="BNB74" s="97"/>
      <c r="BNC74" s="97"/>
      <c r="BND74" s="97"/>
      <c r="BNE74" s="97"/>
      <c r="BNF74" s="97"/>
      <c r="BNG74" s="97"/>
      <c r="BNH74" s="97"/>
      <c r="BNI74" s="97"/>
      <c r="BNJ74" s="97"/>
      <c r="BNK74" s="97"/>
      <c r="BNL74" s="97"/>
      <c r="BNM74" s="97"/>
      <c r="BNN74" s="97"/>
      <c r="BNO74" s="97"/>
      <c r="BNP74" s="97"/>
      <c r="BNQ74" s="97"/>
      <c r="BNR74" s="97"/>
      <c r="BNS74" s="97"/>
      <c r="BNT74" s="97"/>
      <c r="BNU74" s="97"/>
      <c r="BNV74" s="97"/>
      <c r="BNW74" s="97"/>
      <c r="BNX74" s="97"/>
      <c r="BNY74" s="97"/>
      <c r="BNZ74" s="97"/>
      <c r="BOA74" s="97"/>
      <c r="BOB74" s="97"/>
      <c r="BOC74" s="97"/>
      <c r="BOD74" s="97"/>
      <c r="BOE74" s="97"/>
      <c r="BOF74" s="97"/>
      <c r="BOG74" s="97"/>
      <c r="BOH74" s="97"/>
      <c r="BOI74" s="97"/>
      <c r="BOJ74" s="97"/>
      <c r="BOK74" s="97"/>
      <c r="BOL74" s="97"/>
      <c r="BOM74" s="97"/>
      <c r="BON74" s="97"/>
      <c r="BOO74" s="97"/>
      <c r="BOP74" s="97"/>
      <c r="BOQ74" s="97"/>
      <c r="BOR74" s="97"/>
      <c r="BOS74" s="97"/>
      <c r="BOT74" s="97"/>
      <c r="BOU74" s="97"/>
      <c r="BOV74" s="97"/>
      <c r="BOW74" s="97"/>
      <c r="BOX74" s="97"/>
      <c r="BOY74" s="97"/>
      <c r="BOZ74" s="97"/>
      <c r="BPA74" s="97"/>
      <c r="BPB74" s="97"/>
      <c r="BPC74" s="97"/>
      <c r="BPD74" s="97"/>
      <c r="BPE74" s="97"/>
      <c r="BPF74" s="97"/>
      <c r="BPG74" s="97"/>
      <c r="BPH74" s="97"/>
      <c r="BPI74" s="97"/>
      <c r="BPJ74" s="97"/>
      <c r="BPK74" s="97"/>
      <c r="BPL74" s="97"/>
      <c r="BPM74" s="97"/>
      <c r="BPN74" s="97"/>
      <c r="BPO74" s="97"/>
      <c r="BPP74" s="97"/>
      <c r="BPQ74" s="97"/>
      <c r="BPR74" s="97"/>
      <c r="BPS74" s="97"/>
      <c r="BPT74" s="97"/>
      <c r="BPU74" s="97"/>
      <c r="BPV74" s="97"/>
      <c r="BPW74" s="97"/>
      <c r="BPX74" s="97"/>
      <c r="BPY74" s="97"/>
      <c r="BPZ74" s="97"/>
      <c r="BQA74" s="97"/>
      <c r="BQB74" s="97"/>
      <c r="BQC74" s="97"/>
      <c r="BQD74" s="97"/>
      <c r="BQE74" s="97"/>
      <c r="BQF74" s="97"/>
      <c r="BQG74" s="97"/>
      <c r="BQH74" s="97"/>
      <c r="BQI74" s="97"/>
      <c r="BQJ74" s="97"/>
      <c r="BQK74" s="97"/>
      <c r="BQL74" s="97"/>
      <c r="BQM74" s="97"/>
      <c r="BQN74" s="97"/>
      <c r="BQO74" s="97"/>
      <c r="BQP74" s="97"/>
      <c r="BQQ74" s="97"/>
      <c r="BQR74" s="97"/>
      <c r="BQS74" s="97"/>
      <c r="BQT74" s="97"/>
      <c r="BQU74" s="97"/>
      <c r="BQV74" s="97"/>
      <c r="BQW74" s="97"/>
      <c r="BQX74" s="97"/>
      <c r="BQY74" s="97"/>
      <c r="BQZ74" s="97"/>
      <c r="BRA74" s="97"/>
      <c r="BRB74" s="97"/>
      <c r="BRC74" s="97"/>
      <c r="BRD74" s="97"/>
      <c r="BRE74" s="97"/>
      <c r="BRF74" s="97"/>
      <c r="BRG74" s="97"/>
      <c r="BRH74" s="97"/>
      <c r="BRI74" s="97"/>
      <c r="BRJ74" s="97"/>
      <c r="BRK74" s="97"/>
      <c r="BRL74" s="97"/>
      <c r="BRM74" s="97"/>
      <c r="BRN74" s="97"/>
      <c r="BRO74" s="97"/>
      <c r="BRP74" s="97"/>
      <c r="BRQ74" s="97"/>
      <c r="BRR74" s="97"/>
      <c r="BRS74" s="97"/>
      <c r="BRT74" s="97"/>
      <c r="BRU74" s="97"/>
      <c r="BRV74" s="97"/>
      <c r="BRW74" s="97"/>
      <c r="BRX74" s="97"/>
      <c r="BRY74" s="97"/>
      <c r="BRZ74" s="97"/>
      <c r="BSA74" s="97"/>
      <c r="BSB74" s="97"/>
      <c r="BSC74" s="97"/>
      <c r="BSD74" s="97"/>
      <c r="BSE74" s="97"/>
      <c r="BSF74" s="97"/>
      <c r="BSG74" s="97"/>
      <c r="BSH74" s="97"/>
      <c r="BSI74" s="97"/>
      <c r="BSJ74" s="97"/>
      <c r="BSK74" s="97"/>
      <c r="BSL74" s="97"/>
      <c r="BSM74" s="97"/>
      <c r="BSN74" s="97"/>
      <c r="BSO74" s="97"/>
      <c r="BSP74" s="97"/>
      <c r="BSQ74" s="97"/>
      <c r="BSR74" s="97"/>
      <c r="BSS74" s="97"/>
      <c r="BST74" s="97"/>
      <c r="BSU74" s="97"/>
      <c r="BSV74" s="97"/>
      <c r="BSW74" s="97"/>
      <c r="BSX74" s="97"/>
      <c r="BSY74" s="97"/>
      <c r="BSZ74" s="97"/>
      <c r="BTA74" s="97"/>
      <c r="BTB74" s="97"/>
      <c r="BTC74" s="97"/>
      <c r="BTD74" s="97"/>
      <c r="BTE74" s="97"/>
      <c r="BTF74" s="97"/>
      <c r="BTG74" s="97"/>
      <c r="BTH74" s="97"/>
      <c r="BTI74" s="97"/>
      <c r="BTJ74" s="97"/>
      <c r="BTK74" s="97"/>
      <c r="BTL74" s="97"/>
      <c r="BTM74" s="97"/>
      <c r="BTN74" s="97"/>
      <c r="BTO74" s="97"/>
      <c r="BTP74" s="97"/>
      <c r="BTQ74" s="97"/>
      <c r="BTR74" s="97"/>
      <c r="BTS74" s="97"/>
      <c r="BTT74" s="97"/>
      <c r="BTU74" s="97"/>
      <c r="BTV74" s="97"/>
      <c r="BTW74" s="97"/>
      <c r="BTX74" s="97"/>
      <c r="BTY74" s="97"/>
      <c r="BTZ74" s="97"/>
      <c r="BUA74" s="97"/>
      <c r="BUB74" s="97"/>
      <c r="BUC74" s="97"/>
      <c r="BUD74" s="97"/>
      <c r="BUE74" s="97"/>
      <c r="BUF74" s="97"/>
      <c r="BUG74" s="97"/>
      <c r="BUH74" s="97"/>
      <c r="BUI74" s="97"/>
      <c r="BUJ74" s="97"/>
      <c r="BUK74" s="97"/>
      <c r="BUL74" s="97"/>
      <c r="BUM74" s="97"/>
      <c r="BUN74" s="97"/>
      <c r="BUO74" s="97"/>
      <c r="BUP74" s="97"/>
      <c r="BUQ74" s="97"/>
      <c r="BUR74" s="97"/>
      <c r="BUS74" s="97"/>
      <c r="BUT74" s="97"/>
      <c r="BUU74" s="97"/>
      <c r="BUV74" s="97"/>
      <c r="BUW74" s="97"/>
      <c r="BUX74" s="97"/>
      <c r="BUY74" s="97"/>
      <c r="BUZ74" s="97"/>
      <c r="BVA74" s="97"/>
      <c r="BVB74" s="97"/>
      <c r="BVC74" s="97"/>
      <c r="BVD74" s="97"/>
      <c r="BVE74" s="97"/>
      <c r="BVF74" s="97"/>
      <c r="BVG74" s="97"/>
      <c r="BVH74" s="97"/>
      <c r="BVI74" s="97"/>
      <c r="BVJ74" s="97"/>
      <c r="BVK74" s="97"/>
      <c r="BVL74" s="97"/>
      <c r="BVM74" s="97"/>
      <c r="BVN74" s="97"/>
      <c r="BVO74" s="97"/>
      <c r="BVP74" s="97"/>
      <c r="BVQ74" s="97"/>
      <c r="BVR74" s="97"/>
      <c r="BVS74" s="97"/>
      <c r="BVT74" s="97"/>
      <c r="BVU74" s="97"/>
      <c r="BVV74" s="97"/>
      <c r="BVW74" s="97"/>
      <c r="BVX74" s="97"/>
      <c r="BVY74" s="97"/>
      <c r="BVZ74" s="97"/>
      <c r="BWA74" s="97"/>
      <c r="BWB74" s="97"/>
      <c r="BWC74" s="97"/>
      <c r="BWD74" s="97"/>
      <c r="BWE74" s="97"/>
      <c r="BWF74" s="97"/>
      <c r="BWG74" s="97"/>
      <c r="BWH74" s="97"/>
      <c r="BWI74" s="97"/>
      <c r="BWJ74" s="97"/>
      <c r="BWK74" s="97"/>
      <c r="BWL74" s="97"/>
      <c r="BWM74" s="97"/>
      <c r="BWN74" s="97"/>
      <c r="BWO74" s="97"/>
      <c r="BWP74" s="97"/>
      <c r="BWQ74" s="97"/>
      <c r="BWR74" s="97"/>
      <c r="BWS74" s="97"/>
      <c r="BWT74" s="97"/>
      <c r="BWU74" s="97"/>
      <c r="BWV74" s="97"/>
      <c r="BWW74" s="97"/>
      <c r="BWX74" s="97"/>
      <c r="BWY74" s="97"/>
      <c r="BWZ74" s="97"/>
      <c r="BXA74" s="97"/>
      <c r="BXB74" s="97"/>
      <c r="BXC74" s="97"/>
      <c r="BXD74" s="97"/>
      <c r="BXE74" s="97"/>
      <c r="BXF74" s="97"/>
      <c r="BXG74" s="97"/>
      <c r="BXH74" s="97"/>
      <c r="BXI74" s="97"/>
      <c r="BXJ74" s="97"/>
      <c r="BXK74" s="97"/>
      <c r="BXL74" s="97"/>
      <c r="BXM74" s="97"/>
      <c r="BXN74" s="97"/>
      <c r="BXO74" s="97"/>
      <c r="BXP74" s="97"/>
      <c r="BXQ74" s="97"/>
      <c r="BXR74" s="97"/>
      <c r="BXS74" s="97"/>
      <c r="BXT74" s="97"/>
      <c r="BXU74" s="97"/>
      <c r="BXV74" s="97"/>
      <c r="BXW74" s="97"/>
      <c r="BXX74" s="97"/>
      <c r="BXY74" s="97"/>
      <c r="BXZ74" s="97"/>
      <c r="BYA74" s="97"/>
      <c r="BYB74" s="97"/>
      <c r="BYC74" s="97"/>
      <c r="BYD74" s="97"/>
      <c r="BYE74" s="97"/>
      <c r="BYF74" s="97"/>
      <c r="BYG74" s="97"/>
      <c r="BYH74" s="97"/>
      <c r="BYI74" s="97"/>
      <c r="BYJ74" s="97"/>
      <c r="BYK74" s="97"/>
      <c r="BYL74" s="97"/>
      <c r="BYM74" s="97"/>
      <c r="BYN74" s="97"/>
      <c r="BYO74" s="97"/>
      <c r="BYP74" s="97"/>
      <c r="BYQ74" s="97"/>
      <c r="BYR74" s="97"/>
      <c r="BYS74" s="97"/>
      <c r="BYT74" s="97"/>
      <c r="BYU74" s="97"/>
      <c r="BYV74" s="97"/>
      <c r="BYW74" s="97"/>
      <c r="BYX74" s="97"/>
      <c r="BYY74" s="97"/>
      <c r="BYZ74" s="97"/>
      <c r="BZA74" s="97"/>
      <c r="BZB74" s="97"/>
      <c r="BZC74" s="97"/>
      <c r="BZD74" s="97"/>
      <c r="BZE74" s="97"/>
      <c r="BZF74" s="97"/>
      <c r="BZG74" s="97"/>
      <c r="BZH74" s="97"/>
      <c r="BZI74" s="97"/>
      <c r="BZJ74" s="97"/>
      <c r="BZK74" s="97"/>
      <c r="BZL74" s="97"/>
      <c r="BZM74" s="97"/>
      <c r="BZN74" s="97"/>
      <c r="BZO74" s="97"/>
      <c r="BZP74" s="97"/>
      <c r="BZQ74" s="97"/>
      <c r="BZR74" s="97"/>
      <c r="BZS74" s="97"/>
      <c r="BZT74" s="97"/>
      <c r="BZU74" s="97"/>
      <c r="BZV74" s="97"/>
      <c r="BZW74" s="97"/>
      <c r="BZX74" s="97"/>
      <c r="BZY74" s="97"/>
      <c r="BZZ74" s="97"/>
      <c r="CAA74" s="97"/>
      <c r="CAB74" s="97"/>
      <c r="CAC74" s="97"/>
      <c r="CAD74" s="97"/>
      <c r="CAE74" s="97"/>
      <c r="CAF74" s="97"/>
      <c r="CAG74" s="97"/>
      <c r="CAH74" s="97"/>
      <c r="CAI74" s="97"/>
      <c r="CAJ74" s="97"/>
      <c r="CAK74" s="97"/>
      <c r="CAL74" s="97"/>
      <c r="CAM74" s="97"/>
      <c r="CAN74" s="97"/>
      <c r="CAO74" s="97"/>
      <c r="CAP74" s="97"/>
      <c r="CAQ74" s="97"/>
      <c r="CAR74" s="97"/>
      <c r="CAS74" s="97"/>
      <c r="CAT74" s="97"/>
      <c r="CAU74" s="97"/>
      <c r="CAV74" s="97"/>
      <c r="CAW74" s="97"/>
      <c r="CAX74" s="97"/>
      <c r="CAY74" s="97"/>
      <c r="CAZ74" s="97"/>
      <c r="CBA74" s="97"/>
      <c r="CBB74" s="97"/>
      <c r="CBC74" s="97"/>
      <c r="CBD74" s="97"/>
      <c r="CBE74" s="97"/>
      <c r="CBF74" s="97"/>
      <c r="CBG74" s="97"/>
      <c r="CBH74" s="97"/>
      <c r="CBI74" s="97"/>
      <c r="CBJ74" s="97"/>
      <c r="CBK74" s="97"/>
      <c r="CBL74" s="97"/>
      <c r="CBM74" s="97"/>
      <c r="CBN74" s="97"/>
      <c r="CBO74" s="97"/>
      <c r="CBP74" s="97"/>
      <c r="CBQ74" s="97"/>
      <c r="CBR74" s="97"/>
      <c r="CBS74" s="97"/>
      <c r="CBT74" s="97"/>
      <c r="CBU74" s="97"/>
      <c r="CBV74" s="97"/>
      <c r="CBW74" s="97"/>
      <c r="CBX74" s="97"/>
      <c r="CBY74" s="97"/>
      <c r="CBZ74" s="97"/>
      <c r="CCA74" s="97"/>
      <c r="CCB74" s="97"/>
      <c r="CCC74" s="97"/>
      <c r="CCD74" s="97"/>
      <c r="CCE74" s="97"/>
      <c r="CCF74" s="97"/>
      <c r="CCG74" s="97"/>
      <c r="CCH74" s="97"/>
      <c r="CCI74" s="97"/>
      <c r="CCJ74" s="97"/>
      <c r="CCK74" s="97"/>
      <c r="CCL74" s="97"/>
      <c r="CCM74" s="97"/>
      <c r="CCN74" s="97"/>
      <c r="CCO74" s="97"/>
      <c r="CCP74" s="97"/>
      <c r="CCQ74" s="97"/>
      <c r="CCR74" s="97"/>
      <c r="CCS74" s="97"/>
      <c r="CCT74" s="97"/>
      <c r="CCU74" s="97"/>
      <c r="CCV74" s="97"/>
      <c r="CCW74" s="97"/>
      <c r="CCX74" s="97"/>
      <c r="CCY74" s="97"/>
      <c r="CCZ74" s="97"/>
      <c r="CDA74" s="97"/>
      <c r="CDB74" s="97"/>
      <c r="CDC74" s="97"/>
      <c r="CDD74" s="97"/>
      <c r="CDE74" s="97"/>
      <c r="CDF74" s="97"/>
      <c r="CDG74" s="97"/>
      <c r="CDH74" s="97"/>
      <c r="CDI74" s="97"/>
      <c r="CDJ74" s="97"/>
      <c r="CDK74" s="97"/>
      <c r="CDL74" s="97"/>
      <c r="CDM74" s="97"/>
      <c r="CDN74" s="97"/>
      <c r="CDO74" s="97"/>
      <c r="CDP74" s="97"/>
      <c r="CDQ74" s="97"/>
      <c r="CDR74" s="97"/>
      <c r="CDS74" s="97"/>
      <c r="CDT74" s="97"/>
      <c r="CDU74" s="97"/>
      <c r="CDV74" s="97"/>
      <c r="CDW74" s="97"/>
      <c r="CDX74" s="97"/>
      <c r="CDY74" s="97"/>
      <c r="CDZ74" s="97"/>
      <c r="CEA74" s="97"/>
      <c r="CEB74" s="97"/>
      <c r="CEC74" s="97"/>
      <c r="CED74" s="97"/>
      <c r="CEE74" s="97"/>
      <c r="CEF74" s="97"/>
      <c r="CEG74" s="97"/>
      <c r="CEH74" s="97"/>
      <c r="CEI74" s="97"/>
      <c r="CEJ74" s="97"/>
      <c r="CEK74" s="97"/>
      <c r="CEL74" s="97"/>
      <c r="CEM74" s="97"/>
      <c r="CEN74" s="97"/>
      <c r="CEO74" s="97"/>
      <c r="CEP74" s="97"/>
      <c r="CEQ74" s="97"/>
      <c r="CER74" s="97"/>
      <c r="CES74" s="97"/>
      <c r="CET74" s="97"/>
      <c r="CEU74" s="97"/>
      <c r="CEV74" s="97"/>
      <c r="CEW74" s="97"/>
      <c r="CEX74" s="97"/>
      <c r="CEY74" s="97"/>
      <c r="CEZ74" s="97"/>
      <c r="CFA74" s="97"/>
      <c r="CFB74" s="97"/>
      <c r="CFC74" s="97"/>
      <c r="CFD74" s="97"/>
      <c r="CFE74" s="97"/>
      <c r="CFF74" s="97"/>
      <c r="CFG74" s="97"/>
      <c r="CFH74" s="97"/>
      <c r="CFI74" s="97"/>
      <c r="CFJ74" s="97"/>
      <c r="CFK74" s="97"/>
      <c r="CFL74" s="97"/>
      <c r="CFM74" s="97"/>
      <c r="CFN74" s="97"/>
      <c r="CFO74" s="97"/>
      <c r="CFP74" s="97"/>
      <c r="CFQ74" s="97"/>
      <c r="CFR74" s="97"/>
      <c r="CFS74" s="97"/>
      <c r="CFT74" s="97"/>
      <c r="CFU74" s="97"/>
      <c r="CFV74" s="97"/>
      <c r="CFW74" s="97"/>
      <c r="CFX74" s="97"/>
      <c r="CFY74" s="97"/>
      <c r="CFZ74" s="97"/>
      <c r="CGA74" s="97"/>
      <c r="CGB74" s="97"/>
      <c r="CGC74" s="97"/>
      <c r="CGD74" s="97"/>
      <c r="CGE74" s="97"/>
      <c r="CGF74" s="97"/>
      <c r="CGG74" s="97"/>
      <c r="CGH74" s="97"/>
      <c r="CGI74" s="97"/>
      <c r="CGJ74" s="97"/>
      <c r="CGK74" s="97"/>
      <c r="CGL74" s="97"/>
      <c r="CGM74" s="97"/>
      <c r="CGN74" s="97"/>
      <c r="CGO74" s="97"/>
      <c r="CGP74" s="97"/>
      <c r="CGQ74" s="97"/>
      <c r="CGR74" s="97"/>
      <c r="CGS74" s="97"/>
      <c r="CGT74" s="97"/>
      <c r="CGU74" s="97"/>
      <c r="CGV74" s="97"/>
      <c r="CGW74" s="97"/>
      <c r="CGX74" s="97"/>
      <c r="CGY74" s="97"/>
      <c r="CGZ74" s="97"/>
      <c r="CHA74" s="97"/>
      <c r="CHB74" s="97"/>
      <c r="CHC74" s="97"/>
      <c r="CHD74" s="97"/>
      <c r="CHE74" s="97"/>
      <c r="CHF74" s="97"/>
      <c r="CHG74" s="97"/>
      <c r="CHH74" s="97"/>
      <c r="CHI74" s="97"/>
      <c r="CHJ74" s="97"/>
      <c r="CHK74" s="97"/>
      <c r="CHL74" s="97"/>
      <c r="CHM74" s="97"/>
      <c r="CHN74" s="97"/>
      <c r="CHO74" s="97"/>
      <c r="CHP74" s="97"/>
      <c r="CHQ74" s="97"/>
      <c r="CHR74" s="97"/>
      <c r="CHS74" s="97"/>
      <c r="CHT74" s="97"/>
      <c r="CHU74" s="97"/>
      <c r="CHV74" s="97"/>
      <c r="CHW74" s="97"/>
      <c r="CHX74" s="97"/>
      <c r="CHY74" s="97"/>
      <c r="CHZ74" s="97"/>
      <c r="CIA74" s="97"/>
      <c r="CIB74" s="97"/>
      <c r="CIC74" s="97"/>
      <c r="CID74" s="97"/>
      <c r="CIE74" s="97"/>
      <c r="CIF74" s="97"/>
      <c r="CIG74" s="97"/>
      <c r="CIH74" s="97"/>
      <c r="CII74" s="97"/>
      <c r="CIJ74" s="97"/>
      <c r="CIK74" s="97"/>
      <c r="CIL74" s="97"/>
      <c r="CIM74" s="97"/>
      <c r="CIN74" s="97"/>
      <c r="CIO74" s="97"/>
      <c r="CIP74" s="97"/>
      <c r="CIQ74" s="97"/>
      <c r="CIR74" s="97"/>
      <c r="CIS74" s="97"/>
      <c r="CIT74" s="97"/>
      <c r="CIU74" s="97"/>
      <c r="CIV74" s="97"/>
      <c r="CIW74" s="97"/>
      <c r="CIX74" s="97"/>
      <c r="CIY74" s="97"/>
      <c r="CIZ74" s="97"/>
      <c r="CJA74" s="97"/>
      <c r="CJB74" s="97"/>
      <c r="CJC74" s="97"/>
      <c r="CJD74" s="97"/>
      <c r="CJE74" s="97"/>
      <c r="CJF74" s="97"/>
      <c r="CJG74" s="97"/>
      <c r="CJH74" s="97"/>
      <c r="CJI74" s="97"/>
      <c r="CJJ74" s="97"/>
      <c r="CJK74" s="97"/>
      <c r="CJL74" s="97"/>
      <c r="CJM74" s="97"/>
      <c r="CJN74" s="97"/>
      <c r="CJO74" s="97"/>
      <c r="CJP74" s="97"/>
      <c r="CJQ74" s="97"/>
      <c r="CJR74" s="97"/>
      <c r="CJS74" s="97"/>
      <c r="CJT74" s="97"/>
      <c r="CJU74" s="97"/>
      <c r="CJV74" s="97"/>
      <c r="CJW74" s="97"/>
      <c r="CJX74" s="97"/>
      <c r="CJY74" s="97"/>
      <c r="CJZ74" s="97"/>
      <c r="CKA74" s="97"/>
      <c r="CKB74" s="97"/>
      <c r="CKC74" s="97"/>
      <c r="CKD74" s="97"/>
      <c r="CKE74" s="97"/>
      <c r="CKF74" s="97"/>
      <c r="CKG74" s="97"/>
      <c r="CKH74" s="97"/>
      <c r="CKI74" s="97"/>
      <c r="CKJ74" s="97"/>
      <c r="CKK74" s="97"/>
      <c r="CKL74" s="97"/>
      <c r="CKM74" s="97"/>
      <c r="CKN74" s="97"/>
      <c r="CKO74" s="97"/>
      <c r="CKP74" s="97"/>
      <c r="CKQ74" s="97"/>
      <c r="CKR74" s="97"/>
      <c r="CKS74" s="97"/>
      <c r="CKT74" s="97"/>
      <c r="CKU74" s="97"/>
      <c r="CKV74" s="97"/>
      <c r="CKW74" s="97"/>
      <c r="CKX74" s="97"/>
      <c r="CKY74" s="97"/>
      <c r="CKZ74" s="97"/>
      <c r="CLA74" s="97"/>
      <c r="CLB74" s="97"/>
      <c r="CLC74" s="97"/>
      <c r="CLD74" s="97"/>
      <c r="CLE74" s="97"/>
      <c r="CLF74" s="97"/>
      <c r="CLG74" s="97"/>
      <c r="CLH74" s="97"/>
      <c r="CLI74" s="97"/>
      <c r="CLJ74" s="97"/>
      <c r="CLK74" s="97"/>
      <c r="CLL74" s="97"/>
      <c r="CLM74" s="97"/>
      <c r="CLN74" s="97"/>
      <c r="CLO74" s="97"/>
      <c r="CLP74" s="97"/>
      <c r="CLQ74" s="97"/>
      <c r="CLR74" s="97"/>
      <c r="CLS74" s="97"/>
      <c r="CLT74" s="97"/>
      <c r="CLU74" s="97"/>
      <c r="CLV74" s="97"/>
      <c r="CLW74" s="97"/>
      <c r="CLX74" s="97"/>
      <c r="CLY74" s="97"/>
      <c r="CLZ74" s="97"/>
      <c r="CMA74" s="97"/>
      <c r="CMB74" s="97"/>
      <c r="CMC74" s="97"/>
      <c r="CMD74" s="97"/>
      <c r="CME74" s="97"/>
      <c r="CMF74" s="97"/>
      <c r="CMG74" s="97"/>
      <c r="CMH74" s="97"/>
      <c r="CMI74" s="97"/>
      <c r="CMJ74" s="97"/>
      <c r="CMK74" s="97"/>
      <c r="CML74" s="97"/>
      <c r="CMM74" s="97"/>
      <c r="CMN74" s="97"/>
      <c r="CMO74" s="97"/>
      <c r="CMP74" s="97"/>
      <c r="CMQ74" s="97"/>
      <c r="CMR74" s="97"/>
      <c r="CMS74" s="97"/>
      <c r="CMT74" s="97"/>
      <c r="CMU74" s="97"/>
      <c r="CMV74" s="97"/>
      <c r="CMW74" s="97"/>
      <c r="CMX74" s="97"/>
      <c r="CMY74" s="97"/>
      <c r="CMZ74" s="97"/>
      <c r="CNA74" s="97"/>
      <c r="CNB74" s="97"/>
      <c r="CNC74" s="97"/>
      <c r="CND74" s="97"/>
      <c r="CNE74" s="97"/>
      <c r="CNF74" s="97"/>
      <c r="CNG74" s="97"/>
      <c r="CNH74" s="97"/>
      <c r="CNI74" s="97"/>
      <c r="CNJ74" s="97"/>
      <c r="CNK74" s="97"/>
      <c r="CNL74" s="97"/>
      <c r="CNM74" s="97"/>
      <c r="CNN74" s="97"/>
      <c r="CNO74" s="97"/>
      <c r="CNP74" s="97"/>
      <c r="CNQ74" s="97"/>
      <c r="CNR74" s="97"/>
      <c r="CNS74" s="97"/>
      <c r="CNT74" s="97"/>
      <c r="CNU74" s="97"/>
      <c r="CNV74" s="97"/>
      <c r="CNW74" s="97"/>
      <c r="CNX74" s="97"/>
      <c r="CNY74" s="97"/>
      <c r="CNZ74" s="97"/>
      <c r="COA74" s="97"/>
      <c r="COB74" s="97"/>
      <c r="COC74" s="97"/>
      <c r="COD74" s="97"/>
      <c r="COE74" s="97"/>
      <c r="COF74" s="97"/>
      <c r="COG74" s="97"/>
      <c r="COH74" s="97"/>
      <c r="COI74" s="97"/>
      <c r="COJ74" s="97"/>
      <c r="COK74" s="97"/>
      <c r="COL74" s="97"/>
      <c r="COM74" s="97"/>
      <c r="CON74" s="97"/>
      <c r="COO74" s="97"/>
      <c r="COP74" s="97"/>
      <c r="COQ74" s="97"/>
      <c r="COR74" s="97"/>
      <c r="COS74" s="97"/>
      <c r="COT74" s="97"/>
      <c r="COU74" s="97"/>
      <c r="COV74" s="97"/>
      <c r="COW74" s="97"/>
      <c r="COX74" s="97"/>
      <c r="COY74" s="97"/>
      <c r="COZ74" s="97"/>
      <c r="CPA74" s="97"/>
      <c r="CPB74" s="97"/>
      <c r="CPC74" s="97"/>
      <c r="CPD74" s="97"/>
      <c r="CPE74" s="97"/>
      <c r="CPF74" s="97"/>
      <c r="CPG74" s="97"/>
      <c r="CPH74" s="97"/>
      <c r="CPI74" s="97"/>
      <c r="CPJ74" s="97"/>
      <c r="CPK74" s="97"/>
      <c r="CPL74" s="97"/>
      <c r="CPM74" s="97"/>
      <c r="CPN74" s="97"/>
      <c r="CPO74" s="97"/>
      <c r="CPP74" s="97"/>
      <c r="CPQ74" s="97"/>
      <c r="CPR74" s="97"/>
      <c r="CPS74" s="97"/>
      <c r="CPT74" s="97"/>
      <c r="CPU74" s="97"/>
      <c r="CPV74" s="97"/>
      <c r="CPW74" s="97"/>
      <c r="CPX74" s="97"/>
      <c r="CPY74" s="97"/>
      <c r="CPZ74" s="97"/>
      <c r="CQA74" s="97"/>
      <c r="CQB74" s="97"/>
      <c r="CQC74" s="97"/>
      <c r="CQD74" s="97"/>
      <c r="CQE74" s="97"/>
      <c r="CQF74" s="97"/>
      <c r="CQG74" s="97"/>
      <c r="CQH74" s="97"/>
      <c r="CQI74" s="97"/>
      <c r="CQJ74" s="97"/>
      <c r="CQK74" s="97"/>
      <c r="CQL74" s="97"/>
      <c r="CQM74" s="97"/>
      <c r="CQN74" s="97"/>
      <c r="CQO74" s="97"/>
      <c r="CQP74" s="97"/>
      <c r="CQQ74" s="97"/>
      <c r="CQR74" s="97"/>
      <c r="CQS74" s="97"/>
      <c r="CQT74" s="97"/>
      <c r="CQU74" s="97"/>
      <c r="CQV74" s="97"/>
      <c r="CQW74" s="97"/>
      <c r="CQX74" s="97"/>
      <c r="CQY74" s="97"/>
      <c r="CQZ74" s="97"/>
      <c r="CRA74" s="97"/>
      <c r="CRB74" s="97"/>
      <c r="CRC74" s="97"/>
      <c r="CRD74" s="97"/>
      <c r="CRE74" s="97"/>
      <c r="CRF74" s="97"/>
      <c r="CRG74" s="97"/>
      <c r="CRH74" s="97"/>
      <c r="CRI74" s="97"/>
      <c r="CRJ74" s="97"/>
      <c r="CRK74" s="97"/>
      <c r="CRL74" s="97"/>
      <c r="CRM74" s="97"/>
      <c r="CRN74" s="97"/>
      <c r="CRO74" s="97"/>
      <c r="CRP74" s="97"/>
      <c r="CRQ74" s="97"/>
      <c r="CRR74" s="97"/>
      <c r="CRS74" s="97"/>
      <c r="CRT74" s="97"/>
      <c r="CRU74" s="97"/>
      <c r="CRV74" s="97"/>
      <c r="CRW74" s="97"/>
      <c r="CRX74" s="97"/>
      <c r="CRY74" s="97"/>
      <c r="CRZ74" s="97"/>
      <c r="CSA74" s="97"/>
      <c r="CSB74" s="97"/>
      <c r="CSC74" s="97"/>
      <c r="CSD74" s="97"/>
      <c r="CSE74" s="97"/>
      <c r="CSF74" s="97"/>
      <c r="CSG74" s="97"/>
      <c r="CSH74" s="97"/>
      <c r="CSI74" s="97"/>
      <c r="CSJ74" s="97"/>
      <c r="CSK74" s="97"/>
      <c r="CSL74" s="97"/>
      <c r="CSM74" s="97"/>
      <c r="CSN74" s="97"/>
      <c r="CSO74" s="97"/>
      <c r="CSP74" s="97"/>
      <c r="CSQ74" s="97"/>
      <c r="CSR74" s="97"/>
      <c r="CSS74" s="97"/>
      <c r="CST74" s="97"/>
      <c r="CSU74" s="97"/>
      <c r="CSV74" s="97"/>
      <c r="CSW74" s="97"/>
      <c r="CSX74" s="97"/>
      <c r="CSY74" s="97"/>
      <c r="CSZ74" s="97"/>
      <c r="CTA74" s="97"/>
      <c r="CTB74" s="97"/>
      <c r="CTC74" s="97"/>
      <c r="CTD74" s="97"/>
      <c r="CTE74" s="97"/>
      <c r="CTF74" s="97"/>
      <c r="CTG74" s="97"/>
      <c r="CTH74" s="97"/>
      <c r="CTI74" s="97"/>
      <c r="CTJ74" s="97"/>
      <c r="CTK74" s="97"/>
      <c r="CTL74" s="97"/>
      <c r="CTM74" s="97"/>
      <c r="CTN74" s="97"/>
      <c r="CTO74" s="97"/>
      <c r="CTP74" s="97"/>
      <c r="CTQ74" s="97"/>
      <c r="CTR74" s="97"/>
      <c r="CTS74" s="97"/>
      <c r="CTT74" s="97"/>
      <c r="CTU74" s="97"/>
      <c r="CTV74" s="97"/>
      <c r="CTW74" s="97"/>
      <c r="CTX74" s="97"/>
      <c r="CTY74" s="97"/>
      <c r="CTZ74" s="97"/>
      <c r="CUA74" s="97"/>
      <c r="CUB74" s="97"/>
      <c r="CUC74" s="97"/>
      <c r="CUD74" s="97"/>
      <c r="CUE74" s="97"/>
      <c r="CUF74" s="97"/>
      <c r="CUG74" s="97"/>
      <c r="CUH74" s="97"/>
      <c r="CUI74" s="97"/>
      <c r="CUJ74" s="97"/>
      <c r="CUK74" s="97"/>
      <c r="CUL74" s="97"/>
      <c r="CUM74" s="97"/>
      <c r="CUN74" s="97"/>
      <c r="CUO74" s="97"/>
      <c r="CUP74" s="97"/>
      <c r="CUQ74" s="97"/>
      <c r="CUR74" s="97"/>
      <c r="CUS74" s="97"/>
      <c r="CUT74" s="97"/>
      <c r="CUU74" s="97"/>
      <c r="CUV74" s="97"/>
      <c r="CUW74" s="97"/>
      <c r="CUX74" s="97"/>
      <c r="CUY74" s="97"/>
      <c r="CUZ74" s="97"/>
      <c r="CVA74" s="97"/>
      <c r="CVB74" s="97"/>
      <c r="CVC74" s="97"/>
      <c r="CVD74" s="97"/>
      <c r="CVE74" s="97"/>
      <c r="CVF74" s="97"/>
      <c r="CVG74" s="97"/>
      <c r="CVH74" s="97"/>
      <c r="CVI74" s="97"/>
      <c r="CVJ74" s="97"/>
      <c r="CVK74" s="97"/>
      <c r="CVL74" s="97"/>
      <c r="CVM74" s="97"/>
      <c r="CVN74" s="97"/>
      <c r="CVO74" s="97"/>
      <c r="CVP74" s="97"/>
      <c r="CVQ74" s="97"/>
      <c r="CVR74" s="97"/>
      <c r="CVS74" s="97"/>
      <c r="CVT74" s="97"/>
      <c r="CVU74" s="97"/>
      <c r="CVV74" s="97"/>
      <c r="CVW74" s="97"/>
      <c r="CVX74" s="97"/>
      <c r="CVY74" s="97"/>
      <c r="CVZ74" s="97"/>
      <c r="CWA74" s="97"/>
      <c r="CWB74" s="97"/>
      <c r="CWC74" s="97"/>
      <c r="CWD74" s="97"/>
      <c r="CWE74" s="97"/>
      <c r="CWF74" s="97"/>
      <c r="CWG74" s="97"/>
      <c r="CWH74" s="97"/>
      <c r="CWI74" s="97"/>
      <c r="CWJ74" s="97"/>
      <c r="CWK74" s="97"/>
      <c r="CWL74" s="97"/>
      <c r="CWM74" s="97"/>
      <c r="CWN74" s="97"/>
      <c r="CWO74" s="97"/>
      <c r="CWP74" s="97"/>
      <c r="CWQ74" s="97"/>
      <c r="CWR74" s="97"/>
      <c r="CWS74" s="97"/>
      <c r="CWT74" s="97"/>
      <c r="CWU74" s="97"/>
      <c r="CWV74" s="97"/>
      <c r="CWW74" s="97"/>
      <c r="CWX74" s="97"/>
      <c r="CWY74" s="97"/>
      <c r="CWZ74" s="97"/>
      <c r="CXA74" s="97"/>
      <c r="CXB74" s="97"/>
      <c r="CXC74" s="97"/>
      <c r="CXD74" s="97"/>
      <c r="CXE74" s="97"/>
      <c r="CXF74" s="97"/>
      <c r="CXG74" s="97"/>
      <c r="CXH74" s="97"/>
      <c r="CXI74" s="97"/>
      <c r="CXJ74" s="97"/>
      <c r="CXK74" s="97"/>
      <c r="CXL74" s="97"/>
      <c r="CXM74" s="97"/>
      <c r="CXN74" s="97"/>
      <c r="CXO74" s="97"/>
      <c r="CXP74" s="97"/>
      <c r="CXQ74" s="97"/>
      <c r="CXR74" s="97"/>
      <c r="CXS74" s="97"/>
      <c r="CXT74" s="97"/>
      <c r="CXU74" s="97"/>
      <c r="CXV74" s="97"/>
      <c r="CXW74" s="97"/>
      <c r="CXX74" s="97"/>
      <c r="CXY74" s="97"/>
      <c r="CXZ74" s="97"/>
      <c r="CYA74" s="97"/>
      <c r="CYB74" s="97"/>
      <c r="CYC74" s="97"/>
      <c r="CYD74" s="97"/>
      <c r="CYE74" s="97"/>
      <c r="CYF74" s="97"/>
      <c r="CYG74" s="97"/>
      <c r="CYH74" s="97"/>
      <c r="CYI74" s="97"/>
      <c r="CYJ74" s="97"/>
      <c r="CYK74" s="97"/>
      <c r="CYL74" s="97"/>
      <c r="CYM74" s="97"/>
      <c r="CYN74" s="97"/>
      <c r="CYO74" s="97"/>
      <c r="CYP74" s="97"/>
      <c r="CYQ74" s="97"/>
      <c r="CYR74" s="97"/>
      <c r="CYS74" s="97"/>
      <c r="CYT74" s="97"/>
      <c r="CYU74" s="97"/>
      <c r="CYV74" s="97"/>
      <c r="CYW74" s="97"/>
      <c r="CYX74" s="97"/>
      <c r="CYY74" s="97"/>
      <c r="CYZ74" s="97"/>
      <c r="CZA74" s="97"/>
      <c r="CZB74" s="97"/>
      <c r="CZC74" s="97"/>
      <c r="CZD74" s="97"/>
      <c r="CZE74" s="97"/>
      <c r="CZF74" s="97"/>
      <c r="CZG74" s="97"/>
      <c r="CZH74" s="97"/>
      <c r="CZI74" s="97"/>
      <c r="CZJ74" s="97"/>
      <c r="CZK74" s="97"/>
      <c r="CZL74" s="97"/>
      <c r="CZM74" s="97"/>
      <c r="CZN74" s="97"/>
      <c r="CZO74" s="97"/>
      <c r="CZP74" s="97"/>
      <c r="CZQ74" s="97"/>
      <c r="CZR74" s="97"/>
      <c r="CZS74" s="97"/>
      <c r="CZT74" s="97"/>
      <c r="CZU74" s="97"/>
      <c r="CZV74" s="97"/>
      <c r="CZW74" s="97"/>
      <c r="CZX74" s="97"/>
      <c r="CZY74" s="97"/>
      <c r="CZZ74" s="97"/>
      <c r="DAA74" s="97"/>
      <c r="DAB74" s="97"/>
      <c r="DAC74" s="97"/>
      <c r="DAD74" s="97"/>
      <c r="DAE74" s="97"/>
      <c r="DAF74" s="97"/>
      <c r="DAG74" s="97"/>
      <c r="DAH74" s="97"/>
      <c r="DAI74" s="97"/>
      <c r="DAJ74" s="97"/>
      <c r="DAK74" s="97"/>
      <c r="DAL74" s="97"/>
      <c r="DAM74" s="97"/>
      <c r="DAN74" s="97"/>
      <c r="DAO74" s="97"/>
      <c r="DAP74" s="97"/>
      <c r="DAQ74" s="97"/>
      <c r="DAR74" s="97"/>
      <c r="DAS74" s="97"/>
      <c r="DAT74" s="97"/>
      <c r="DAU74" s="97"/>
      <c r="DAV74" s="97"/>
      <c r="DAW74" s="97"/>
      <c r="DAX74" s="97"/>
      <c r="DAY74" s="97"/>
      <c r="DAZ74" s="97"/>
      <c r="DBA74" s="97"/>
      <c r="DBB74" s="97"/>
      <c r="DBC74" s="97"/>
      <c r="DBD74" s="97"/>
      <c r="DBE74" s="97"/>
      <c r="DBF74" s="97"/>
      <c r="DBG74" s="97"/>
      <c r="DBH74" s="97"/>
      <c r="DBI74" s="97"/>
      <c r="DBJ74" s="97"/>
      <c r="DBK74" s="97"/>
      <c r="DBL74" s="97"/>
      <c r="DBM74" s="97"/>
      <c r="DBN74" s="97"/>
      <c r="DBO74" s="97"/>
      <c r="DBP74" s="97"/>
      <c r="DBQ74" s="97"/>
      <c r="DBR74" s="97"/>
      <c r="DBS74" s="97"/>
      <c r="DBT74" s="97"/>
      <c r="DBU74" s="97"/>
      <c r="DBV74" s="97"/>
      <c r="DBW74" s="97"/>
      <c r="DBX74" s="97"/>
      <c r="DBY74" s="97"/>
      <c r="DBZ74" s="97"/>
      <c r="DCA74" s="97"/>
      <c r="DCB74" s="97"/>
      <c r="DCC74" s="97"/>
      <c r="DCD74" s="97"/>
      <c r="DCE74" s="97"/>
      <c r="DCF74" s="97"/>
      <c r="DCG74" s="97"/>
      <c r="DCH74" s="97"/>
      <c r="DCI74" s="97"/>
      <c r="DCJ74" s="97"/>
      <c r="DCK74" s="97"/>
      <c r="DCL74" s="97"/>
      <c r="DCM74" s="97"/>
      <c r="DCN74" s="97"/>
      <c r="DCO74" s="97"/>
      <c r="DCP74" s="97"/>
      <c r="DCQ74" s="97"/>
      <c r="DCR74" s="97"/>
      <c r="DCS74" s="97"/>
      <c r="DCT74" s="97"/>
      <c r="DCU74" s="97"/>
      <c r="DCV74" s="97"/>
      <c r="DCW74" s="97"/>
      <c r="DCX74" s="97"/>
      <c r="DCY74" s="97"/>
      <c r="DCZ74" s="97"/>
      <c r="DDA74" s="97"/>
      <c r="DDB74" s="97"/>
      <c r="DDC74" s="97"/>
      <c r="DDD74" s="97"/>
      <c r="DDE74" s="97"/>
      <c r="DDF74" s="97"/>
      <c r="DDG74" s="97"/>
      <c r="DDH74" s="97"/>
      <c r="DDI74" s="97"/>
      <c r="DDJ74" s="97"/>
      <c r="DDK74" s="97"/>
      <c r="DDL74" s="97"/>
      <c r="DDM74" s="97"/>
      <c r="DDN74" s="97"/>
      <c r="DDO74" s="97"/>
      <c r="DDP74" s="97"/>
      <c r="DDQ74" s="97"/>
      <c r="DDR74" s="97"/>
      <c r="DDS74" s="97"/>
      <c r="DDT74" s="97"/>
      <c r="DDU74" s="97"/>
      <c r="DDV74" s="97"/>
      <c r="DDW74" s="97"/>
      <c r="DDX74" s="97"/>
      <c r="DDY74" s="97"/>
      <c r="DDZ74" s="97"/>
      <c r="DEA74" s="97"/>
      <c r="DEB74" s="97"/>
      <c r="DEC74" s="97"/>
      <c r="DED74" s="97"/>
      <c r="DEE74" s="97"/>
      <c r="DEF74" s="97"/>
      <c r="DEG74" s="97"/>
      <c r="DEH74" s="97"/>
      <c r="DEI74" s="97"/>
      <c r="DEJ74" s="97"/>
      <c r="DEK74" s="97"/>
      <c r="DEL74" s="97"/>
      <c r="DEM74" s="97"/>
      <c r="DEN74" s="97"/>
      <c r="DEO74" s="97"/>
      <c r="DEP74" s="97"/>
      <c r="DEQ74" s="97"/>
      <c r="DER74" s="97"/>
      <c r="DES74" s="97"/>
      <c r="DET74" s="97"/>
      <c r="DEU74" s="97"/>
      <c r="DEV74" s="97"/>
      <c r="DEW74" s="97"/>
      <c r="DEX74" s="97"/>
      <c r="DEY74" s="97"/>
      <c r="DEZ74" s="97"/>
      <c r="DFA74" s="97"/>
      <c r="DFB74" s="97"/>
      <c r="DFC74" s="97"/>
      <c r="DFD74" s="97"/>
      <c r="DFE74" s="97"/>
      <c r="DFF74" s="97"/>
      <c r="DFG74" s="97"/>
      <c r="DFH74" s="97"/>
      <c r="DFI74" s="97"/>
      <c r="DFJ74" s="97"/>
      <c r="DFK74" s="97"/>
      <c r="DFL74" s="97"/>
      <c r="DFM74" s="97"/>
      <c r="DFN74" s="97"/>
      <c r="DFO74" s="97"/>
      <c r="DFP74" s="97"/>
      <c r="DFQ74" s="97"/>
      <c r="DFR74" s="97"/>
      <c r="DFS74" s="97"/>
      <c r="DFT74" s="97"/>
      <c r="DFU74" s="97"/>
      <c r="DFV74" s="97"/>
      <c r="DFW74" s="97"/>
      <c r="DFX74" s="97"/>
      <c r="DFY74" s="97"/>
      <c r="DFZ74" s="97"/>
      <c r="DGA74" s="97"/>
      <c r="DGB74" s="97"/>
      <c r="DGC74" s="97"/>
      <c r="DGD74" s="97"/>
      <c r="DGE74" s="97"/>
      <c r="DGF74" s="97"/>
      <c r="DGG74" s="97"/>
      <c r="DGH74" s="97"/>
      <c r="DGI74" s="97"/>
      <c r="DGJ74" s="97"/>
      <c r="DGK74" s="97"/>
      <c r="DGL74" s="97"/>
      <c r="DGM74" s="97"/>
      <c r="DGN74" s="97"/>
      <c r="DGO74" s="97"/>
      <c r="DGP74" s="97"/>
      <c r="DGQ74" s="97"/>
      <c r="DGR74" s="97"/>
      <c r="DGS74" s="97"/>
      <c r="DGT74" s="97"/>
      <c r="DGU74" s="97"/>
      <c r="DGV74" s="97"/>
      <c r="DGW74" s="97"/>
      <c r="DGX74" s="97"/>
      <c r="DGY74" s="97"/>
      <c r="DGZ74" s="97"/>
      <c r="DHA74" s="97"/>
      <c r="DHB74" s="97"/>
      <c r="DHC74" s="97"/>
      <c r="DHD74" s="97"/>
      <c r="DHE74" s="97"/>
      <c r="DHF74" s="97"/>
      <c r="DHG74" s="97"/>
      <c r="DHH74" s="97"/>
      <c r="DHI74" s="97"/>
      <c r="DHJ74" s="97"/>
      <c r="DHK74" s="97"/>
      <c r="DHL74" s="97"/>
      <c r="DHM74" s="97"/>
      <c r="DHN74" s="97"/>
      <c r="DHO74" s="97"/>
      <c r="DHP74" s="97"/>
      <c r="DHQ74" s="97"/>
      <c r="DHR74" s="97"/>
      <c r="DHS74" s="97"/>
      <c r="DHT74" s="97"/>
      <c r="DHU74" s="97"/>
      <c r="DHV74" s="97"/>
      <c r="DHW74" s="97"/>
      <c r="DHX74" s="97"/>
      <c r="DHY74" s="97"/>
      <c r="DHZ74" s="97"/>
      <c r="DIA74" s="97"/>
      <c r="DIB74" s="97"/>
      <c r="DIC74" s="97"/>
      <c r="DID74" s="97"/>
      <c r="DIE74" s="97"/>
      <c r="DIF74" s="97"/>
      <c r="DIG74" s="97"/>
      <c r="DIH74" s="97"/>
      <c r="DII74" s="97"/>
      <c r="DIJ74" s="97"/>
      <c r="DIK74" s="97"/>
      <c r="DIL74" s="97"/>
      <c r="DIM74" s="97"/>
      <c r="DIN74" s="97"/>
      <c r="DIO74" s="97"/>
      <c r="DIP74" s="97"/>
      <c r="DIQ74" s="97"/>
      <c r="DIR74" s="97"/>
      <c r="DIS74" s="97"/>
      <c r="DIT74" s="97"/>
      <c r="DIU74" s="97"/>
      <c r="DIV74" s="97"/>
      <c r="DIW74" s="97"/>
      <c r="DIX74" s="97"/>
      <c r="DIY74" s="97"/>
      <c r="DIZ74" s="97"/>
      <c r="DJA74" s="97"/>
      <c r="DJB74" s="97"/>
      <c r="DJC74" s="97"/>
      <c r="DJD74" s="97"/>
      <c r="DJE74" s="97"/>
      <c r="DJF74" s="97"/>
      <c r="DJG74" s="97"/>
      <c r="DJH74" s="97"/>
      <c r="DJI74" s="97"/>
      <c r="DJJ74" s="97"/>
      <c r="DJK74" s="97"/>
      <c r="DJL74" s="97"/>
      <c r="DJM74" s="97"/>
      <c r="DJN74" s="97"/>
      <c r="DJO74" s="97"/>
      <c r="DJP74" s="97"/>
      <c r="DJQ74" s="97"/>
      <c r="DJR74" s="97"/>
      <c r="DJS74" s="97"/>
      <c r="DJT74" s="97"/>
      <c r="DJU74" s="97"/>
      <c r="DJV74" s="97"/>
      <c r="DJW74" s="97"/>
      <c r="DJX74" s="97"/>
      <c r="DJY74" s="97"/>
      <c r="DJZ74" s="97"/>
      <c r="DKA74" s="97"/>
      <c r="DKB74" s="97"/>
      <c r="DKC74" s="97"/>
      <c r="DKD74" s="97"/>
      <c r="DKE74" s="97"/>
      <c r="DKF74" s="97"/>
      <c r="DKG74" s="97"/>
      <c r="DKH74" s="97"/>
      <c r="DKI74" s="97"/>
      <c r="DKJ74" s="97"/>
      <c r="DKK74" s="97"/>
      <c r="DKL74" s="97"/>
      <c r="DKM74" s="97"/>
      <c r="DKN74" s="97"/>
      <c r="DKO74" s="97"/>
      <c r="DKP74" s="97"/>
      <c r="DKQ74" s="97"/>
      <c r="DKR74" s="97"/>
      <c r="DKS74" s="97"/>
      <c r="DKT74" s="97"/>
      <c r="DKU74" s="97"/>
      <c r="DKV74" s="97"/>
      <c r="DKW74" s="97"/>
      <c r="DKX74" s="97"/>
      <c r="DKY74" s="97"/>
      <c r="DKZ74" s="97"/>
      <c r="DLA74" s="97"/>
      <c r="DLB74" s="97"/>
      <c r="DLC74" s="97"/>
      <c r="DLD74" s="97"/>
      <c r="DLE74" s="97"/>
      <c r="DLF74" s="97"/>
      <c r="DLG74" s="97"/>
      <c r="DLH74" s="97"/>
      <c r="DLI74" s="97"/>
      <c r="DLJ74" s="97"/>
      <c r="DLK74" s="97"/>
      <c r="DLL74" s="97"/>
      <c r="DLM74" s="97"/>
      <c r="DLN74" s="97"/>
      <c r="DLO74" s="97"/>
      <c r="DLP74" s="97"/>
      <c r="DLQ74" s="97"/>
      <c r="DLR74" s="97"/>
      <c r="DLS74" s="97"/>
      <c r="DLT74" s="97"/>
      <c r="DLU74" s="97"/>
      <c r="DLV74" s="97"/>
      <c r="DLW74" s="97"/>
      <c r="DLX74" s="97"/>
      <c r="DLY74" s="97"/>
      <c r="DLZ74" s="97"/>
      <c r="DMA74" s="97"/>
      <c r="DMB74" s="97"/>
      <c r="DMC74" s="97"/>
      <c r="DMD74" s="97"/>
      <c r="DME74" s="97"/>
      <c r="DMF74" s="97"/>
      <c r="DMG74" s="97"/>
      <c r="DMH74" s="97"/>
      <c r="DMI74" s="97"/>
      <c r="DMJ74" s="97"/>
      <c r="DMK74" s="97"/>
      <c r="DML74" s="97"/>
      <c r="DMM74" s="97"/>
      <c r="DMN74" s="97"/>
      <c r="DMO74" s="97"/>
      <c r="DMP74" s="97"/>
      <c r="DMQ74" s="97"/>
      <c r="DMR74" s="97"/>
      <c r="DMS74" s="97"/>
      <c r="DMT74" s="97"/>
      <c r="DMU74" s="97"/>
      <c r="DMV74" s="97"/>
      <c r="DMW74" s="97"/>
      <c r="DMX74" s="97"/>
      <c r="DMY74" s="97"/>
      <c r="DMZ74" s="97"/>
      <c r="DNA74" s="97"/>
      <c r="DNB74" s="97"/>
      <c r="DNC74" s="97"/>
      <c r="DND74" s="97"/>
      <c r="DNE74" s="97"/>
      <c r="DNF74" s="97"/>
      <c r="DNG74" s="97"/>
      <c r="DNH74" s="97"/>
      <c r="DNI74" s="97"/>
      <c r="DNJ74" s="97"/>
      <c r="DNK74" s="97"/>
      <c r="DNL74" s="97"/>
      <c r="DNM74" s="97"/>
      <c r="DNN74" s="97"/>
      <c r="DNO74" s="97"/>
      <c r="DNP74" s="97"/>
      <c r="DNQ74" s="97"/>
      <c r="DNR74" s="97"/>
      <c r="DNS74" s="97"/>
      <c r="DNT74" s="97"/>
      <c r="DNU74" s="97"/>
      <c r="DNV74" s="97"/>
      <c r="DNW74" s="97"/>
      <c r="DNX74" s="97"/>
      <c r="DNY74" s="97"/>
      <c r="DNZ74" s="97"/>
      <c r="DOA74" s="97"/>
      <c r="DOB74" s="97"/>
      <c r="DOC74" s="97"/>
      <c r="DOD74" s="97"/>
      <c r="DOE74" s="97"/>
      <c r="DOF74" s="97"/>
      <c r="DOG74" s="97"/>
      <c r="DOH74" s="97"/>
      <c r="DOI74" s="97"/>
      <c r="DOJ74" s="97"/>
      <c r="DOK74" s="97"/>
      <c r="DOL74" s="97"/>
      <c r="DOM74" s="97"/>
      <c r="DON74" s="97"/>
      <c r="DOO74" s="97"/>
      <c r="DOP74" s="97"/>
      <c r="DOQ74" s="97"/>
      <c r="DOR74" s="97"/>
      <c r="DOS74" s="97"/>
      <c r="DOT74" s="97"/>
      <c r="DOU74" s="97"/>
      <c r="DOV74" s="97"/>
      <c r="DOW74" s="97"/>
      <c r="DOX74" s="97"/>
      <c r="DOY74" s="97"/>
      <c r="DOZ74" s="97"/>
      <c r="DPA74" s="97"/>
      <c r="DPB74" s="97"/>
      <c r="DPC74" s="97"/>
      <c r="DPD74" s="97"/>
      <c r="DPE74" s="97"/>
      <c r="DPF74" s="97"/>
      <c r="DPG74" s="97"/>
      <c r="DPH74" s="97"/>
      <c r="DPI74" s="97"/>
      <c r="DPJ74" s="97"/>
      <c r="DPK74" s="97"/>
      <c r="DPL74" s="97"/>
      <c r="DPM74" s="97"/>
      <c r="DPN74" s="97"/>
      <c r="DPO74" s="97"/>
      <c r="DPP74" s="97"/>
      <c r="DPQ74" s="97"/>
      <c r="DPR74" s="97"/>
      <c r="DPS74" s="97"/>
      <c r="DPT74" s="97"/>
      <c r="DPU74" s="97"/>
      <c r="DPV74" s="97"/>
      <c r="DPW74" s="97"/>
      <c r="DPX74" s="97"/>
      <c r="DPY74" s="97"/>
      <c r="DPZ74" s="97"/>
      <c r="DQA74" s="97"/>
      <c r="DQB74" s="97"/>
      <c r="DQC74" s="97"/>
      <c r="DQD74" s="97"/>
      <c r="DQE74" s="97"/>
      <c r="DQF74" s="97"/>
      <c r="DQG74" s="97"/>
      <c r="DQH74" s="97"/>
      <c r="DQI74" s="97"/>
      <c r="DQJ74" s="97"/>
      <c r="DQK74" s="97"/>
      <c r="DQL74" s="97"/>
      <c r="DQM74" s="97"/>
      <c r="DQN74" s="97"/>
      <c r="DQO74" s="97"/>
      <c r="DQP74" s="97"/>
      <c r="DQQ74" s="97"/>
      <c r="DQR74" s="97"/>
      <c r="DQS74" s="97"/>
      <c r="DQT74" s="97"/>
      <c r="DQU74" s="97"/>
      <c r="DQV74" s="97"/>
      <c r="DQW74" s="97"/>
      <c r="DQX74" s="97"/>
      <c r="DQY74" s="97"/>
      <c r="DQZ74" s="97"/>
      <c r="DRA74" s="97"/>
      <c r="DRB74" s="97"/>
      <c r="DRC74" s="97"/>
      <c r="DRD74" s="97"/>
      <c r="DRE74" s="97"/>
      <c r="DRF74" s="97"/>
      <c r="DRG74" s="97"/>
      <c r="DRH74" s="97"/>
      <c r="DRI74" s="97"/>
      <c r="DRJ74" s="97"/>
      <c r="DRK74" s="97"/>
      <c r="DRL74" s="97"/>
      <c r="DRM74" s="97"/>
      <c r="DRN74" s="97"/>
      <c r="DRO74" s="97"/>
      <c r="DRP74" s="97"/>
      <c r="DRQ74" s="97"/>
      <c r="DRR74" s="97"/>
      <c r="DRS74" s="97"/>
      <c r="DRT74" s="97"/>
      <c r="DRU74" s="97"/>
      <c r="DRV74" s="97"/>
      <c r="DRW74" s="97"/>
      <c r="DRX74" s="97"/>
      <c r="DRY74" s="97"/>
      <c r="DRZ74" s="97"/>
      <c r="DSA74" s="97"/>
      <c r="DSB74" s="97"/>
      <c r="DSC74" s="97"/>
      <c r="DSD74" s="97"/>
      <c r="DSE74" s="97"/>
      <c r="DSF74" s="97"/>
      <c r="DSG74" s="97"/>
      <c r="DSH74" s="97"/>
      <c r="DSI74" s="97"/>
      <c r="DSJ74" s="97"/>
      <c r="DSK74" s="97"/>
      <c r="DSL74" s="97"/>
      <c r="DSM74" s="97"/>
      <c r="DSN74" s="97"/>
      <c r="DSO74" s="97"/>
      <c r="DSP74" s="97"/>
      <c r="DSQ74" s="97"/>
      <c r="DSR74" s="97"/>
      <c r="DSS74" s="97"/>
      <c r="DST74" s="97"/>
      <c r="DSU74" s="97"/>
      <c r="DSV74" s="97"/>
      <c r="DSW74" s="97"/>
      <c r="DSX74" s="97"/>
      <c r="DSY74" s="97"/>
      <c r="DSZ74" s="97"/>
      <c r="DTA74" s="97"/>
      <c r="DTB74" s="97"/>
      <c r="DTC74" s="97"/>
      <c r="DTD74" s="97"/>
      <c r="DTE74" s="97"/>
      <c r="DTF74" s="97"/>
      <c r="DTG74" s="97"/>
      <c r="DTH74" s="97"/>
      <c r="DTI74" s="97"/>
      <c r="DTJ74" s="97"/>
      <c r="DTK74" s="97"/>
      <c r="DTL74" s="97"/>
      <c r="DTM74" s="97"/>
      <c r="DTN74" s="97"/>
      <c r="DTO74" s="97"/>
      <c r="DTP74" s="97"/>
      <c r="DTQ74" s="97"/>
      <c r="DTR74" s="97"/>
      <c r="DTS74" s="97"/>
      <c r="DTT74" s="97"/>
      <c r="DTU74" s="97"/>
      <c r="DTV74" s="97"/>
      <c r="DTW74" s="97"/>
      <c r="DTX74" s="97"/>
      <c r="DTY74" s="97"/>
      <c r="DTZ74" s="97"/>
      <c r="DUA74" s="97"/>
      <c r="DUB74" s="97"/>
      <c r="DUC74" s="97"/>
      <c r="DUD74" s="97"/>
      <c r="DUE74" s="97"/>
      <c r="DUF74" s="97"/>
      <c r="DUG74" s="97"/>
      <c r="DUH74" s="97"/>
      <c r="DUI74" s="97"/>
      <c r="DUJ74" s="97"/>
      <c r="DUK74" s="97"/>
      <c r="DUL74" s="97"/>
      <c r="DUM74" s="97"/>
      <c r="DUN74" s="97"/>
      <c r="DUO74" s="97"/>
      <c r="DUP74" s="97"/>
      <c r="DUQ74" s="97"/>
      <c r="DUR74" s="97"/>
      <c r="DUS74" s="97"/>
      <c r="DUT74" s="97"/>
      <c r="DUU74" s="97"/>
      <c r="DUV74" s="97"/>
      <c r="DUW74" s="97"/>
      <c r="DUX74" s="97"/>
      <c r="DUY74" s="97"/>
      <c r="DUZ74" s="97"/>
      <c r="DVA74" s="97"/>
      <c r="DVB74" s="97"/>
      <c r="DVC74" s="97"/>
      <c r="DVD74" s="97"/>
      <c r="DVE74" s="97"/>
      <c r="DVF74" s="97"/>
      <c r="DVG74" s="97"/>
      <c r="DVH74" s="97"/>
      <c r="DVI74" s="97"/>
      <c r="DVJ74" s="97"/>
      <c r="DVK74" s="97"/>
      <c r="DVL74" s="97"/>
      <c r="DVM74" s="97"/>
      <c r="DVN74" s="97"/>
      <c r="DVO74" s="97"/>
      <c r="DVP74" s="97"/>
      <c r="DVQ74" s="97"/>
      <c r="DVR74" s="97"/>
      <c r="DVS74" s="97"/>
      <c r="DVT74" s="97"/>
      <c r="DVU74" s="97"/>
      <c r="DVV74" s="97"/>
      <c r="DVW74" s="97"/>
      <c r="DVX74" s="97"/>
      <c r="DVY74" s="97"/>
      <c r="DVZ74" s="97"/>
      <c r="DWA74" s="97"/>
      <c r="DWB74" s="97"/>
      <c r="DWC74" s="97"/>
      <c r="DWD74" s="97"/>
      <c r="DWE74" s="97"/>
      <c r="DWF74" s="97"/>
      <c r="DWG74" s="97"/>
      <c r="DWH74" s="97"/>
      <c r="DWI74" s="97"/>
      <c r="DWJ74" s="97"/>
      <c r="DWK74" s="97"/>
      <c r="DWL74" s="97"/>
      <c r="DWM74" s="97"/>
      <c r="DWN74" s="97"/>
      <c r="DWO74" s="97"/>
      <c r="DWP74" s="97"/>
      <c r="DWQ74" s="97"/>
      <c r="DWR74" s="97"/>
      <c r="DWS74" s="97"/>
      <c r="DWT74" s="97"/>
      <c r="DWU74" s="97"/>
      <c r="DWV74" s="97"/>
      <c r="DWW74" s="97"/>
      <c r="DWX74" s="97"/>
      <c r="DWY74" s="97"/>
      <c r="DWZ74" s="97"/>
      <c r="DXA74" s="97"/>
      <c r="DXB74" s="97"/>
      <c r="DXC74" s="97"/>
      <c r="DXD74" s="97"/>
      <c r="DXE74" s="97"/>
      <c r="DXF74" s="97"/>
      <c r="DXG74" s="97"/>
      <c r="DXH74" s="97"/>
      <c r="DXI74" s="97"/>
      <c r="DXJ74" s="97"/>
      <c r="DXK74" s="97"/>
      <c r="DXL74" s="97"/>
      <c r="DXM74" s="97"/>
      <c r="DXN74" s="97"/>
      <c r="DXO74" s="97"/>
      <c r="DXP74" s="97"/>
      <c r="DXQ74" s="97"/>
      <c r="DXR74" s="97"/>
      <c r="DXS74" s="97"/>
      <c r="DXT74" s="97"/>
      <c r="DXU74" s="97"/>
      <c r="DXV74" s="97"/>
      <c r="DXW74" s="97"/>
      <c r="DXX74" s="97"/>
      <c r="DXY74" s="97"/>
      <c r="DXZ74" s="97"/>
      <c r="DYA74" s="97"/>
      <c r="DYB74" s="97"/>
      <c r="DYC74" s="97"/>
      <c r="DYD74" s="97"/>
      <c r="DYE74" s="97"/>
      <c r="DYF74" s="97"/>
      <c r="DYG74" s="97"/>
      <c r="DYH74" s="97"/>
      <c r="DYI74" s="97"/>
      <c r="DYJ74" s="97"/>
      <c r="DYK74" s="97"/>
      <c r="DYL74" s="97"/>
      <c r="DYM74" s="97"/>
      <c r="DYN74" s="97"/>
      <c r="DYO74" s="97"/>
      <c r="DYP74" s="97"/>
      <c r="DYQ74" s="97"/>
      <c r="DYR74" s="97"/>
      <c r="DYS74" s="97"/>
      <c r="DYT74" s="97"/>
      <c r="DYU74" s="97"/>
      <c r="DYV74" s="97"/>
      <c r="DYW74" s="97"/>
      <c r="DYX74" s="97"/>
      <c r="DYY74" s="97"/>
      <c r="DYZ74" s="97"/>
      <c r="DZA74" s="97"/>
      <c r="DZB74" s="97"/>
      <c r="DZC74" s="97"/>
      <c r="DZD74" s="97"/>
      <c r="DZE74" s="97"/>
      <c r="DZF74" s="97"/>
      <c r="DZG74" s="97"/>
      <c r="DZH74" s="97"/>
      <c r="DZI74" s="97"/>
      <c r="DZJ74" s="97"/>
      <c r="DZK74" s="97"/>
      <c r="DZL74" s="97"/>
      <c r="DZM74" s="97"/>
      <c r="DZN74" s="97"/>
      <c r="DZO74" s="97"/>
      <c r="DZP74" s="97"/>
      <c r="DZQ74" s="97"/>
      <c r="DZR74" s="97"/>
      <c r="DZS74" s="97"/>
      <c r="DZT74" s="97"/>
      <c r="DZU74" s="97"/>
      <c r="DZV74" s="97"/>
      <c r="DZW74" s="97"/>
      <c r="DZX74" s="97"/>
      <c r="DZY74" s="97"/>
      <c r="DZZ74" s="97"/>
      <c r="EAA74" s="97"/>
      <c r="EAB74" s="97"/>
      <c r="EAC74" s="97"/>
      <c r="EAD74" s="97"/>
      <c r="EAE74" s="97"/>
      <c r="EAF74" s="97"/>
      <c r="EAG74" s="97"/>
      <c r="EAH74" s="97"/>
      <c r="EAI74" s="97"/>
      <c r="EAJ74" s="97"/>
      <c r="EAK74" s="97"/>
      <c r="EAL74" s="97"/>
      <c r="EAM74" s="97"/>
      <c r="EAN74" s="97"/>
      <c r="EAO74" s="97"/>
      <c r="EAP74" s="97"/>
      <c r="EAQ74" s="97"/>
      <c r="EAR74" s="97"/>
      <c r="EAS74" s="97"/>
      <c r="EAT74" s="97"/>
      <c r="EAU74" s="97"/>
      <c r="EAV74" s="97"/>
      <c r="EAW74" s="97"/>
      <c r="EAX74" s="97"/>
      <c r="EAY74" s="97"/>
      <c r="EAZ74" s="97"/>
      <c r="EBA74" s="97"/>
      <c r="EBB74" s="97"/>
      <c r="EBC74" s="97"/>
      <c r="EBD74" s="97"/>
      <c r="EBE74" s="97"/>
      <c r="EBF74" s="97"/>
      <c r="EBG74" s="97"/>
      <c r="EBH74" s="97"/>
      <c r="EBI74" s="97"/>
      <c r="EBJ74" s="97"/>
      <c r="EBK74" s="97"/>
      <c r="EBL74" s="97"/>
      <c r="EBM74" s="97"/>
      <c r="EBN74" s="97"/>
      <c r="EBO74" s="97"/>
      <c r="EBP74" s="97"/>
      <c r="EBQ74" s="97"/>
      <c r="EBR74" s="97"/>
      <c r="EBS74" s="97"/>
      <c r="EBT74" s="97"/>
      <c r="EBU74" s="97"/>
      <c r="EBV74" s="97"/>
      <c r="EBW74" s="97"/>
      <c r="EBX74" s="97"/>
      <c r="EBY74" s="97"/>
      <c r="EBZ74" s="97"/>
      <c r="ECA74" s="97"/>
      <c r="ECB74" s="97"/>
      <c r="ECC74" s="97"/>
      <c r="ECD74" s="97"/>
      <c r="ECE74" s="97"/>
      <c r="ECF74" s="97"/>
      <c r="ECG74" s="97"/>
      <c r="ECH74" s="97"/>
      <c r="ECI74" s="97"/>
      <c r="ECJ74" s="97"/>
      <c r="ECK74" s="97"/>
      <c r="ECL74" s="97"/>
      <c r="ECM74" s="97"/>
      <c r="ECN74" s="97"/>
      <c r="ECO74" s="97"/>
      <c r="ECP74" s="97"/>
      <c r="ECQ74" s="97"/>
      <c r="ECR74" s="97"/>
      <c r="ECS74" s="97"/>
      <c r="ECT74" s="97"/>
      <c r="ECU74" s="97"/>
      <c r="ECV74" s="97"/>
      <c r="ECW74" s="97"/>
      <c r="ECX74" s="97"/>
      <c r="ECY74" s="97"/>
      <c r="ECZ74" s="97"/>
      <c r="EDA74" s="97"/>
      <c r="EDB74" s="97"/>
      <c r="EDC74" s="97"/>
      <c r="EDD74" s="97"/>
      <c r="EDE74" s="97"/>
      <c r="EDF74" s="97"/>
      <c r="EDG74" s="97"/>
      <c r="EDH74" s="97"/>
      <c r="EDI74" s="97"/>
      <c r="EDJ74" s="97"/>
      <c r="EDK74" s="97"/>
      <c r="EDL74" s="97"/>
      <c r="EDM74" s="97"/>
      <c r="EDN74" s="97"/>
      <c r="EDO74" s="97"/>
      <c r="EDP74" s="97"/>
      <c r="EDQ74" s="97"/>
      <c r="EDR74" s="97"/>
      <c r="EDS74" s="97"/>
      <c r="EDT74" s="97"/>
      <c r="EDU74" s="97"/>
      <c r="EDV74" s="97"/>
      <c r="EDW74" s="97"/>
      <c r="EDX74" s="97"/>
      <c r="EDY74" s="97"/>
      <c r="EDZ74" s="97"/>
      <c r="EEA74" s="97"/>
      <c r="EEB74" s="97"/>
      <c r="EEC74" s="97"/>
      <c r="EED74" s="97"/>
      <c r="EEE74" s="97"/>
      <c r="EEF74" s="97"/>
      <c r="EEG74" s="97"/>
      <c r="EEH74" s="97"/>
      <c r="EEI74" s="97"/>
      <c r="EEJ74" s="97"/>
      <c r="EEK74" s="97"/>
      <c r="EEL74" s="97"/>
      <c r="EEM74" s="97"/>
      <c r="EEN74" s="97"/>
      <c r="EEO74" s="97"/>
      <c r="EEP74" s="97"/>
      <c r="EEQ74" s="97"/>
      <c r="EER74" s="97"/>
      <c r="EES74" s="97"/>
      <c r="EET74" s="97"/>
      <c r="EEU74" s="97"/>
      <c r="EEV74" s="97"/>
      <c r="EEW74" s="97"/>
      <c r="EEX74" s="97"/>
      <c r="EEY74" s="97"/>
      <c r="EEZ74" s="97"/>
      <c r="EFA74" s="97"/>
      <c r="EFB74" s="97"/>
      <c r="EFC74" s="97"/>
      <c r="EFD74" s="97"/>
      <c r="EFE74" s="97"/>
      <c r="EFF74" s="97"/>
      <c r="EFG74" s="97"/>
      <c r="EFH74" s="97"/>
      <c r="EFI74" s="97"/>
      <c r="EFJ74" s="97"/>
      <c r="EFK74" s="97"/>
      <c r="EFL74" s="97"/>
      <c r="EFM74" s="97"/>
      <c r="EFN74" s="97"/>
      <c r="EFO74" s="97"/>
      <c r="EFP74" s="97"/>
      <c r="EFQ74" s="97"/>
      <c r="EFR74" s="97"/>
      <c r="EFS74" s="97"/>
      <c r="EFT74" s="97"/>
      <c r="EFU74" s="97"/>
      <c r="EFV74" s="97"/>
      <c r="EFW74" s="97"/>
      <c r="EFX74" s="97"/>
      <c r="EFY74" s="97"/>
      <c r="EFZ74" s="97"/>
      <c r="EGA74" s="97"/>
      <c r="EGB74" s="97"/>
      <c r="EGC74" s="97"/>
      <c r="EGD74" s="97"/>
      <c r="EGE74" s="97"/>
      <c r="EGF74" s="97"/>
      <c r="EGG74" s="97"/>
      <c r="EGH74" s="97"/>
      <c r="EGI74" s="97"/>
      <c r="EGJ74" s="97"/>
      <c r="EGK74" s="97"/>
      <c r="EGL74" s="97"/>
      <c r="EGM74" s="97"/>
      <c r="EGN74" s="97"/>
      <c r="EGO74" s="97"/>
      <c r="EGP74" s="97"/>
      <c r="EGQ74" s="97"/>
      <c r="EGR74" s="97"/>
      <c r="EGS74" s="97"/>
      <c r="EGT74" s="97"/>
      <c r="EGU74" s="97"/>
      <c r="EGV74" s="97"/>
      <c r="EGW74" s="97"/>
      <c r="EGX74" s="97"/>
      <c r="EGY74" s="97"/>
      <c r="EGZ74" s="97"/>
      <c r="EHA74" s="97"/>
      <c r="EHB74" s="97"/>
      <c r="EHC74" s="97"/>
      <c r="EHD74" s="97"/>
      <c r="EHE74" s="97"/>
      <c r="EHF74" s="97"/>
      <c r="EHG74" s="97"/>
      <c r="EHH74" s="97"/>
      <c r="EHI74" s="97"/>
      <c r="EHJ74" s="97"/>
      <c r="EHK74" s="97"/>
      <c r="EHL74" s="97"/>
      <c r="EHM74" s="97"/>
      <c r="EHN74" s="97"/>
      <c r="EHO74" s="97"/>
      <c r="EHP74" s="97"/>
      <c r="EHQ74" s="97"/>
      <c r="EHR74" s="97"/>
      <c r="EHS74" s="97"/>
      <c r="EHT74" s="97"/>
      <c r="EHU74" s="97"/>
      <c r="EHV74" s="97"/>
      <c r="EHW74" s="97"/>
      <c r="EHX74" s="97"/>
      <c r="EHY74" s="97"/>
      <c r="EHZ74" s="97"/>
      <c r="EIA74" s="97"/>
      <c r="EIB74" s="97"/>
      <c r="EIC74" s="97"/>
      <c r="EID74" s="97"/>
      <c r="EIE74" s="97"/>
      <c r="EIF74" s="97"/>
      <c r="EIG74" s="97"/>
      <c r="EIH74" s="97"/>
      <c r="EII74" s="97"/>
      <c r="EIJ74" s="97"/>
      <c r="EIK74" s="97"/>
      <c r="EIL74" s="97"/>
      <c r="EIM74" s="97"/>
      <c r="EIN74" s="97"/>
      <c r="EIO74" s="97"/>
      <c r="EIP74" s="97"/>
      <c r="EIQ74" s="97"/>
      <c r="EIR74" s="97"/>
      <c r="EIS74" s="97"/>
      <c r="EIT74" s="97"/>
      <c r="EIU74" s="97"/>
      <c r="EIV74" s="97"/>
      <c r="EIW74" s="97"/>
      <c r="EIX74" s="97"/>
      <c r="EIY74" s="97"/>
      <c r="EIZ74" s="97"/>
      <c r="EJA74" s="97"/>
      <c r="EJB74" s="97"/>
      <c r="EJC74" s="97"/>
      <c r="EJD74" s="97"/>
      <c r="EJE74" s="97"/>
      <c r="EJF74" s="97"/>
      <c r="EJG74" s="97"/>
      <c r="EJH74" s="97"/>
      <c r="EJI74" s="97"/>
      <c r="EJJ74" s="97"/>
      <c r="EJK74" s="97"/>
      <c r="EJL74" s="97"/>
      <c r="EJM74" s="97"/>
      <c r="EJN74" s="97"/>
      <c r="EJO74" s="97"/>
      <c r="EJP74" s="97"/>
      <c r="EJQ74" s="97"/>
      <c r="EJR74" s="97"/>
      <c r="EJS74" s="97"/>
      <c r="EJT74" s="97"/>
      <c r="EJU74" s="97"/>
      <c r="EJV74" s="97"/>
      <c r="EJW74" s="97"/>
      <c r="EJX74" s="97"/>
      <c r="EJY74" s="97"/>
      <c r="EJZ74" s="97"/>
      <c r="EKA74" s="97"/>
      <c r="EKB74" s="97"/>
      <c r="EKC74" s="97"/>
      <c r="EKD74" s="97"/>
      <c r="EKE74" s="97"/>
      <c r="EKF74" s="97"/>
      <c r="EKG74" s="97"/>
      <c r="EKH74" s="97"/>
      <c r="EKI74" s="97"/>
      <c r="EKJ74" s="97"/>
      <c r="EKK74" s="97"/>
      <c r="EKL74" s="97"/>
      <c r="EKM74" s="97"/>
      <c r="EKN74" s="97"/>
      <c r="EKO74" s="97"/>
      <c r="EKP74" s="97"/>
      <c r="EKQ74" s="97"/>
      <c r="EKR74" s="97"/>
      <c r="EKS74" s="97"/>
      <c r="EKT74" s="97"/>
      <c r="EKU74" s="97"/>
      <c r="EKV74" s="97"/>
      <c r="EKW74" s="97"/>
      <c r="EKX74" s="97"/>
      <c r="EKY74" s="97"/>
      <c r="EKZ74" s="97"/>
      <c r="ELA74" s="97"/>
      <c r="ELB74" s="97"/>
      <c r="ELC74" s="97"/>
      <c r="ELD74" s="97"/>
      <c r="ELE74" s="97"/>
      <c r="ELF74" s="97"/>
      <c r="ELG74" s="97"/>
      <c r="ELH74" s="97"/>
      <c r="ELI74" s="97"/>
      <c r="ELJ74" s="97"/>
      <c r="ELK74" s="97"/>
      <c r="ELL74" s="97"/>
      <c r="ELM74" s="97"/>
      <c r="ELN74" s="97"/>
      <c r="ELO74" s="97"/>
      <c r="ELP74" s="97"/>
      <c r="ELQ74" s="97"/>
      <c r="ELR74" s="97"/>
      <c r="ELS74" s="97"/>
      <c r="ELT74" s="97"/>
      <c r="ELU74" s="97"/>
      <c r="ELV74" s="97"/>
      <c r="ELW74" s="97"/>
      <c r="ELX74" s="97"/>
      <c r="ELY74" s="97"/>
      <c r="ELZ74" s="97"/>
      <c r="EMA74" s="97"/>
      <c r="EMB74" s="97"/>
      <c r="EMC74" s="97"/>
      <c r="EMD74" s="97"/>
      <c r="EME74" s="97"/>
      <c r="EMF74" s="97"/>
      <c r="EMG74" s="97"/>
      <c r="EMH74" s="97"/>
      <c r="EMI74" s="97"/>
      <c r="EMJ74" s="97"/>
      <c r="EMK74" s="97"/>
      <c r="EML74" s="97"/>
      <c r="EMM74" s="97"/>
      <c r="EMN74" s="97"/>
      <c r="EMO74" s="97"/>
      <c r="EMP74" s="97"/>
      <c r="EMQ74" s="97"/>
      <c r="EMR74" s="97"/>
      <c r="EMS74" s="97"/>
      <c r="EMT74" s="97"/>
      <c r="EMU74" s="97"/>
      <c r="EMV74" s="97"/>
      <c r="EMW74" s="97"/>
      <c r="EMX74" s="97"/>
      <c r="EMY74" s="97"/>
      <c r="EMZ74" s="97"/>
      <c r="ENA74" s="97"/>
      <c r="ENB74" s="97"/>
      <c r="ENC74" s="97"/>
      <c r="END74" s="97"/>
      <c r="ENE74" s="97"/>
      <c r="ENF74" s="97"/>
      <c r="ENG74" s="97"/>
      <c r="ENH74" s="97"/>
      <c r="ENI74" s="97"/>
      <c r="ENJ74" s="97"/>
      <c r="ENK74" s="97"/>
      <c r="ENL74" s="97"/>
      <c r="ENM74" s="97"/>
      <c r="ENN74" s="97"/>
      <c r="ENO74" s="97"/>
      <c r="ENP74" s="97"/>
      <c r="ENQ74" s="97"/>
      <c r="ENR74" s="97"/>
      <c r="ENS74" s="97"/>
      <c r="ENT74" s="97"/>
      <c r="ENU74" s="97"/>
      <c r="ENV74" s="97"/>
      <c r="ENW74" s="97"/>
      <c r="ENX74" s="97"/>
      <c r="ENY74" s="97"/>
      <c r="ENZ74" s="97"/>
      <c r="EOA74" s="97"/>
      <c r="EOB74" s="97"/>
      <c r="EOC74" s="97"/>
      <c r="EOD74" s="97"/>
      <c r="EOE74" s="97"/>
      <c r="EOF74" s="97"/>
      <c r="EOG74" s="97"/>
      <c r="EOH74" s="97"/>
      <c r="EOI74" s="97"/>
      <c r="EOJ74" s="97"/>
      <c r="EOK74" s="97"/>
      <c r="EOL74" s="97"/>
      <c r="EOM74" s="97"/>
      <c r="EON74" s="97"/>
      <c r="EOO74" s="97"/>
      <c r="EOP74" s="97"/>
      <c r="EOQ74" s="97"/>
      <c r="EOR74" s="97"/>
      <c r="EOS74" s="97"/>
      <c r="EOT74" s="97"/>
      <c r="EOU74" s="97"/>
      <c r="EOV74" s="97"/>
      <c r="EOW74" s="97"/>
      <c r="EOX74" s="97"/>
      <c r="EOY74" s="97"/>
      <c r="EOZ74" s="97"/>
      <c r="EPA74" s="97"/>
      <c r="EPB74" s="97"/>
      <c r="EPC74" s="97"/>
      <c r="EPD74" s="97"/>
      <c r="EPE74" s="97"/>
      <c r="EPF74" s="97"/>
      <c r="EPG74" s="97"/>
      <c r="EPH74" s="97"/>
      <c r="EPI74" s="97"/>
      <c r="EPJ74" s="97"/>
      <c r="EPK74" s="97"/>
      <c r="EPL74" s="97"/>
      <c r="EPM74" s="97"/>
      <c r="EPN74" s="97"/>
      <c r="EPO74" s="97"/>
      <c r="EPP74" s="97"/>
      <c r="EPQ74" s="97"/>
      <c r="EPR74" s="97"/>
      <c r="EPS74" s="97"/>
      <c r="EPT74" s="97"/>
      <c r="EPU74" s="97"/>
      <c r="EPV74" s="97"/>
      <c r="EPW74" s="97"/>
      <c r="EPX74" s="97"/>
      <c r="EPY74" s="97"/>
      <c r="EPZ74" s="97"/>
      <c r="EQA74" s="97"/>
      <c r="EQB74" s="97"/>
      <c r="EQC74" s="97"/>
      <c r="EQD74" s="97"/>
      <c r="EQE74" s="97"/>
      <c r="EQF74" s="97"/>
      <c r="EQG74" s="97"/>
      <c r="EQH74" s="97"/>
      <c r="EQI74" s="97"/>
      <c r="EQJ74" s="97"/>
      <c r="EQK74" s="97"/>
      <c r="EQL74" s="97"/>
      <c r="EQM74" s="97"/>
      <c r="EQN74" s="97"/>
      <c r="EQO74" s="97"/>
      <c r="EQP74" s="97"/>
      <c r="EQQ74" s="97"/>
      <c r="EQR74" s="97"/>
      <c r="EQS74" s="97"/>
      <c r="EQT74" s="97"/>
      <c r="EQU74" s="97"/>
      <c r="EQV74" s="97"/>
      <c r="EQW74" s="97"/>
      <c r="EQX74" s="97"/>
      <c r="EQY74" s="97"/>
      <c r="EQZ74" s="97"/>
      <c r="ERA74" s="97"/>
      <c r="ERB74" s="97"/>
      <c r="ERC74" s="97"/>
      <c r="ERD74" s="97"/>
      <c r="ERE74" s="97"/>
      <c r="ERF74" s="97"/>
      <c r="ERG74" s="97"/>
      <c r="ERH74" s="97"/>
      <c r="ERI74" s="97"/>
      <c r="ERJ74" s="97"/>
      <c r="ERK74" s="97"/>
      <c r="ERL74" s="97"/>
      <c r="ERM74" s="97"/>
      <c r="ERN74" s="97"/>
      <c r="ERO74" s="97"/>
      <c r="ERP74" s="97"/>
      <c r="ERQ74" s="97"/>
      <c r="ERR74" s="97"/>
      <c r="ERS74" s="97"/>
      <c r="ERT74" s="97"/>
      <c r="ERU74" s="97"/>
      <c r="ERV74" s="97"/>
      <c r="ERW74" s="97"/>
      <c r="ERX74" s="97"/>
      <c r="ERY74" s="97"/>
      <c r="ERZ74" s="97"/>
      <c r="ESA74" s="97"/>
      <c r="ESB74" s="97"/>
      <c r="ESC74" s="97"/>
      <c r="ESD74" s="97"/>
      <c r="ESE74" s="97"/>
      <c r="ESF74" s="97"/>
      <c r="ESG74" s="97"/>
      <c r="ESH74" s="97"/>
      <c r="ESI74" s="97"/>
      <c r="ESJ74" s="97"/>
      <c r="ESK74" s="97"/>
      <c r="ESL74" s="97"/>
      <c r="ESM74" s="97"/>
      <c r="ESN74" s="97"/>
      <c r="ESO74" s="97"/>
      <c r="ESP74" s="97"/>
      <c r="ESQ74" s="97"/>
      <c r="ESR74" s="97"/>
      <c r="ESS74" s="97"/>
      <c r="EST74" s="97"/>
      <c r="ESU74" s="97"/>
      <c r="ESV74" s="97"/>
      <c r="ESW74" s="97"/>
      <c r="ESX74" s="97"/>
      <c r="ESY74" s="97"/>
      <c r="ESZ74" s="97"/>
      <c r="ETA74" s="97"/>
      <c r="ETB74" s="97"/>
      <c r="ETC74" s="97"/>
      <c r="ETD74" s="97"/>
      <c r="ETE74" s="97"/>
      <c r="ETF74" s="97"/>
      <c r="ETG74" s="97"/>
      <c r="ETH74" s="97"/>
      <c r="ETI74" s="97"/>
      <c r="ETJ74" s="97"/>
      <c r="ETK74" s="97"/>
      <c r="ETL74" s="97"/>
      <c r="ETM74" s="97"/>
      <c r="ETN74" s="97"/>
      <c r="ETO74" s="97"/>
      <c r="ETP74" s="97"/>
      <c r="ETQ74" s="97"/>
      <c r="ETR74" s="97"/>
      <c r="ETS74" s="97"/>
      <c r="ETT74" s="97"/>
      <c r="ETU74" s="97"/>
      <c r="ETV74" s="97"/>
      <c r="ETW74" s="97"/>
      <c r="ETX74" s="97"/>
      <c r="ETY74" s="97"/>
      <c r="ETZ74" s="97"/>
      <c r="EUA74" s="97"/>
      <c r="EUB74" s="97"/>
      <c r="EUC74" s="97"/>
      <c r="EUD74" s="97"/>
      <c r="EUE74" s="97"/>
      <c r="EUF74" s="97"/>
      <c r="EUG74" s="97"/>
      <c r="EUH74" s="97"/>
      <c r="EUI74" s="97"/>
      <c r="EUJ74" s="97"/>
      <c r="EUK74" s="97"/>
      <c r="EUL74" s="97"/>
      <c r="EUM74" s="97"/>
      <c r="EUN74" s="97"/>
      <c r="EUO74" s="97"/>
      <c r="EUP74" s="97"/>
      <c r="EUQ74" s="97"/>
      <c r="EUR74" s="97"/>
      <c r="EUS74" s="97"/>
      <c r="EUT74" s="97"/>
      <c r="EUU74" s="97"/>
      <c r="EUV74" s="97"/>
      <c r="EUW74" s="97"/>
      <c r="EUX74" s="97"/>
      <c r="EUY74" s="97"/>
      <c r="EUZ74" s="97"/>
      <c r="EVA74" s="97"/>
      <c r="EVB74" s="97"/>
      <c r="EVC74" s="97"/>
      <c r="EVD74" s="97"/>
      <c r="EVE74" s="97"/>
      <c r="EVF74" s="97"/>
      <c r="EVG74" s="97"/>
      <c r="EVH74" s="97"/>
      <c r="EVI74" s="97"/>
      <c r="EVJ74" s="97"/>
      <c r="EVK74" s="97"/>
      <c r="EVL74" s="97"/>
      <c r="EVM74" s="97"/>
      <c r="EVN74" s="97"/>
      <c r="EVO74" s="97"/>
      <c r="EVP74" s="97"/>
      <c r="EVQ74" s="97"/>
      <c r="EVR74" s="97"/>
      <c r="EVS74" s="97"/>
      <c r="EVT74" s="97"/>
      <c r="EVU74" s="97"/>
      <c r="EVV74" s="97"/>
      <c r="EVW74" s="97"/>
      <c r="EVX74" s="97"/>
      <c r="EVY74" s="97"/>
      <c r="EVZ74" s="97"/>
      <c r="EWA74" s="97"/>
      <c r="EWB74" s="97"/>
      <c r="EWC74" s="97"/>
      <c r="EWD74" s="97"/>
      <c r="EWE74" s="97"/>
      <c r="EWF74" s="97"/>
      <c r="EWG74" s="97"/>
      <c r="EWH74" s="97"/>
      <c r="EWI74" s="97"/>
      <c r="EWJ74" s="97"/>
      <c r="EWK74" s="97"/>
      <c r="EWL74" s="97"/>
      <c r="EWM74" s="97"/>
      <c r="EWN74" s="97"/>
      <c r="EWO74" s="97"/>
      <c r="EWP74" s="97"/>
      <c r="EWQ74" s="97"/>
      <c r="EWR74" s="97"/>
      <c r="EWS74" s="97"/>
      <c r="EWT74" s="97"/>
      <c r="EWU74" s="97"/>
      <c r="EWV74" s="97"/>
      <c r="EWW74" s="97"/>
      <c r="EWX74" s="97"/>
      <c r="EWY74" s="97"/>
      <c r="EWZ74" s="97"/>
      <c r="EXA74" s="97"/>
      <c r="EXB74" s="97"/>
      <c r="EXC74" s="97"/>
      <c r="EXD74" s="97"/>
      <c r="EXE74" s="97"/>
      <c r="EXF74" s="97"/>
      <c r="EXG74" s="97"/>
      <c r="EXH74" s="97"/>
      <c r="EXI74" s="97"/>
      <c r="EXJ74" s="97"/>
      <c r="EXK74" s="97"/>
      <c r="EXL74" s="97"/>
      <c r="EXM74" s="97"/>
      <c r="EXN74" s="97"/>
      <c r="EXO74" s="97"/>
      <c r="EXP74" s="97"/>
      <c r="EXQ74" s="97"/>
      <c r="EXR74" s="97"/>
      <c r="EXS74" s="97"/>
      <c r="EXT74" s="97"/>
      <c r="EXU74" s="97"/>
      <c r="EXV74" s="97"/>
      <c r="EXW74" s="97"/>
      <c r="EXX74" s="97"/>
      <c r="EXY74" s="97"/>
      <c r="EXZ74" s="97"/>
      <c r="EYA74" s="97"/>
      <c r="EYB74" s="97"/>
      <c r="EYC74" s="97"/>
      <c r="EYD74" s="97"/>
      <c r="EYE74" s="97"/>
      <c r="EYF74" s="97"/>
      <c r="EYG74" s="97"/>
      <c r="EYH74" s="97"/>
      <c r="EYI74" s="97"/>
      <c r="EYJ74" s="97"/>
      <c r="EYK74" s="97"/>
      <c r="EYL74" s="97"/>
      <c r="EYM74" s="97"/>
      <c r="EYN74" s="97"/>
      <c r="EYO74" s="97"/>
      <c r="EYP74" s="97"/>
      <c r="EYQ74" s="97"/>
      <c r="EYR74" s="97"/>
      <c r="EYS74" s="97"/>
      <c r="EYT74" s="97"/>
      <c r="EYU74" s="97"/>
      <c r="EYV74" s="97"/>
      <c r="EYW74" s="97"/>
      <c r="EYX74" s="97"/>
      <c r="EYY74" s="97"/>
      <c r="EYZ74" s="97"/>
      <c r="EZA74" s="97"/>
      <c r="EZB74" s="97"/>
      <c r="EZC74" s="97"/>
      <c r="EZD74" s="97"/>
      <c r="EZE74" s="97"/>
      <c r="EZF74" s="97"/>
      <c r="EZG74" s="97"/>
      <c r="EZH74" s="97"/>
      <c r="EZI74" s="97"/>
      <c r="EZJ74" s="97"/>
      <c r="EZK74" s="97"/>
      <c r="EZL74" s="97"/>
      <c r="EZM74" s="97"/>
      <c r="EZN74" s="97"/>
      <c r="EZO74" s="97"/>
      <c r="EZP74" s="97"/>
      <c r="EZQ74" s="97"/>
      <c r="EZR74" s="97"/>
      <c r="EZS74" s="97"/>
      <c r="EZT74" s="97"/>
      <c r="EZU74" s="97"/>
      <c r="EZV74" s="97"/>
      <c r="EZW74" s="97"/>
      <c r="EZX74" s="97"/>
      <c r="EZY74" s="97"/>
      <c r="EZZ74" s="97"/>
      <c r="FAA74" s="97"/>
      <c r="FAB74" s="97"/>
      <c r="FAC74" s="97"/>
      <c r="FAD74" s="97"/>
      <c r="FAE74" s="97"/>
      <c r="FAF74" s="97"/>
      <c r="FAG74" s="97"/>
      <c r="FAH74" s="97"/>
      <c r="FAI74" s="97"/>
      <c r="FAJ74" s="97"/>
      <c r="FAK74" s="97"/>
      <c r="FAL74" s="97"/>
      <c r="FAM74" s="97"/>
      <c r="FAN74" s="97"/>
      <c r="FAO74" s="97"/>
      <c r="FAP74" s="97"/>
      <c r="FAQ74" s="97"/>
      <c r="FAR74" s="97"/>
      <c r="FAS74" s="97"/>
      <c r="FAT74" s="97"/>
      <c r="FAU74" s="97"/>
      <c r="FAV74" s="97"/>
      <c r="FAW74" s="97"/>
      <c r="FAX74" s="97"/>
      <c r="FAY74" s="97"/>
      <c r="FAZ74" s="97"/>
      <c r="FBA74" s="97"/>
      <c r="FBB74" s="97"/>
      <c r="FBC74" s="97"/>
      <c r="FBD74" s="97"/>
      <c r="FBE74" s="97"/>
      <c r="FBF74" s="97"/>
      <c r="FBG74" s="97"/>
      <c r="FBH74" s="97"/>
      <c r="FBI74" s="97"/>
      <c r="FBJ74" s="97"/>
      <c r="FBK74" s="97"/>
      <c r="FBL74" s="97"/>
      <c r="FBM74" s="97"/>
      <c r="FBN74" s="97"/>
      <c r="FBO74" s="97"/>
      <c r="FBP74" s="97"/>
      <c r="FBQ74" s="97"/>
      <c r="FBR74" s="97"/>
      <c r="FBS74" s="97"/>
      <c r="FBT74" s="97"/>
      <c r="FBU74" s="97"/>
      <c r="FBV74" s="97"/>
      <c r="FBW74" s="97"/>
      <c r="FBX74" s="97"/>
      <c r="FBY74" s="97"/>
      <c r="FBZ74" s="97"/>
      <c r="FCA74" s="97"/>
      <c r="FCB74" s="97"/>
      <c r="FCC74" s="97"/>
      <c r="FCD74" s="97"/>
      <c r="FCE74" s="97"/>
      <c r="FCF74" s="97"/>
      <c r="FCG74" s="97"/>
      <c r="FCH74" s="97"/>
      <c r="FCI74" s="97"/>
      <c r="FCJ74" s="97"/>
      <c r="FCK74" s="97"/>
      <c r="FCL74" s="97"/>
      <c r="FCM74" s="97"/>
      <c r="FCN74" s="97"/>
      <c r="FCO74" s="97"/>
      <c r="FCP74" s="97"/>
      <c r="FCQ74" s="97"/>
      <c r="FCR74" s="97"/>
      <c r="FCS74" s="97"/>
      <c r="FCT74" s="97"/>
      <c r="FCU74" s="97"/>
      <c r="FCV74" s="97"/>
      <c r="FCW74" s="97"/>
      <c r="FCX74" s="97"/>
      <c r="FCY74" s="97"/>
      <c r="FCZ74" s="97"/>
      <c r="FDA74" s="97"/>
      <c r="FDB74" s="97"/>
      <c r="FDC74" s="97"/>
      <c r="FDD74" s="97"/>
      <c r="FDE74" s="97"/>
      <c r="FDF74" s="97"/>
      <c r="FDG74" s="97"/>
      <c r="FDH74" s="97"/>
      <c r="FDI74" s="97"/>
      <c r="FDJ74" s="97"/>
      <c r="FDK74" s="97"/>
      <c r="FDL74" s="97"/>
      <c r="FDM74" s="97"/>
      <c r="FDN74" s="97"/>
      <c r="FDO74" s="97"/>
      <c r="FDP74" s="97"/>
      <c r="FDQ74" s="97"/>
      <c r="FDR74" s="97"/>
      <c r="FDS74" s="97"/>
      <c r="FDT74" s="97"/>
      <c r="FDU74" s="97"/>
      <c r="FDV74" s="97"/>
      <c r="FDW74" s="97"/>
      <c r="FDX74" s="97"/>
      <c r="FDY74" s="97"/>
      <c r="FDZ74" s="97"/>
      <c r="FEA74" s="97"/>
      <c r="FEB74" s="97"/>
      <c r="FEC74" s="97"/>
      <c r="FED74" s="97"/>
      <c r="FEE74" s="97"/>
      <c r="FEF74" s="97"/>
      <c r="FEG74" s="97"/>
      <c r="FEH74" s="97"/>
      <c r="FEI74" s="97"/>
      <c r="FEJ74" s="97"/>
      <c r="FEK74" s="97"/>
      <c r="FEL74" s="97"/>
      <c r="FEM74" s="97"/>
      <c r="FEN74" s="97"/>
      <c r="FEO74" s="97"/>
      <c r="FEP74" s="97"/>
      <c r="FEQ74" s="97"/>
      <c r="FER74" s="97"/>
      <c r="FES74" s="97"/>
      <c r="FET74" s="97"/>
      <c r="FEU74" s="97"/>
      <c r="FEV74" s="97"/>
      <c r="FEW74" s="97"/>
      <c r="FEX74" s="97"/>
      <c r="FEY74" s="97"/>
      <c r="FEZ74" s="97"/>
      <c r="FFA74" s="97"/>
      <c r="FFB74" s="97"/>
      <c r="FFC74" s="97"/>
      <c r="FFD74" s="97"/>
      <c r="FFE74" s="97"/>
      <c r="FFF74" s="97"/>
      <c r="FFG74" s="97"/>
      <c r="FFH74" s="97"/>
      <c r="FFI74" s="97"/>
      <c r="FFJ74" s="97"/>
      <c r="FFK74" s="97"/>
      <c r="FFL74" s="97"/>
      <c r="FFM74" s="97"/>
      <c r="FFN74" s="97"/>
      <c r="FFO74" s="97"/>
      <c r="FFP74" s="97"/>
      <c r="FFQ74" s="97"/>
      <c r="FFR74" s="97"/>
      <c r="FFS74" s="97"/>
      <c r="FFT74" s="97"/>
      <c r="FFU74" s="97"/>
      <c r="FFV74" s="97"/>
      <c r="FFW74" s="97"/>
      <c r="FFX74" s="97"/>
      <c r="FFY74" s="97"/>
      <c r="FFZ74" s="97"/>
      <c r="FGA74" s="97"/>
      <c r="FGB74" s="97"/>
      <c r="FGC74" s="97"/>
      <c r="FGD74" s="97"/>
      <c r="FGE74" s="97"/>
      <c r="FGF74" s="97"/>
      <c r="FGG74" s="97"/>
      <c r="FGH74" s="97"/>
      <c r="FGI74" s="97"/>
      <c r="FGJ74" s="97"/>
      <c r="FGK74" s="97"/>
      <c r="FGL74" s="97"/>
      <c r="FGM74" s="97"/>
      <c r="FGN74" s="97"/>
      <c r="FGO74" s="97"/>
      <c r="FGP74" s="97"/>
      <c r="FGQ74" s="97"/>
      <c r="FGR74" s="97"/>
      <c r="FGS74" s="97"/>
      <c r="FGT74" s="97"/>
      <c r="FGU74" s="97"/>
      <c r="FGV74" s="97"/>
      <c r="FGW74" s="97"/>
      <c r="FGX74" s="97"/>
      <c r="FGY74" s="97"/>
      <c r="FGZ74" s="97"/>
      <c r="FHA74" s="97"/>
      <c r="FHB74" s="97"/>
      <c r="FHC74" s="97"/>
      <c r="FHD74" s="97"/>
      <c r="FHE74" s="97"/>
      <c r="FHF74" s="97"/>
      <c r="FHG74" s="97"/>
      <c r="FHH74" s="97"/>
      <c r="FHI74" s="97"/>
      <c r="FHJ74" s="97"/>
      <c r="FHK74" s="97"/>
      <c r="FHL74" s="97"/>
      <c r="FHM74" s="97"/>
      <c r="FHN74" s="97"/>
      <c r="FHO74" s="97"/>
      <c r="FHP74" s="97"/>
      <c r="FHQ74" s="97"/>
      <c r="FHR74" s="97"/>
      <c r="FHS74" s="97"/>
      <c r="FHT74" s="97"/>
      <c r="FHU74" s="97"/>
      <c r="FHV74" s="97"/>
      <c r="FHW74" s="97"/>
      <c r="FHX74" s="97"/>
      <c r="FHY74" s="97"/>
      <c r="FHZ74" s="97"/>
      <c r="FIA74" s="97"/>
      <c r="FIB74" s="97"/>
      <c r="FIC74" s="97"/>
      <c r="FID74" s="97"/>
      <c r="FIE74" s="97"/>
      <c r="FIF74" s="97"/>
      <c r="FIG74" s="97"/>
      <c r="FIH74" s="97"/>
      <c r="FII74" s="97"/>
      <c r="FIJ74" s="97"/>
      <c r="FIK74" s="97"/>
      <c r="FIL74" s="97"/>
      <c r="FIM74" s="97"/>
      <c r="FIN74" s="97"/>
      <c r="FIO74" s="97"/>
      <c r="FIP74" s="97"/>
      <c r="FIQ74" s="97"/>
      <c r="FIR74" s="97"/>
      <c r="FIS74" s="97"/>
      <c r="FIT74" s="97"/>
      <c r="FIU74" s="97"/>
      <c r="FIV74" s="97"/>
      <c r="FIW74" s="97"/>
      <c r="FIX74" s="97"/>
      <c r="FIY74" s="97"/>
      <c r="FIZ74" s="97"/>
      <c r="FJA74" s="97"/>
      <c r="FJB74" s="97"/>
      <c r="FJC74" s="97"/>
      <c r="FJD74" s="97"/>
      <c r="FJE74" s="97"/>
      <c r="FJF74" s="97"/>
      <c r="FJG74" s="97"/>
      <c r="FJH74" s="97"/>
      <c r="FJI74" s="97"/>
      <c r="FJJ74" s="97"/>
      <c r="FJK74" s="97"/>
      <c r="FJL74" s="97"/>
      <c r="FJM74" s="97"/>
      <c r="FJN74" s="97"/>
      <c r="FJO74" s="97"/>
      <c r="FJP74" s="97"/>
      <c r="FJQ74" s="97"/>
      <c r="FJR74" s="97"/>
      <c r="FJS74" s="97"/>
      <c r="FJT74" s="97"/>
      <c r="FJU74" s="97"/>
      <c r="FJV74" s="97"/>
      <c r="FJW74" s="97"/>
      <c r="FJX74" s="97"/>
      <c r="FJY74" s="97"/>
      <c r="FJZ74" s="97"/>
      <c r="FKA74" s="97"/>
      <c r="FKB74" s="97"/>
      <c r="FKC74" s="97"/>
      <c r="FKD74" s="97"/>
      <c r="FKE74" s="97"/>
      <c r="FKF74" s="97"/>
      <c r="FKG74" s="97"/>
      <c r="FKH74" s="97"/>
      <c r="FKI74" s="97"/>
      <c r="FKJ74" s="97"/>
      <c r="FKK74" s="97"/>
      <c r="FKL74" s="97"/>
      <c r="FKM74" s="97"/>
      <c r="FKN74" s="97"/>
      <c r="FKO74" s="97"/>
      <c r="FKP74" s="97"/>
      <c r="FKQ74" s="97"/>
      <c r="FKR74" s="97"/>
      <c r="FKS74" s="97"/>
      <c r="FKT74" s="97"/>
      <c r="FKU74" s="97"/>
      <c r="FKV74" s="97"/>
      <c r="FKW74" s="97"/>
      <c r="FKX74" s="97"/>
      <c r="FKY74" s="97"/>
      <c r="FKZ74" s="97"/>
      <c r="FLA74" s="97"/>
      <c r="FLB74" s="97"/>
      <c r="FLC74" s="97"/>
      <c r="FLD74" s="97"/>
      <c r="FLE74" s="97"/>
      <c r="FLF74" s="97"/>
      <c r="FLG74" s="97"/>
      <c r="FLH74" s="97"/>
      <c r="FLI74" s="97"/>
      <c r="FLJ74" s="97"/>
      <c r="FLK74" s="97"/>
      <c r="FLL74" s="97"/>
      <c r="FLM74" s="97"/>
      <c r="FLN74" s="97"/>
      <c r="FLO74" s="97"/>
      <c r="FLP74" s="97"/>
      <c r="FLQ74" s="97"/>
      <c r="FLR74" s="97"/>
      <c r="FLS74" s="97"/>
      <c r="FLT74" s="97"/>
      <c r="FLU74" s="97"/>
      <c r="FLV74" s="97"/>
      <c r="FLW74" s="97"/>
      <c r="FLX74" s="97"/>
      <c r="FLY74" s="97"/>
      <c r="FLZ74" s="97"/>
      <c r="FMA74" s="97"/>
      <c r="FMB74" s="97"/>
      <c r="FMC74" s="97"/>
      <c r="FMD74" s="97"/>
      <c r="FME74" s="97"/>
      <c r="FMF74" s="97"/>
      <c r="FMG74" s="97"/>
      <c r="FMH74" s="97"/>
      <c r="FMI74" s="97"/>
      <c r="FMJ74" s="97"/>
      <c r="FMK74" s="97"/>
      <c r="FML74" s="97"/>
      <c r="FMM74" s="97"/>
      <c r="FMN74" s="97"/>
      <c r="FMO74" s="97"/>
      <c r="FMP74" s="97"/>
      <c r="FMQ74" s="97"/>
      <c r="FMR74" s="97"/>
      <c r="FMS74" s="97"/>
      <c r="FMT74" s="97"/>
      <c r="FMU74" s="97"/>
      <c r="FMV74" s="97"/>
      <c r="FMW74" s="97"/>
      <c r="FMX74" s="97"/>
      <c r="FMY74" s="97"/>
      <c r="FMZ74" s="97"/>
      <c r="FNA74" s="97"/>
      <c r="FNB74" s="97"/>
      <c r="FNC74" s="97"/>
      <c r="FND74" s="97"/>
      <c r="FNE74" s="97"/>
      <c r="FNF74" s="97"/>
      <c r="FNG74" s="97"/>
      <c r="FNH74" s="97"/>
      <c r="FNI74" s="97"/>
      <c r="FNJ74" s="97"/>
      <c r="FNK74" s="97"/>
      <c r="FNL74" s="97"/>
      <c r="FNM74" s="97"/>
      <c r="FNN74" s="97"/>
      <c r="FNO74" s="97"/>
      <c r="FNP74" s="97"/>
      <c r="FNQ74" s="97"/>
      <c r="FNR74" s="97"/>
      <c r="FNS74" s="97"/>
      <c r="FNT74" s="97"/>
      <c r="FNU74" s="97"/>
      <c r="FNV74" s="97"/>
      <c r="FNW74" s="97"/>
      <c r="FNX74" s="97"/>
      <c r="FNY74" s="97"/>
      <c r="FNZ74" s="97"/>
      <c r="FOA74" s="97"/>
      <c r="FOB74" s="97"/>
      <c r="FOC74" s="97"/>
      <c r="FOD74" s="97"/>
      <c r="FOE74" s="97"/>
      <c r="FOF74" s="97"/>
      <c r="FOG74" s="97"/>
      <c r="FOH74" s="97"/>
      <c r="FOI74" s="97"/>
      <c r="FOJ74" s="97"/>
      <c r="FOK74" s="97"/>
      <c r="FOL74" s="97"/>
      <c r="FOM74" s="97"/>
      <c r="FON74" s="97"/>
      <c r="FOO74" s="97"/>
      <c r="FOP74" s="97"/>
      <c r="FOQ74" s="97"/>
      <c r="FOR74" s="97"/>
      <c r="FOS74" s="97"/>
      <c r="FOT74" s="97"/>
      <c r="FOU74" s="97"/>
      <c r="FOV74" s="97"/>
      <c r="FOW74" s="97"/>
      <c r="FOX74" s="97"/>
      <c r="FOY74" s="97"/>
      <c r="FOZ74" s="97"/>
      <c r="FPA74" s="97"/>
      <c r="FPB74" s="97"/>
      <c r="FPC74" s="97"/>
      <c r="FPD74" s="97"/>
      <c r="FPE74" s="97"/>
      <c r="FPF74" s="97"/>
      <c r="FPG74" s="97"/>
      <c r="FPH74" s="97"/>
      <c r="FPI74" s="97"/>
      <c r="FPJ74" s="97"/>
      <c r="FPK74" s="97"/>
      <c r="FPL74" s="97"/>
      <c r="FPM74" s="97"/>
      <c r="FPN74" s="97"/>
      <c r="FPO74" s="97"/>
      <c r="FPP74" s="97"/>
      <c r="FPQ74" s="97"/>
      <c r="FPR74" s="97"/>
      <c r="FPS74" s="97"/>
      <c r="FPT74" s="97"/>
      <c r="FPU74" s="97"/>
      <c r="FPV74" s="97"/>
      <c r="FPW74" s="97"/>
      <c r="FPX74" s="97"/>
      <c r="FPY74" s="97"/>
      <c r="FPZ74" s="97"/>
      <c r="FQA74" s="97"/>
      <c r="FQB74" s="97"/>
      <c r="FQC74" s="97"/>
      <c r="FQD74" s="97"/>
      <c r="FQE74" s="97"/>
      <c r="FQF74" s="97"/>
      <c r="FQG74" s="97"/>
      <c r="FQH74" s="97"/>
      <c r="FQI74" s="97"/>
      <c r="FQJ74" s="97"/>
      <c r="FQK74" s="97"/>
      <c r="FQL74" s="97"/>
      <c r="FQM74" s="97"/>
      <c r="FQN74" s="97"/>
      <c r="FQO74" s="97"/>
      <c r="FQP74" s="97"/>
      <c r="FQQ74" s="97"/>
      <c r="FQR74" s="97"/>
      <c r="FQS74" s="97"/>
      <c r="FQT74" s="97"/>
      <c r="FQU74" s="97"/>
      <c r="FQV74" s="97"/>
      <c r="FQW74" s="97"/>
      <c r="FQX74" s="97"/>
      <c r="FQY74" s="97"/>
      <c r="FQZ74" s="97"/>
      <c r="FRA74" s="97"/>
      <c r="FRB74" s="97"/>
      <c r="FRC74" s="97"/>
      <c r="FRD74" s="97"/>
      <c r="FRE74" s="97"/>
      <c r="FRF74" s="97"/>
      <c r="FRG74" s="97"/>
      <c r="FRH74" s="97"/>
      <c r="FRI74" s="97"/>
      <c r="FRJ74" s="97"/>
      <c r="FRK74" s="97"/>
      <c r="FRL74" s="97"/>
      <c r="FRM74" s="97"/>
      <c r="FRN74" s="97"/>
      <c r="FRO74" s="97"/>
      <c r="FRP74" s="97"/>
      <c r="FRQ74" s="97"/>
      <c r="FRR74" s="97"/>
      <c r="FRS74" s="97"/>
      <c r="FRT74" s="97"/>
      <c r="FRU74" s="97"/>
      <c r="FRV74" s="97"/>
      <c r="FRW74" s="97"/>
      <c r="FRX74" s="97"/>
      <c r="FRY74" s="97"/>
      <c r="FRZ74" s="97"/>
      <c r="FSA74" s="97"/>
      <c r="FSB74" s="97"/>
      <c r="FSC74" s="97"/>
      <c r="FSD74" s="97"/>
      <c r="FSE74" s="97"/>
      <c r="FSF74" s="97"/>
      <c r="FSG74" s="97"/>
      <c r="FSH74" s="97"/>
      <c r="FSI74" s="97"/>
      <c r="FSJ74" s="97"/>
      <c r="FSK74" s="97"/>
      <c r="FSL74" s="97"/>
      <c r="FSM74" s="97"/>
      <c r="FSN74" s="97"/>
      <c r="FSO74" s="97"/>
      <c r="FSP74" s="97"/>
      <c r="FSQ74" s="97"/>
      <c r="FSR74" s="97"/>
      <c r="FSS74" s="97"/>
      <c r="FST74" s="97"/>
      <c r="FSU74" s="97"/>
      <c r="FSV74" s="97"/>
      <c r="FSW74" s="97"/>
      <c r="FSX74" s="97"/>
      <c r="FSY74" s="97"/>
      <c r="FSZ74" s="97"/>
      <c r="FTA74" s="97"/>
      <c r="FTB74" s="97"/>
      <c r="FTC74" s="97"/>
      <c r="FTD74" s="97"/>
      <c r="FTE74" s="97"/>
      <c r="FTF74" s="97"/>
      <c r="FTG74" s="97"/>
      <c r="FTH74" s="97"/>
      <c r="FTI74" s="97"/>
      <c r="FTJ74" s="97"/>
      <c r="FTK74" s="97"/>
      <c r="FTL74" s="97"/>
      <c r="FTM74" s="97"/>
      <c r="FTN74" s="97"/>
      <c r="FTO74" s="97"/>
      <c r="FTP74" s="97"/>
      <c r="FTQ74" s="97"/>
      <c r="FTR74" s="97"/>
      <c r="FTS74" s="97"/>
      <c r="FTT74" s="97"/>
      <c r="FTU74" s="97"/>
      <c r="FTV74" s="97"/>
      <c r="FTW74" s="97"/>
      <c r="FTX74" s="97"/>
      <c r="FTY74" s="97"/>
      <c r="FTZ74" s="97"/>
      <c r="FUA74" s="97"/>
      <c r="FUB74" s="97"/>
      <c r="FUC74" s="97"/>
      <c r="FUD74" s="97"/>
      <c r="FUE74" s="97"/>
      <c r="FUF74" s="97"/>
      <c r="FUG74" s="97"/>
      <c r="FUH74" s="97"/>
      <c r="FUI74" s="97"/>
      <c r="FUJ74" s="97"/>
      <c r="FUK74" s="97"/>
      <c r="FUL74" s="97"/>
      <c r="FUM74" s="97"/>
      <c r="FUN74" s="97"/>
      <c r="FUO74" s="97"/>
      <c r="FUP74" s="97"/>
      <c r="FUQ74" s="97"/>
      <c r="FUR74" s="97"/>
      <c r="FUS74" s="97"/>
      <c r="FUT74" s="97"/>
      <c r="FUU74" s="97"/>
      <c r="FUV74" s="97"/>
      <c r="FUW74" s="97"/>
      <c r="FUX74" s="97"/>
      <c r="FUY74" s="97"/>
      <c r="FUZ74" s="97"/>
      <c r="FVA74" s="97"/>
      <c r="FVB74" s="97"/>
      <c r="FVC74" s="97"/>
      <c r="FVD74" s="97"/>
      <c r="FVE74" s="97"/>
      <c r="FVF74" s="97"/>
      <c r="FVG74" s="97"/>
      <c r="FVH74" s="97"/>
      <c r="FVI74" s="97"/>
      <c r="FVJ74" s="97"/>
      <c r="FVK74" s="97"/>
      <c r="FVL74" s="97"/>
      <c r="FVM74" s="97"/>
      <c r="FVN74" s="97"/>
      <c r="FVO74" s="97"/>
      <c r="FVP74" s="97"/>
      <c r="FVQ74" s="97"/>
      <c r="FVR74" s="97"/>
      <c r="FVS74" s="97"/>
      <c r="FVT74" s="97"/>
      <c r="FVU74" s="97"/>
      <c r="FVV74" s="97"/>
      <c r="FVW74" s="97"/>
      <c r="FVX74" s="97"/>
      <c r="FVY74" s="97"/>
      <c r="FVZ74" s="97"/>
      <c r="FWA74" s="97"/>
      <c r="FWB74" s="97"/>
      <c r="FWC74" s="97"/>
      <c r="FWD74" s="97"/>
      <c r="FWE74" s="97"/>
      <c r="FWF74" s="97"/>
      <c r="FWG74" s="97"/>
      <c r="FWH74" s="97"/>
      <c r="FWI74" s="97"/>
      <c r="FWJ74" s="97"/>
      <c r="FWK74" s="97"/>
      <c r="FWL74" s="97"/>
      <c r="FWM74" s="97"/>
      <c r="FWN74" s="97"/>
      <c r="FWO74" s="97"/>
      <c r="FWP74" s="97"/>
      <c r="FWQ74" s="97"/>
      <c r="FWR74" s="97"/>
      <c r="FWS74" s="97"/>
      <c r="FWT74" s="97"/>
      <c r="FWU74" s="97"/>
      <c r="FWV74" s="97"/>
      <c r="FWW74" s="97"/>
      <c r="FWX74" s="97"/>
      <c r="FWY74" s="97"/>
      <c r="FWZ74" s="97"/>
      <c r="FXA74" s="97"/>
      <c r="FXB74" s="97"/>
      <c r="FXC74" s="97"/>
      <c r="FXD74" s="97"/>
      <c r="FXE74" s="97"/>
      <c r="FXF74" s="97"/>
      <c r="FXG74" s="97"/>
      <c r="FXH74" s="97"/>
      <c r="FXI74" s="97"/>
      <c r="FXJ74" s="97"/>
      <c r="FXK74" s="97"/>
      <c r="FXL74" s="97"/>
      <c r="FXM74" s="97"/>
      <c r="FXN74" s="97"/>
      <c r="FXO74" s="97"/>
      <c r="FXP74" s="97"/>
      <c r="FXQ74" s="97"/>
      <c r="FXR74" s="97"/>
      <c r="FXS74" s="97"/>
      <c r="FXT74" s="97"/>
      <c r="FXU74" s="97"/>
      <c r="FXV74" s="97"/>
      <c r="FXW74" s="97"/>
      <c r="FXX74" s="97"/>
      <c r="FXY74" s="97"/>
      <c r="FXZ74" s="97"/>
      <c r="FYA74" s="97"/>
      <c r="FYB74" s="97"/>
      <c r="FYC74" s="97"/>
      <c r="FYD74" s="97"/>
      <c r="FYE74" s="97"/>
      <c r="FYF74" s="97"/>
      <c r="FYG74" s="97"/>
      <c r="FYH74" s="97"/>
      <c r="FYI74" s="97"/>
      <c r="FYJ74" s="97"/>
      <c r="FYK74" s="97"/>
      <c r="FYL74" s="97"/>
      <c r="FYM74" s="97"/>
      <c r="FYN74" s="97"/>
      <c r="FYO74" s="97"/>
      <c r="FYP74" s="97"/>
      <c r="FYQ74" s="97"/>
      <c r="FYR74" s="97"/>
      <c r="FYS74" s="97"/>
      <c r="FYT74" s="97"/>
      <c r="FYU74" s="97"/>
      <c r="FYV74" s="97"/>
      <c r="FYW74" s="97"/>
      <c r="FYX74" s="97"/>
      <c r="FYY74" s="97"/>
      <c r="FYZ74" s="97"/>
      <c r="FZA74" s="97"/>
      <c r="FZB74" s="97"/>
      <c r="FZC74" s="97"/>
      <c r="FZD74" s="97"/>
      <c r="FZE74" s="97"/>
      <c r="FZF74" s="97"/>
      <c r="FZG74" s="97"/>
      <c r="FZH74" s="97"/>
      <c r="FZI74" s="97"/>
      <c r="FZJ74" s="97"/>
      <c r="FZK74" s="97"/>
      <c r="FZL74" s="97"/>
      <c r="FZM74" s="97"/>
      <c r="FZN74" s="97"/>
      <c r="FZO74" s="97"/>
      <c r="FZP74" s="97"/>
      <c r="FZQ74" s="97"/>
      <c r="FZR74" s="97"/>
      <c r="FZS74" s="97"/>
      <c r="FZT74" s="97"/>
      <c r="FZU74" s="97"/>
      <c r="FZV74" s="97"/>
      <c r="FZW74" s="97"/>
      <c r="FZX74" s="97"/>
      <c r="FZY74" s="97"/>
      <c r="FZZ74" s="97"/>
      <c r="GAA74" s="97"/>
      <c r="GAB74" s="97"/>
      <c r="GAC74" s="97"/>
      <c r="GAD74" s="97"/>
      <c r="GAE74" s="97"/>
      <c r="GAF74" s="97"/>
      <c r="GAG74" s="97"/>
      <c r="GAH74" s="97"/>
      <c r="GAI74" s="97"/>
      <c r="GAJ74" s="97"/>
      <c r="GAK74" s="97"/>
      <c r="GAL74" s="97"/>
      <c r="GAM74" s="97"/>
      <c r="GAN74" s="97"/>
      <c r="GAO74" s="97"/>
      <c r="GAP74" s="97"/>
      <c r="GAQ74" s="97"/>
      <c r="GAR74" s="97"/>
      <c r="GAS74" s="97"/>
      <c r="GAT74" s="97"/>
      <c r="GAU74" s="97"/>
      <c r="GAV74" s="97"/>
      <c r="GAW74" s="97"/>
      <c r="GAX74" s="97"/>
      <c r="GAY74" s="97"/>
      <c r="GAZ74" s="97"/>
      <c r="GBA74" s="97"/>
      <c r="GBB74" s="97"/>
      <c r="GBC74" s="97"/>
      <c r="GBD74" s="97"/>
      <c r="GBE74" s="97"/>
      <c r="GBF74" s="97"/>
      <c r="GBG74" s="97"/>
      <c r="GBH74" s="97"/>
      <c r="GBI74" s="97"/>
      <c r="GBJ74" s="97"/>
      <c r="GBK74" s="97"/>
      <c r="GBL74" s="97"/>
      <c r="GBM74" s="97"/>
      <c r="GBN74" s="97"/>
      <c r="GBO74" s="97"/>
      <c r="GBP74" s="97"/>
      <c r="GBQ74" s="97"/>
      <c r="GBR74" s="97"/>
      <c r="GBS74" s="97"/>
      <c r="GBT74" s="97"/>
      <c r="GBU74" s="97"/>
      <c r="GBV74" s="97"/>
      <c r="GBW74" s="97"/>
      <c r="GBX74" s="97"/>
      <c r="GBY74" s="97"/>
      <c r="GBZ74" s="97"/>
      <c r="GCA74" s="97"/>
      <c r="GCB74" s="97"/>
      <c r="GCC74" s="97"/>
      <c r="GCD74" s="97"/>
      <c r="GCE74" s="97"/>
      <c r="GCF74" s="97"/>
      <c r="GCG74" s="97"/>
      <c r="GCH74" s="97"/>
      <c r="GCI74" s="97"/>
      <c r="GCJ74" s="97"/>
      <c r="GCK74" s="97"/>
      <c r="GCL74" s="97"/>
      <c r="GCM74" s="97"/>
      <c r="GCN74" s="97"/>
      <c r="GCO74" s="97"/>
      <c r="GCP74" s="97"/>
      <c r="GCQ74" s="97"/>
      <c r="GCR74" s="97"/>
      <c r="GCS74" s="97"/>
      <c r="GCT74" s="97"/>
      <c r="GCU74" s="97"/>
      <c r="GCV74" s="97"/>
      <c r="GCW74" s="97"/>
      <c r="GCX74" s="97"/>
      <c r="GCY74" s="97"/>
      <c r="GCZ74" s="97"/>
      <c r="GDA74" s="97"/>
      <c r="GDB74" s="97"/>
      <c r="GDC74" s="97"/>
      <c r="GDD74" s="97"/>
      <c r="GDE74" s="97"/>
      <c r="GDF74" s="97"/>
      <c r="GDG74" s="97"/>
      <c r="GDH74" s="97"/>
      <c r="GDI74" s="97"/>
      <c r="GDJ74" s="97"/>
      <c r="GDK74" s="97"/>
      <c r="GDL74" s="97"/>
      <c r="GDM74" s="97"/>
      <c r="GDN74" s="97"/>
      <c r="GDO74" s="97"/>
      <c r="GDP74" s="97"/>
      <c r="GDQ74" s="97"/>
      <c r="GDR74" s="97"/>
      <c r="GDS74" s="97"/>
      <c r="GDT74" s="97"/>
      <c r="GDU74" s="97"/>
      <c r="GDV74" s="97"/>
      <c r="GDW74" s="97"/>
      <c r="GDX74" s="97"/>
      <c r="GDY74" s="97"/>
      <c r="GDZ74" s="97"/>
      <c r="GEA74" s="97"/>
      <c r="GEB74" s="97"/>
      <c r="GEC74" s="97"/>
      <c r="GED74" s="97"/>
      <c r="GEE74" s="97"/>
      <c r="GEF74" s="97"/>
      <c r="GEG74" s="97"/>
      <c r="GEH74" s="97"/>
      <c r="GEI74" s="97"/>
      <c r="GEJ74" s="97"/>
      <c r="GEK74" s="97"/>
      <c r="GEL74" s="97"/>
      <c r="GEM74" s="97"/>
      <c r="GEN74" s="97"/>
      <c r="GEO74" s="97"/>
      <c r="GEP74" s="97"/>
      <c r="GEQ74" s="97"/>
      <c r="GER74" s="97"/>
      <c r="GES74" s="97"/>
      <c r="GET74" s="97"/>
      <c r="GEU74" s="97"/>
      <c r="GEV74" s="97"/>
      <c r="GEW74" s="97"/>
      <c r="GEX74" s="97"/>
      <c r="GEY74" s="97"/>
      <c r="GEZ74" s="97"/>
      <c r="GFA74" s="97"/>
      <c r="GFB74" s="97"/>
      <c r="GFC74" s="97"/>
      <c r="GFD74" s="97"/>
      <c r="GFE74" s="97"/>
      <c r="GFF74" s="97"/>
      <c r="GFG74" s="97"/>
      <c r="GFH74" s="97"/>
      <c r="GFI74" s="97"/>
      <c r="GFJ74" s="97"/>
      <c r="GFK74" s="97"/>
      <c r="GFL74" s="97"/>
      <c r="GFM74" s="97"/>
      <c r="GFN74" s="97"/>
      <c r="GFO74" s="97"/>
      <c r="GFP74" s="97"/>
      <c r="GFQ74" s="97"/>
      <c r="GFR74" s="97"/>
      <c r="GFS74" s="97"/>
      <c r="GFT74" s="97"/>
      <c r="GFU74" s="97"/>
      <c r="GFV74" s="97"/>
      <c r="GFW74" s="97"/>
      <c r="GFX74" s="97"/>
      <c r="GFY74" s="97"/>
      <c r="GFZ74" s="97"/>
      <c r="GGA74" s="97"/>
      <c r="GGB74" s="97"/>
      <c r="GGC74" s="97"/>
      <c r="GGD74" s="97"/>
      <c r="GGE74" s="97"/>
      <c r="GGF74" s="97"/>
      <c r="GGG74" s="97"/>
      <c r="GGH74" s="97"/>
      <c r="GGI74" s="97"/>
      <c r="GGJ74" s="97"/>
      <c r="GGK74" s="97"/>
      <c r="GGL74" s="97"/>
      <c r="GGM74" s="97"/>
      <c r="GGN74" s="97"/>
      <c r="GGO74" s="97"/>
      <c r="GGP74" s="97"/>
      <c r="GGQ74" s="97"/>
      <c r="GGR74" s="97"/>
      <c r="GGS74" s="97"/>
      <c r="GGT74" s="97"/>
      <c r="GGU74" s="97"/>
      <c r="GGV74" s="97"/>
      <c r="GGW74" s="97"/>
      <c r="GGX74" s="97"/>
      <c r="GGY74" s="97"/>
      <c r="GGZ74" s="97"/>
      <c r="GHA74" s="97"/>
      <c r="GHB74" s="97"/>
      <c r="GHC74" s="97"/>
      <c r="GHD74" s="97"/>
      <c r="GHE74" s="97"/>
      <c r="GHF74" s="97"/>
      <c r="GHG74" s="97"/>
      <c r="GHH74" s="97"/>
      <c r="GHI74" s="97"/>
      <c r="GHJ74" s="97"/>
      <c r="GHK74" s="97"/>
      <c r="GHL74" s="97"/>
      <c r="GHM74" s="97"/>
      <c r="GHN74" s="97"/>
      <c r="GHO74" s="97"/>
      <c r="GHP74" s="97"/>
      <c r="GHQ74" s="97"/>
      <c r="GHR74" s="97"/>
      <c r="GHS74" s="97"/>
      <c r="GHT74" s="97"/>
      <c r="GHU74" s="97"/>
      <c r="GHV74" s="97"/>
      <c r="GHW74" s="97"/>
      <c r="GHX74" s="97"/>
      <c r="GHY74" s="97"/>
      <c r="GHZ74" s="97"/>
      <c r="GIA74" s="97"/>
      <c r="GIB74" s="97"/>
      <c r="GIC74" s="97"/>
      <c r="GID74" s="97"/>
      <c r="GIE74" s="97"/>
      <c r="GIF74" s="97"/>
      <c r="GIG74" s="97"/>
      <c r="GIH74" s="97"/>
      <c r="GII74" s="97"/>
      <c r="GIJ74" s="97"/>
      <c r="GIK74" s="97"/>
      <c r="GIL74" s="97"/>
      <c r="GIM74" s="97"/>
      <c r="GIN74" s="97"/>
      <c r="GIO74" s="97"/>
      <c r="GIP74" s="97"/>
      <c r="GIQ74" s="97"/>
      <c r="GIR74" s="97"/>
      <c r="GIS74" s="97"/>
      <c r="GIT74" s="97"/>
      <c r="GIU74" s="97"/>
      <c r="GIV74" s="97"/>
      <c r="GIW74" s="97"/>
      <c r="GIX74" s="97"/>
      <c r="GIY74" s="97"/>
      <c r="GIZ74" s="97"/>
      <c r="GJA74" s="97"/>
      <c r="GJB74" s="97"/>
      <c r="GJC74" s="97"/>
      <c r="GJD74" s="97"/>
      <c r="GJE74" s="97"/>
      <c r="GJF74" s="97"/>
      <c r="GJG74" s="97"/>
      <c r="GJH74" s="97"/>
      <c r="GJI74" s="97"/>
      <c r="GJJ74" s="97"/>
      <c r="GJK74" s="97"/>
      <c r="GJL74" s="97"/>
      <c r="GJM74" s="97"/>
      <c r="GJN74" s="97"/>
      <c r="GJO74" s="97"/>
      <c r="GJP74" s="97"/>
      <c r="GJQ74" s="97"/>
      <c r="GJR74" s="97"/>
      <c r="GJS74" s="97"/>
      <c r="GJT74" s="97"/>
      <c r="GJU74" s="97"/>
      <c r="GJV74" s="97"/>
      <c r="GJW74" s="97"/>
      <c r="GJX74" s="97"/>
      <c r="GJY74" s="97"/>
      <c r="GJZ74" s="97"/>
      <c r="GKA74" s="97"/>
      <c r="GKB74" s="97"/>
      <c r="GKC74" s="97"/>
      <c r="GKD74" s="97"/>
      <c r="GKE74" s="97"/>
      <c r="GKF74" s="97"/>
      <c r="GKG74" s="97"/>
      <c r="GKH74" s="97"/>
      <c r="GKI74" s="97"/>
      <c r="GKJ74" s="97"/>
      <c r="GKK74" s="97"/>
      <c r="GKL74" s="97"/>
      <c r="GKM74" s="97"/>
      <c r="GKN74" s="97"/>
      <c r="GKO74" s="97"/>
      <c r="GKP74" s="97"/>
      <c r="GKQ74" s="97"/>
      <c r="GKR74" s="97"/>
      <c r="GKS74" s="97"/>
      <c r="GKT74" s="97"/>
      <c r="GKU74" s="97"/>
      <c r="GKV74" s="97"/>
      <c r="GKW74" s="97"/>
      <c r="GKX74" s="97"/>
      <c r="GKY74" s="97"/>
      <c r="GKZ74" s="97"/>
      <c r="GLA74" s="97"/>
      <c r="GLB74" s="97"/>
      <c r="GLC74" s="97"/>
      <c r="GLD74" s="97"/>
      <c r="GLE74" s="97"/>
      <c r="GLF74" s="97"/>
      <c r="GLG74" s="97"/>
      <c r="GLH74" s="97"/>
      <c r="GLI74" s="97"/>
      <c r="GLJ74" s="97"/>
      <c r="GLK74" s="97"/>
      <c r="GLL74" s="97"/>
      <c r="GLM74" s="97"/>
      <c r="GLN74" s="97"/>
      <c r="GLO74" s="97"/>
      <c r="GLP74" s="97"/>
      <c r="GLQ74" s="97"/>
      <c r="GLR74" s="97"/>
      <c r="GLS74" s="97"/>
      <c r="GLT74" s="97"/>
      <c r="GLU74" s="97"/>
      <c r="GLV74" s="97"/>
      <c r="GLW74" s="97"/>
      <c r="GLX74" s="97"/>
      <c r="GLY74" s="97"/>
      <c r="GLZ74" s="97"/>
      <c r="GMA74" s="97"/>
      <c r="GMB74" s="97"/>
      <c r="GMC74" s="97"/>
      <c r="GMD74" s="97"/>
      <c r="GME74" s="97"/>
      <c r="GMF74" s="97"/>
      <c r="GMG74" s="97"/>
      <c r="GMH74" s="97"/>
      <c r="GMI74" s="97"/>
      <c r="GMJ74" s="97"/>
      <c r="GMK74" s="97"/>
      <c r="GML74" s="97"/>
      <c r="GMM74" s="97"/>
      <c r="GMN74" s="97"/>
      <c r="GMO74" s="97"/>
      <c r="GMP74" s="97"/>
      <c r="GMQ74" s="97"/>
      <c r="GMR74" s="97"/>
      <c r="GMS74" s="97"/>
      <c r="GMT74" s="97"/>
      <c r="GMU74" s="97"/>
      <c r="GMV74" s="97"/>
      <c r="GMW74" s="97"/>
      <c r="GMX74" s="97"/>
      <c r="GMY74" s="97"/>
      <c r="GMZ74" s="97"/>
      <c r="GNA74" s="97"/>
      <c r="GNB74" s="97"/>
      <c r="GNC74" s="97"/>
      <c r="GND74" s="97"/>
      <c r="GNE74" s="97"/>
      <c r="GNF74" s="97"/>
      <c r="GNG74" s="97"/>
      <c r="GNH74" s="97"/>
      <c r="GNI74" s="97"/>
      <c r="GNJ74" s="97"/>
      <c r="GNK74" s="97"/>
      <c r="GNL74" s="97"/>
      <c r="GNM74" s="97"/>
      <c r="GNN74" s="97"/>
      <c r="GNO74" s="97"/>
      <c r="GNP74" s="97"/>
      <c r="GNQ74" s="97"/>
      <c r="GNR74" s="97"/>
      <c r="GNS74" s="97"/>
      <c r="GNT74" s="97"/>
      <c r="GNU74" s="97"/>
      <c r="GNV74" s="97"/>
      <c r="GNW74" s="97"/>
      <c r="GNX74" s="97"/>
      <c r="GNY74" s="97"/>
      <c r="GNZ74" s="97"/>
      <c r="GOA74" s="97"/>
      <c r="GOB74" s="97"/>
      <c r="GOC74" s="97"/>
      <c r="GOD74" s="97"/>
      <c r="GOE74" s="97"/>
      <c r="GOF74" s="97"/>
      <c r="GOG74" s="97"/>
      <c r="GOH74" s="97"/>
      <c r="GOI74" s="97"/>
      <c r="GOJ74" s="97"/>
      <c r="GOK74" s="97"/>
      <c r="GOL74" s="97"/>
      <c r="GOM74" s="97"/>
      <c r="GON74" s="97"/>
      <c r="GOO74" s="97"/>
      <c r="GOP74" s="97"/>
      <c r="GOQ74" s="97"/>
      <c r="GOR74" s="97"/>
      <c r="GOS74" s="97"/>
      <c r="GOT74" s="97"/>
      <c r="GOU74" s="97"/>
      <c r="GOV74" s="97"/>
      <c r="GOW74" s="97"/>
      <c r="GOX74" s="97"/>
      <c r="GOY74" s="97"/>
      <c r="GOZ74" s="97"/>
      <c r="GPA74" s="97"/>
      <c r="GPB74" s="97"/>
      <c r="GPC74" s="97"/>
      <c r="GPD74" s="97"/>
      <c r="GPE74" s="97"/>
      <c r="GPF74" s="97"/>
      <c r="GPG74" s="97"/>
      <c r="GPH74" s="97"/>
      <c r="GPI74" s="97"/>
      <c r="GPJ74" s="97"/>
      <c r="GPK74" s="97"/>
      <c r="GPL74" s="97"/>
      <c r="GPM74" s="97"/>
      <c r="GPN74" s="97"/>
      <c r="GPO74" s="97"/>
      <c r="GPP74" s="97"/>
      <c r="GPQ74" s="97"/>
      <c r="GPR74" s="97"/>
      <c r="GPS74" s="97"/>
      <c r="GPT74" s="97"/>
      <c r="GPU74" s="97"/>
      <c r="GPV74" s="97"/>
      <c r="GPW74" s="97"/>
      <c r="GPX74" s="97"/>
      <c r="GPY74" s="97"/>
      <c r="GPZ74" s="97"/>
      <c r="GQA74" s="97"/>
      <c r="GQB74" s="97"/>
      <c r="GQC74" s="97"/>
      <c r="GQD74" s="97"/>
      <c r="GQE74" s="97"/>
      <c r="GQF74" s="97"/>
      <c r="GQG74" s="97"/>
      <c r="GQH74" s="97"/>
      <c r="GQI74" s="97"/>
      <c r="GQJ74" s="97"/>
      <c r="GQK74" s="97"/>
      <c r="GQL74" s="97"/>
      <c r="GQM74" s="97"/>
      <c r="GQN74" s="97"/>
      <c r="GQO74" s="97"/>
      <c r="GQP74" s="97"/>
      <c r="GQQ74" s="97"/>
      <c r="GQR74" s="97"/>
      <c r="GQS74" s="97"/>
      <c r="GQT74" s="97"/>
      <c r="GQU74" s="97"/>
      <c r="GQV74" s="97"/>
      <c r="GQW74" s="97"/>
      <c r="GQX74" s="97"/>
      <c r="GQY74" s="97"/>
      <c r="GQZ74" s="97"/>
      <c r="GRA74" s="97"/>
      <c r="GRB74" s="97"/>
      <c r="GRC74" s="97"/>
      <c r="GRD74" s="97"/>
      <c r="GRE74" s="97"/>
      <c r="GRF74" s="97"/>
      <c r="GRG74" s="97"/>
      <c r="GRH74" s="97"/>
      <c r="GRI74" s="97"/>
      <c r="GRJ74" s="97"/>
      <c r="GRK74" s="97"/>
      <c r="GRL74" s="97"/>
      <c r="GRM74" s="97"/>
      <c r="GRN74" s="97"/>
      <c r="GRO74" s="97"/>
      <c r="GRP74" s="97"/>
      <c r="GRQ74" s="97"/>
      <c r="GRR74" s="97"/>
      <c r="GRS74" s="97"/>
      <c r="GRT74" s="97"/>
      <c r="GRU74" s="97"/>
      <c r="GRV74" s="97"/>
      <c r="GRW74" s="97"/>
      <c r="GRX74" s="97"/>
      <c r="GRY74" s="97"/>
      <c r="GRZ74" s="97"/>
      <c r="GSA74" s="97"/>
      <c r="GSB74" s="97"/>
      <c r="GSC74" s="97"/>
      <c r="GSD74" s="97"/>
      <c r="GSE74" s="97"/>
      <c r="GSF74" s="97"/>
      <c r="GSG74" s="97"/>
      <c r="GSH74" s="97"/>
      <c r="GSI74" s="97"/>
      <c r="GSJ74" s="97"/>
      <c r="GSK74" s="97"/>
      <c r="GSL74" s="97"/>
      <c r="GSM74" s="97"/>
      <c r="GSN74" s="97"/>
      <c r="GSO74" s="97"/>
      <c r="GSP74" s="97"/>
      <c r="GSQ74" s="97"/>
      <c r="GSR74" s="97"/>
      <c r="GSS74" s="97"/>
      <c r="GST74" s="97"/>
      <c r="GSU74" s="97"/>
      <c r="GSV74" s="97"/>
      <c r="GSW74" s="97"/>
      <c r="GSX74" s="97"/>
      <c r="GSY74" s="97"/>
      <c r="GSZ74" s="97"/>
      <c r="GTA74" s="97"/>
      <c r="GTB74" s="97"/>
      <c r="GTC74" s="97"/>
      <c r="GTD74" s="97"/>
      <c r="GTE74" s="97"/>
      <c r="GTF74" s="97"/>
      <c r="GTG74" s="97"/>
      <c r="GTH74" s="97"/>
      <c r="GTI74" s="97"/>
      <c r="GTJ74" s="97"/>
      <c r="GTK74" s="97"/>
      <c r="GTL74" s="97"/>
      <c r="GTM74" s="97"/>
      <c r="GTN74" s="97"/>
      <c r="GTO74" s="97"/>
      <c r="GTP74" s="97"/>
      <c r="GTQ74" s="97"/>
      <c r="GTR74" s="97"/>
      <c r="GTS74" s="97"/>
      <c r="GTT74" s="97"/>
      <c r="GTU74" s="97"/>
      <c r="GTV74" s="97"/>
      <c r="GTW74" s="97"/>
      <c r="GTX74" s="97"/>
      <c r="GTY74" s="97"/>
      <c r="GTZ74" s="97"/>
      <c r="GUA74" s="97"/>
      <c r="GUB74" s="97"/>
      <c r="GUC74" s="97"/>
      <c r="GUD74" s="97"/>
      <c r="GUE74" s="97"/>
      <c r="GUF74" s="97"/>
      <c r="GUG74" s="97"/>
      <c r="GUH74" s="97"/>
      <c r="GUI74" s="97"/>
      <c r="GUJ74" s="97"/>
      <c r="GUK74" s="97"/>
      <c r="GUL74" s="97"/>
      <c r="GUM74" s="97"/>
      <c r="GUN74" s="97"/>
      <c r="GUO74" s="97"/>
      <c r="GUP74" s="97"/>
      <c r="GUQ74" s="97"/>
      <c r="GUR74" s="97"/>
      <c r="GUS74" s="97"/>
      <c r="GUT74" s="97"/>
      <c r="GUU74" s="97"/>
      <c r="GUV74" s="97"/>
      <c r="GUW74" s="97"/>
      <c r="GUX74" s="97"/>
      <c r="GUY74" s="97"/>
      <c r="GUZ74" s="97"/>
      <c r="GVA74" s="97"/>
      <c r="GVB74" s="97"/>
      <c r="GVC74" s="97"/>
      <c r="GVD74" s="97"/>
      <c r="GVE74" s="97"/>
      <c r="GVF74" s="97"/>
      <c r="GVG74" s="97"/>
      <c r="GVH74" s="97"/>
      <c r="GVI74" s="97"/>
      <c r="GVJ74" s="97"/>
      <c r="GVK74" s="97"/>
      <c r="GVL74" s="97"/>
      <c r="GVM74" s="97"/>
      <c r="GVN74" s="97"/>
      <c r="GVO74" s="97"/>
      <c r="GVP74" s="97"/>
      <c r="GVQ74" s="97"/>
      <c r="GVR74" s="97"/>
      <c r="GVS74" s="97"/>
      <c r="GVT74" s="97"/>
      <c r="GVU74" s="97"/>
      <c r="GVV74" s="97"/>
      <c r="GVW74" s="97"/>
      <c r="GVX74" s="97"/>
      <c r="GVY74" s="97"/>
      <c r="GVZ74" s="97"/>
      <c r="GWA74" s="97"/>
      <c r="GWB74" s="97"/>
      <c r="GWC74" s="97"/>
      <c r="GWD74" s="97"/>
      <c r="GWE74" s="97"/>
      <c r="GWF74" s="97"/>
      <c r="GWG74" s="97"/>
      <c r="GWH74" s="97"/>
      <c r="GWI74" s="97"/>
      <c r="GWJ74" s="97"/>
      <c r="GWK74" s="97"/>
      <c r="GWL74" s="97"/>
      <c r="GWM74" s="97"/>
      <c r="GWN74" s="97"/>
      <c r="GWO74" s="97"/>
      <c r="GWP74" s="97"/>
      <c r="GWQ74" s="97"/>
      <c r="GWR74" s="97"/>
      <c r="GWS74" s="97"/>
      <c r="GWT74" s="97"/>
      <c r="GWU74" s="97"/>
      <c r="GWV74" s="97"/>
      <c r="GWW74" s="97"/>
      <c r="GWX74" s="97"/>
      <c r="GWY74" s="97"/>
      <c r="GWZ74" s="97"/>
      <c r="GXA74" s="97"/>
      <c r="GXB74" s="97"/>
      <c r="GXC74" s="97"/>
      <c r="GXD74" s="97"/>
      <c r="GXE74" s="97"/>
      <c r="GXF74" s="97"/>
      <c r="GXG74" s="97"/>
      <c r="GXH74" s="97"/>
      <c r="GXI74" s="97"/>
      <c r="GXJ74" s="97"/>
      <c r="GXK74" s="97"/>
      <c r="GXL74" s="97"/>
      <c r="GXM74" s="97"/>
      <c r="GXN74" s="97"/>
      <c r="GXO74" s="97"/>
      <c r="GXP74" s="97"/>
      <c r="GXQ74" s="97"/>
      <c r="GXR74" s="97"/>
      <c r="GXS74" s="97"/>
      <c r="GXT74" s="97"/>
      <c r="GXU74" s="97"/>
      <c r="GXV74" s="97"/>
      <c r="GXW74" s="97"/>
      <c r="GXX74" s="97"/>
      <c r="GXY74" s="97"/>
      <c r="GXZ74" s="97"/>
      <c r="GYA74" s="97"/>
      <c r="GYB74" s="97"/>
      <c r="GYC74" s="97"/>
      <c r="GYD74" s="97"/>
      <c r="GYE74" s="97"/>
      <c r="GYF74" s="97"/>
      <c r="GYG74" s="97"/>
      <c r="GYH74" s="97"/>
      <c r="GYI74" s="97"/>
      <c r="GYJ74" s="97"/>
      <c r="GYK74" s="97"/>
      <c r="GYL74" s="97"/>
      <c r="GYM74" s="97"/>
      <c r="GYN74" s="97"/>
      <c r="GYO74" s="97"/>
      <c r="GYP74" s="97"/>
      <c r="GYQ74" s="97"/>
      <c r="GYR74" s="97"/>
      <c r="GYS74" s="97"/>
      <c r="GYT74" s="97"/>
      <c r="GYU74" s="97"/>
      <c r="GYV74" s="97"/>
      <c r="GYW74" s="97"/>
      <c r="GYX74" s="97"/>
      <c r="GYY74" s="97"/>
      <c r="GYZ74" s="97"/>
      <c r="GZA74" s="97"/>
      <c r="GZB74" s="97"/>
      <c r="GZC74" s="97"/>
      <c r="GZD74" s="97"/>
      <c r="GZE74" s="97"/>
      <c r="GZF74" s="97"/>
      <c r="GZG74" s="97"/>
      <c r="GZH74" s="97"/>
      <c r="GZI74" s="97"/>
      <c r="GZJ74" s="97"/>
      <c r="GZK74" s="97"/>
      <c r="GZL74" s="97"/>
      <c r="GZM74" s="97"/>
      <c r="GZN74" s="97"/>
      <c r="GZO74" s="97"/>
      <c r="GZP74" s="97"/>
      <c r="GZQ74" s="97"/>
      <c r="GZR74" s="97"/>
      <c r="GZS74" s="97"/>
      <c r="GZT74" s="97"/>
      <c r="GZU74" s="97"/>
      <c r="GZV74" s="97"/>
      <c r="GZW74" s="97"/>
      <c r="GZX74" s="97"/>
      <c r="GZY74" s="97"/>
      <c r="GZZ74" s="97"/>
      <c r="HAA74" s="97"/>
      <c r="HAB74" s="97"/>
      <c r="HAC74" s="97"/>
      <c r="HAD74" s="97"/>
      <c r="HAE74" s="97"/>
      <c r="HAF74" s="97"/>
      <c r="HAG74" s="97"/>
      <c r="HAH74" s="97"/>
      <c r="HAI74" s="97"/>
      <c r="HAJ74" s="97"/>
      <c r="HAK74" s="97"/>
      <c r="HAL74" s="97"/>
      <c r="HAM74" s="97"/>
      <c r="HAN74" s="97"/>
      <c r="HAO74" s="97"/>
      <c r="HAP74" s="97"/>
      <c r="HAQ74" s="97"/>
      <c r="HAR74" s="97"/>
      <c r="HAS74" s="97"/>
      <c r="HAT74" s="97"/>
      <c r="HAU74" s="97"/>
      <c r="HAV74" s="97"/>
      <c r="HAW74" s="97"/>
      <c r="HAX74" s="97"/>
      <c r="HAY74" s="97"/>
      <c r="HAZ74" s="97"/>
      <c r="HBA74" s="97"/>
      <c r="HBB74" s="97"/>
      <c r="HBC74" s="97"/>
      <c r="HBD74" s="97"/>
      <c r="HBE74" s="97"/>
      <c r="HBF74" s="97"/>
      <c r="HBG74" s="97"/>
      <c r="HBH74" s="97"/>
      <c r="HBI74" s="97"/>
      <c r="HBJ74" s="97"/>
      <c r="HBK74" s="97"/>
      <c r="HBL74" s="97"/>
      <c r="HBM74" s="97"/>
      <c r="HBN74" s="97"/>
      <c r="HBO74" s="97"/>
      <c r="HBP74" s="97"/>
      <c r="HBQ74" s="97"/>
      <c r="HBR74" s="97"/>
      <c r="HBS74" s="97"/>
      <c r="HBT74" s="97"/>
      <c r="HBU74" s="97"/>
      <c r="HBV74" s="97"/>
      <c r="HBW74" s="97"/>
      <c r="HBX74" s="97"/>
      <c r="HBY74" s="97"/>
      <c r="HBZ74" s="97"/>
      <c r="HCA74" s="97"/>
      <c r="HCB74" s="97"/>
      <c r="HCC74" s="97"/>
      <c r="HCD74" s="97"/>
      <c r="HCE74" s="97"/>
      <c r="HCF74" s="97"/>
      <c r="HCG74" s="97"/>
      <c r="HCH74" s="97"/>
      <c r="HCI74" s="97"/>
      <c r="HCJ74" s="97"/>
      <c r="HCK74" s="97"/>
      <c r="HCL74" s="97"/>
      <c r="HCM74" s="97"/>
      <c r="HCN74" s="97"/>
      <c r="HCO74" s="97"/>
      <c r="HCP74" s="97"/>
      <c r="HCQ74" s="97"/>
      <c r="HCR74" s="97"/>
      <c r="HCS74" s="97"/>
      <c r="HCT74" s="97"/>
      <c r="HCU74" s="97"/>
      <c r="HCV74" s="97"/>
      <c r="HCW74" s="97"/>
      <c r="HCX74" s="97"/>
      <c r="HCY74" s="97"/>
      <c r="HCZ74" s="97"/>
      <c r="HDA74" s="97"/>
      <c r="HDB74" s="97"/>
      <c r="HDC74" s="97"/>
      <c r="HDD74" s="97"/>
      <c r="HDE74" s="97"/>
      <c r="HDF74" s="97"/>
      <c r="HDG74" s="97"/>
      <c r="HDH74" s="97"/>
      <c r="HDI74" s="97"/>
      <c r="HDJ74" s="97"/>
      <c r="HDK74" s="97"/>
      <c r="HDL74" s="97"/>
      <c r="HDM74" s="97"/>
      <c r="HDN74" s="97"/>
      <c r="HDO74" s="97"/>
      <c r="HDP74" s="97"/>
      <c r="HDQ74" s="97"/>
      <c r="HDR74" s="97"/>
      <c r="HDS74" s="97"/>
      <c r="HDT74" s="97"/>
      <c r="HDU74" s="97"/>
      <c r="HDV74" s="97"/>
      <c r="HDW74" s="97"/>
      <c r="HDX74" s="97"/>
      <c r="HDY74" s="97"/>
      <c r="HDZ74" s="97"/>
      <c r="HEA74" s="97"/>
      <c r="HEB74" s="97"/>
      <c r="HEC74" s="97"/>
      <c r="HED74" s="97"/>
      <c r="HEE74" s="97"/>
      <c r="HEF74" s="97"/>
      <c r="HEG74" s="97"/>
      <c r="HEH74" s="97"/>
      <c r="HEI74" s="97"/>
      <c r="HEJ74" s="97"/>
      <c r="HEK74" s="97"/>
      <c r="HEL74" s="97"/>
      <c r="HEM74" s="97"/>
      <c r="HEN74" s="97"/>
      <c r="HEO74" s="97"/>
      <c r="HEP74" s="97"/>
      <c r="HEQ74" s="97"/>
      <c r="HER74" s="97"/>
      <c r="HES74" s="97"/>
      <c r="HET74" s="97"/>
      <c r="HEU74" s="97"/>
      <c r="HEV74" s="97"/>
      <c r="HEW74" s="97"/>
      <c r="HEX74" s="97"/>
      <c r="HEY74" s="97"/>
      <c r="HEZ74" s="97"/>
      <c r="HFA74" s="97"/>
      <c r="HFB74" s="97"/>
      <c r="HFC74" s="97"/>
      <c r="HFD74" s="97"/>
      <c r="HFE74" s="97"/>
      <c r="HFF74" s="97"/>
      <c r="HFG74" s="97"/>
      <c r="HFH74" s="97"/>
      <c r="HFI74" s="97"/>
      <c r="HFJ74" s="97"/>
      <c r="HFK74" s="97"/>
      <c r="HFL74" s="97"/>
      <c r="HFM74" s="97"/>
      <c r="HFN74" s="97"/>
      <c r="HFO74" s="97"/>
      <c r="HFP74" s="97"/>
      <c r="HFQ74" s="97"/>
      <c r="HFR74" s="97"/>
      <c r="HFS74" s="97"/>
      <c r="HFT74" s="97"/>
      <c r="HFU74" s="97"/>
      <c r="HFV74" s="97"/>
      <c r="HFW74" s="97"/>
      <c r="HFX74" s="97"/>
      <c r="HFY74" s="97"/>
      <c r="HFZ74" s="97"/>
      <c r="HGA74" s="97"/>
      <c r="HGB74" s="97"/>
      <c r="HGC74" s="97"/>
      <c r="HGD74" s="97"/>
      <c r="HGE74" s="97"/>
      <c r="HGF74" s="97"/>
      <c r="HGG74" s="97"/>
      <c r="HGH74" s="97"/>
      <c r="HGI74" s="97"/>
      <c r="HGJ74" s="97"/>
      <c r="HGK74" s="97"/>
      <c r="HGL74" s="97"/>
      <c r="HGM74" s="97"/>
      <c r="HGN74" s="97"/>
      <c r="HGO74" s="97"/>
      <c r="HGP74" s="97"/>
      <c r="HGQ74" s="97"/>
      <c r="HGR74" s="97"/>
      <c r="HGS74" s="97"/>
      <c r="HGT74" s="97"/>
      <c r="HGU74" s="97"/>
      <c r="HGV74" s="97"/>
      <c r="HGW74" s="97"/>
      <c r="HGX74" s="97"/>
      <c r="HGY74" s="97"/>
      <c r="HGZ74" s="97"/>
      <c r="HHA74" s="97"/>
      <c r="HHB74" s="97"/>
      <c r="HHC74" s="97"/>
      <c r="HHD74" s="97"/>
      <c r="HHE74" s="97"/>
      <c r="HHF74" s="97"/>
      <c r="HHG74" s="97"/>
      <c r="HHH74" s="97"/>
      <c r="HHI74" s="97"/>
      <c r="HHJ74" s="97"/>
      <c r="HHK74" s="97"/>
      <c r="HHL74" s="97"/>
      <c r="HHM74" s="97"/>
      <c r="HHN74" s="97"/>
      <c r="HHO74" s="97"/>
      <c r="HHP74" s="97"/>
      <c r="HHQ74" s="97"/>
      <c r="HHR74" s="97"/>
      <c r="HHS74" s="97"/>
      <c r="HHT74" s="97"/>
      <c r="HHU74" s="97"/>
      <c r="HHV74" s="97"/>
      <c r="HHW74" s="97"/>
      <c r="HHX74" s="97"/>
      <c r="HHY74" s="97"/>
      <c r="HHZ74" s="97"/>
      <c r="HIA74" s="97"/>
      <c r="HIB74" s="97"/>
      <c r="HIC74" s="97"/>
      <c r="HID74" s="97"/>
      <c r="HIE74" s="97"/>
      <c r="HIF74" s="97"/>
      <c r="HIG74" s="97"/>
      <c r="HIH74" s="97"/>
      <c r="HII74" s="97"/>
      <c r="HIJ74" s="97"/>
      <c r="HIK74" s="97"/>
      <c r="HIL74" s="97"/>
      <c r="HIM74" s="97"/>
      <c r="HIN74" s="97"/>
      <c r="HIO74" s="97"/>
      <c r="HIP74" s="97"/>
      <c r="HIQ74" s="97"/>
      <c r="HIR74" s="97"/>
      <c r="HIS74" s="97"/>
      <c r="HIT74" s="97"/>
      <c r="HIU74" s="97"/>
      <c r="HIV74" s="97"/>
      <c r="HIW74" s="97"/>
      <c r="HIX74" s="97"/>
      <c r="HIY74" s="97"/>
      <c r="HIZ74" s="97"/>
      <c r="HJA74" s="97"/>
      <c r="HJB74" s="97"/>
      <c r="HJC74" s="97"/>
      <c r="HJD74" s="97"/>
      <c r="HJE74" s="97"/>
      <c r="HJF74" s="97"/>
      <c r="HJG74" s="97"/>
      <c r="HJH74" s="97"/>
      <c r="HJI74" s="97"/>
      <c r="HJJ74" s="97"/>
      <c r="HJK74" s="97"/>
      <c r="HJL74" s="97"/>
      <c r="HJM74" s="97"/>
      <c r="HJN74" s="97"/>
      <c r="HJO74" s="97"/>
      <c r="HJP74" s="97"/>
      <c r="HJQ74" s="97"/>
      <c r="HJR74" s="97"/>
      <c r="HJS74" s="97"/>
      <c r="HJT74" s="97"/>
      <c r="HJU74" s="97"/>
      <c r="HJV74" s="97"/>
      <c r="HJW74" s="97"/>
      <c r="HJX74" s="97"/>
      <c r="HJY74" s="97"/>
      <c r="HJZ74" s="97"/>
      <c r="HKA74" s="97"/>
      <c r="HKB74" s="97"/>
      <c r="HKC74" s="97"/>
      <c r="HKD74" s="97"/>
      <c r="HKE74" s="97"/>
      <c r="HKF74" s="97"/>
      <c r="HKG74" s="97"/>
      <c r="HKH74" s="97"/>
      <c r="HKI74" s="97"/>
      <c r="HKJ74" s="97"/>
      <c r="HKK74" s="97"/>
      <c r="HKL74" s="97"/>
      <c r="HKM74" s="97"/>
      <c r="HKN74" s="97"/>
      <c r="HKO74" s="97"/>
      <c r="HKP74" s="97"/>
      <c r="HKQ74" s="97"/>
      <c r="HKR74" s="97"/>
      <c r="HKS74" s="97"/>
      <c r="HKT74" s="97"/>
      <c r="HKU74" s="97"/>
      <c r="HKV74" s="97"/>
      <c r="HKW74" s="97"/>
      <c r="HKX74" s="97"/>
      <c r="HKY74" s="97"/>
      <c r="HKZ74" s="97"/>
      <c r="HLA74" s="97"/>
      <c r="HLB74" s="97"/>
      <c r="HLC74" s="97"/>
      <c r="HLD74" s="97"/>
      <c r="HLE74" s="97"/>
      <c r="HLF74" s="97"/>
      <c r="HLG74" s="97"/>
      <c r="HLH74" s="97"/>
      <c r="HLI74" s="97"/>
      <c r="HLJ74" s="97"/>
      <c r="HLK74" s="97"/>
      <c r="HLL74" s="97"/>
      <c r="HLM74" s="97"/>
      <c r="HLN74" s="97"/>
      <c r="HLO74" s="97"/>
      <c r="HLP74" s="97"/>
      <c r="HLQ74" s="97"/>
      <c r="HLR74" s="97"/>
      <c r="HLS74" s="97"/>
      <c r="HLT74" s="97"/>
      <c r="HLU74" s="97"/>
      <c r="HLV74" s="97"/>
      <c r="HLW74" s="97"/>
      <c r="HLX74" s="97"/>
      <c r="HLY74" s="97"/>
      <c r="HLZ74" s="97"/>
      <c r="HMA74" s="97"/>
      <c r="HMB74" s="97"/>
      <c r="HMC74" s="97"/>
      <c r="HMD74" s="97"/>
      <c r="HME74" s="97"/>
      <c r="HMF74" s="97"/>
      <c r="HMG74" s="97"/>
      <c r="HMH74" s="97"/>
      <c r="HMI74" s="97"/>
      <c r="HMJ74" s="97"/>
      <c r="HMK74" s="97"/>
      <c r="HML74" s="97"/>
      <c r="HMM74" s="97"/>
      <c r="HMN74" s="97"/>
      <c r="HMO74" s="97"/>
      <c r="HMP74" s="97"/>
      <c r="HMQ74" s="97"/>
      <c r="HMR74" s="97"/>
      <c r="HMS74" s="97"/>
      <c r="HMT74" s="97"/>
      <c r="HMU74" s="97"/>
      <c r="HMV74" s="97"/>
      <c r="HMW74" s="97"/>
      <c r="HMX74" s="97"/>
      <c r="HMY74" s="97"/>
      <c r="HMZ74" s="97"/>
      <c r="HNA74" s="97"/>
      <c r="HNB74" s="97"/>
      <c r="HNC74" s="97"/>
      <c r="HND74" s="97"/>
      <c r="HNE74" s="97"/>
      <c r="HNF74" s="97"/>
      <c r="HNG74" s="97"/>
      <c r="HNH74" s="97"/>
      <c r="HNI74" s="97"/>
      <c r="HNJ74" s="97"/>
      <c r="HNK74" s="97"/>
      <c r="HNL74" s="97"/>
      <c r="HNM74" s="97"/>
      <c r="HNN74" s="97"/>
      <c r="HNO74" s="97"/>
      <c r="HNP74" s="97"/>
      <c r="HNQ74" s="97"/>
      <c r="HNR74" s="97"/>
      <c r="HNS74" s="97"/>
      <c r="HNT74" s="97"/>
      <c r="HNU74" s="97"/>
      <c r="HNV74" s="97"/>
      <c r="HNW74" s="97"/>
      <c r="HNX74" s="97"/>
      <c r="HNY74" s="97"/>
      <c r="HNZ74" s="97"/>
      <c r="HOA74" s="97"/>
      <c r="HOB74" s="97"/>
      <c r="HOC74" s="97"/>
      <c r="HOD74" s="97"/>
      <c r="HOE74" s="97"/>
      <c r="HOF74" s="97"/>
      <c r="HOG74" s="97"/>
      <c r="HOH74" s="97"/>
      <c r="HOI74" s="97"/>
      <c r="HOJ74" s="97"/>
      <c r="HOK74" s="97"/>
      <c r="HOL74" s="97"/>
      <c r="HOM74" s="97"/>
      <c r="HON74" s="97"/>
      <c r="HOO74" s="97"/>
      <c r="HOP74" s="97"/>
      <c r="HOQ74" s="97"/>
      <c r="HOR74" s="97"/>
      <c r="HOS74" s="97"/>
      <c r="HOT74" s="97"/>
      <c r="HOU74" s="97"/>
      <c r="HOV74" s="97"/>
      <c r="HOW74" s="97"/>
      <c r="HOX74" s="97"/>
      <c r="HOY74" s="97"/>
      <c r="HOZ74" s="97"/>
      <c r="HPA74" s="97"/>
      <c r="HPB74" s="97"/>
      <c r="HPC74" s="97"/>
      <c r="HPD74" s="97"/>
      <c r="HPE74" s="97"/>
      <c r="HPF74" s="97"/>
      <c r="HPG74" s="97"/>
      <c r="HPH74" s="97"/>
      <c r="HPI74" s="97"/>
      <c r="HPJ74" s="97"/>
      <c r="HPK74" s="97"/>
      <c r="HPL74" s="97"/>
      <c r="HPM74" s="97"/>
      <c r="HPN74" s="97"/>
      <c r="HPO74" s="97"/>
      <c r="HPP74" s="97"/>
      <c r="HPQ74" s="97"/>
      <c r="HPR74" s="97"/>
      <c r="HPS74" s="97"/>
      <c r="HPT74" s="97"/>
      <c r="HPU74" s="97"/>
      <c r="HPV74" s="97"/>
      <c r="HPW74" s="97"/>
      <c r="HPX74" s="97"/>
      <c r="HPY74" s="97"/>
      <c r="HPZ74" s="97"/>
      <c r="HQA74" s="97"/>
      <c r="HQB74" s="97"/>
      <c r="HQC74" s="97"/>
      <c r="HQD74" s="97"/>
      <c r="HQE74" s="97"/>
      <c r="HQF74" s="97"/>
      <c r="HQG74" s="97"/>
      <c r="HQH74" s="97"/>
      <c r="HQI74" s="97"/>
      <c r="HQJ74" s="97"/>
      <c r="HQK74" s="97"/>
      <c r="HQL74" s="97"/>
      <c r="HQM74" s="97"/>
      <c r="HQN74" s="97"/>
      <c r="HQO74" s="97"/>
      <c r="HQP74" s="97"/>
      <c r="HQQ74" s="97"/>
      <c r="HQR74" s="97"/>
      <c r="HQS74" s="97"/>
      <c r="HQT74" s="97"/>
      <c r="HQU74" s="97"/>
      <c r="HQV74" s="97"/>
      <c r="HQW74" s="97"/>
      <c r="HQX74" s="97"/>
      <c r="HQY74" s="97"/>
      <c r="HQZ74" s="97"/>
      <c r="HRA74" s="97"/>
      <c r="HRB74" s="97"/>
      <c r="HRC74" s="97"/>
      <c r="HRD74" s="97"/>
      <c r="HRE74" s="97"/>
      <c r="HRF74" s="97"/>
      <c r="HRG74" s="97"/>
      <c r="HRH74" s="97"/>
      <c r="HRI74" s="97"/>
      <c r="HRJ74" s="97"/>
      <c r="HRK74" s="97"/>
      <c r="HRL74" s="97"/>
      <c r="HRM74" s="97"/>
      <c r="HRN74" s="97"/>
      <c r="HRO74" s="97"/>
      <c r="HRP74" s="97"/>
      <c r="HRQ74" s="97"/>
      <c r="HRR74" s="97"/>
      <c r="HRS74" s="97"/>
      <c r="HRT74" s="97"/>
      <c r="HRU74" s="97"/>
      <c r="HRV74" s="97"/>
      <c r="HRW74" s="97"/>
      <c r="HRX74" s="97"/>
      <c r="HRY74" s="97"/>
      <c r="HRZ74" s="97"/>
      <c r="HSA74" s="97"/>
      <c r="HSB74" s="97"/>
      <c r="HSC74" s="97"/>
      <c r="HSD74" s="97"/>
      <c r="HSE74" s="97"/>
      <c r="HSF74" s="97"/>
      <c r="HSG74" s="97"/>
      <c r="HSH74" s="97"/>
      <c r="HSI74" s="97"/>
      <c r="HSJ74" s="97"/>
      <c r="HSK74" s="97"/>
      <c r="HSL74" s="97"/>
      <c r="HSM74" s="97"/>
      <c r="HSN74" s="97"/>
      <c r="HSO74" s="97"/>
      <c r="HSP74" s="97"/>
      <c r="HSQ74" s="97"/>
      <c r="HSR74" s="97"/>
      <c r="HSS74" s="97"/>
      <c r="HST74" s="97"/>
      <c r="HSU74" s="97"/>
      <c r="HSV74" s="97"/>
      <c r="HSW74" s="97"/>
      <c r="HSX74" s="97"/>
      <c r="HSY74" s="97"/>
      <c r="HSZ74" s="97"/>
      <c r="HTA74" s="97"/>
      <c r="HTB74" s="97"/>
      <c r="HTC74" s="97"/>
      <c r="HTD74" s="97"/>
      <c r="HTE74" s="97"/>
      <c r="HTF74" s="97"/>
      <c r="HTG74" s="97"/>
      <c r="HTH74" s="97"/>
      <c r="HTI74" s="97"/>
      <c r="HTJ74" s="97"/>
      <c r="HTK74" s="97"/>
      <c r="HTL74" s="97"/>
      <c r="HTM74" s="97"/>
      <c r="HTN74" s="97"/>
      <c r="HTO74" s="97"/>
      <c r="HTP74" s="97"/>
      <c r="HTQ74" s="97"/>
      <c r="HTR74" s="97"/>
      <c r="HTS74" s="97"/>
      <c r="HTT74" s="97"/>
      <c r="HTU74" s="97"/>
      <c r="HTV74" s="97"/>
      <c r="HTW74" s="97"/>
      <c r="HTX74" s="97"/>
      <c r="HTY74" s="97"/>
      <c r="HTZ74" s="97"/>
      <c r="HUA74" s="97"/>
      <c r="HUB74" s="97"/>
      <c r="HUC74" s="97"/>
      <c r="HUD74" s="97"/>
      <c r="HUE74" s="97"/>
      <c r="HUF74" s="97"/>
      <c r="HUG74" s="97"/>
      <c r="HUH74" s="97"/>
      <c r="HUI74" s="97"/>
      <c r="HUJ74" s="97"/>
      <c r="HUK74" s="97"/>
      <c r="HUL74" s="97"/>
      <c r="HUM74" s="97"/>
      <c r="HUN74" s="97"/>
      <c r="HUO74" s="97"/>
      <c r="HUP74" s="97"/>
      <c r="HUQ74" s="97"/>
      <c r="HUR74" s="97"/>
      <c r="HUS74" s="97"/>
      <c r="HUT74" s="97"/>
      <c r="HUU74" s="97"/>
      <c r="HUV74" s="97"/>
      <c r="HUW74" s="97"/>
      <c r="HUX74" s="97"/>
      <c r="HUY74" s="97"/>
      <c r="HUZ74" s="97"/>
      <c r="HVA74" s="97"/>
      <c r="HVB74" s="97"/>
      <c r="HVC74" s="97"/>
      <c r="HVD74" s="97"/>
      <c r="HVE74" s="97"/>
      <c r="HVF74" s="97"/>
      <c r="HVG74" s="97"/>
      <c r="HVH74" s="97"/>
      <c r="HVI74" s="97"/>
      <c r="HVJ74" s="97"/>
      <c r="HVK74" s="97"/>
      <c r="HVL74" s="97"/>
      <c r="HVM74" s="97"/>
      <c r="HVN74" s="97"/>
      <c r="HVO74" s="97"/>
      <c r="HVP74" s="97"/>
      <c r="HVQ74" s="97"/>
      <c r="HVR74" s="97"/>
      <c r="HVS74" s="97"/>
      <c r="HVT74" s="97"/>
      <c r="HVU74" s="97"/>
      <c r="HVV74" s="97"/>
      <c r="HVW74" s="97"/>
      <c r="HVX74" s="97"/>
      <c r="HVY74" s="97"/>
      <c r="HVZ74" s="97"/>
      <c r="HWA74" s="97"/>
      <c r="HWB74" s="97"/>
      <c r="HWC74" s="97"/>
      <c r="HWD74" s="97"/>
      <c r="HWE74" s="97"/>
      <c r="HWF74" s="97"/>
      <c r="HWG74" s="97"/>
      <c r="HWH74" s="97"/>
      <c r="HWI74" s="97"/>
      <c r="HWJ74" s="97"/>
      <c r="HWK74" s="97"/>
      <c r="HWL74" s="97"/>
      <c r="HWM74" s="97"/>
      <c r="HWN74" s="97"/>
      <c r="HWO74" s="97"/>
      <c r="HWP74" s="97"/>
      <c r="HWQ74" s="97"/>
      <c r="HWR74" s="97"/>
      <c r="HWS74" s="97"/>
      <c r="HWT74" s="97"/>
      <c r="HWU74" s="97"/>
      <c r="HWV74" s="97"/>
      <c r="HWW74" s="97"/>
      <c r="HWX74" s="97"/>
      <c r="HWY74" s="97"/>
      <c r="HWZ74" s="97"/>
      <c r="HXA74" s="97"/>
      <c r="HXB74" s="97"/>
      <c r="HXC74" s="97"/>
      <c r="HXD74" s="97"/>
      <c r="HXE74" s="97"/>
      <c r="HXF74" s="97"/>
      <c r="HXG74" s="97"/>
      <c r="HXH74" s="97"/>
      <c r="HXI74" s="97"/>
      <c r="HXJ74" s="97"/>
      <c r="HXK74" s="97"/>
      <c r="HXL74" s="97"/>
      <c r="HXM74" s="97"/>
      <c r="HXN74" s="97"/>
      <c r="HXO74" s="97"/>
      <c r="HXP74" s="97"/>
      <c r="HXQ74" s="97"/>
      <c r="HXR74" s="97"/>
      <c r="HXS74" s="97"/>
      <c r="HXT74" s="97"/>
      <c r="HXU74" s="97"/>
      <c r="HXV74" s="97"/>
      <c r="HXW74" s="97"/>
      <c r="HXX74" s="97"/>
      <c r="HXY74" s="97"/>
      <c r="HXZ74" s="97"/>
      <c r="HYA74" s="97"/>
      <c r="HYB74" s="97"/>
      <c r="HYC74" s="97"/>
      <c r="HYD74" s="97"/>
      <c r="HYE74" s="97"/>
      <c r="HYF74" s="97"/>
      <c r="HYG74" s="97"/>
      <c r="HYH74" s="97"/>
      <c r="HYI74" s="97"/>
      <c r="HYJ74" s="97"/>
      <c r="HYK74" s="97"/>
      <c r="HYL74" s="97"/>
      <c r="HYM74" s="97"/>
      <c r="HYN74" s="97"/>
      <c r="HYO74" s="97"/>
      <c r="HYP74" s="97"/>
      <c r="HYQ74" s="97"/>
      <c r="HYR74" s="97"/>
      <c r="HYS74" s="97"/>
      <c r="HYT74" s="97"/>
      <c r="HYU74" s="97"/>
      <c r="HYV74" s="97"/>
      <c r="HYW74" s="97"/>
      <c r="HYX74" s="97"/>
      <c r="HYY74" s="97"/>
      <c r="HYZ74" s="97"/>
      <c r="HZA74" s="97"/>
      <c r="HZB74" s="97"/>
      <c r="HZC74" s="97"/>
      <c r="HZD74" s="97"/>
      <c r="HZE74" s="97"/>
      <c r="HZF74" s="97"/>
      <c r="HZG74" s="97"/>
      <c r="HZH74" s="97"/>
      <c r="HZI74" s="97"/>
      <c r="HZJ74" s="97"/>
      <c r="HZK74" s="97"/>
      <c r="HZL74" s="97"/>
      <c r="HZM74" s="97"/>
      <c r="HZN74" s="97"/>
      <c r="HZO74" s="97"/>
      <c r="HZP74" s="97"/>
      <c r="HZQ74" s="97"/>
      <c r="HZR74" s="97"/>
      <c r="HZS74" s="97"/>
      <c r="HZT74" s="97"/>
      <c r="HZU74" s="97"/>
      <c r="HZV74" s="97"/>
      <c r="HZW74" s="97"/>
      <c r="HZX74" s="97"/>
      <c r="HZY74" s="97"/>
      <c r="HZZ74" s="97"/>
      <c r="IAA74" s="97"/>
      <c r="IAB74" s="97"/>
      <c r="IAC74" s="97"/>
      <c r="IAD74" s="97"/>
      <c r="IAE74" s="97"/>
      <c r="IAF74" s="97"/>
      <c r="IAG74" s="97"/>
      <c r="IAH74" s="97"/>
      <c r="IAI74" s="97"/>
      <c r="IAJ74" s="97"/>
      <c r="IAK74" s="97"/>
      <c r="IAL74" s="97"/>
      <c r="IAM74" s="97"/>
      <c r="IAN74" s="97"/>
      <c r="IAO74" s="97"/>
      <c r="IAP74" s="97"/>
      <c r="IAQ74" s="97"/>
      <c r="IAR74" s="97"/>
      <c r="IAS74" s="97"/>
      <c r="IAT74" s="97"/>
      <c r="IAU74" s="97"/>
      <c r="IAV74" s="97"/>
      <c r="IAW74" s="97"/>
      <c r="IAX74" s="97"/>
      <c r="IAY74" s="97"/>
      <c r="IAZ74" s="97"/>
      <c r="IBA74" s="97"/>
      <c r="IBB74" s="97"/>
      <c r="IBC74" s="97"/>
      <c r="IBD74" s="97"/>
      <c r="IBE74" s="97"/>
      <c r="IBF74" s="97"/>
      <c r="IBG74" s="97"/>
      <c r="IBH74" s="97"/>
      <c r="IBI74" s="97"/>
      <c r="IBJ74" s="97"/>
      <c r="IBK74" s="97"/>
      <c r="IBL74" s="97"/>
      <c r="IBM74" s="97"/>
      <c r="IBN74" s="97"/>
      <c r="IBO74" s="97"/>
      <c r="IBP74" s="97"/>
      <c r="IBQ74" s="97"/>
      <c r="IBR74" s="97"/>
      <c r="IBS74" s="97"/>
      <c r="IBT74" s="97"/>
      <c r="IBU74" s="97"/>
      <c r="IBV74" s="97"/>
      <c r="IBW74" s="97"/>
      <c r="IBX74" s="97"/>
      <c r="IBY74" s="97"/>
      <c r="IBZ74" s="97"/>
      <c r="ICA74" s="97"/>
      <c r="ICB74" s="97"/>
      <c r="ICC74" s="97"/>
      <c r="ICD74" s="97"/>
      <c r="ICE74" s="97"/>
      <c r="ICF74" s="97"/>
      <c r="ICG74" s="97"/>
      <c r="ICH74" s="97"/>
      <c r="ICI74" s="97"/>
      <c r="ICJ74" s="97"/>
      <c r="ICK74" s="97"/>
      <c r="ICL74" s="97"/>
      <c r="ICM74" s="97"/>
      <c r="ICN74" s="97"/>
      <c r="ICO74" s="97"/>
      <c r="ICP74" s="97"/>
      <c r="ICQ74" s="97"/>
      <c r="ICR74" s="97"/>
      <c r="ICS74" s="97"/>
      <c r="ICT74" s="97"/>
      <c r="ICU74" s="97"/>
      <c r="ICV74" s="97"/>
      <c r="ICW74" s="97"/>
      <c r="ICX74" s="97"/>
      <c r="ICY74" s="97"/>
      <c r="ICZ74" s="97"/>
      <c r="IDA74" s="97"/>
      <c r="IDB74" s="97"/>
      <c r="IDC74" s="97"/>
      <c r="IDD74" s="97"/>
      <c r="IDE74" s="97"/>
      <c r="IDF74" s="97"/>
      <c r="IDG74" s="97"/>
      <c r="IDH74" s="97"/>
      <c r="IDI74" s="97"/>
      <c r="IDJ74" s="97"/>
      <c r="IDK74" s="97"/>
      <c r="IDL74" s="97"/>
      <c r="IDM74" s="97"/>
      <c r="IDN74" s="97"/>
      <c r="IDO74" s="97"/>
      <c r="IDP74" s="97"/>
      <c r="IDQ74" s="97"/>
      <c r="IDR74" s="97"/>
      <c r="IDS74" s="97"/>
      <c r="IDT74" s="97"/>
      <c r="IDU74" s="97"/>
      <c r="IDV74" s="97"/>
      <c r="IDW74" s="97"/>
      <c r="IDX74" s="97"/>
      <c r="IDY74" s="97"/>
      <c r="IDZ74" s="97"/>
      <c r="IEA74" s="97"/>
      <c r="IEB74" s="97"/>
      <c r="IEC74" s="97"/>
      <c r="IED74" s="97"/>
      <c r="IEE74" s="97"/>
      <c r="IEF74" s="97"/>
      <c r="IEG74" s="97"/>
      <c r="IEH74" s="97"/>
      <c r="IEI74" s="97"/>
      <c r="IEJ74" s="97"/>
      <c r="IEK74" s="97"/>
      <c r="IEL74" s="97"/>
      <c r="IEM74" s="97"/>
      <c r="IEN74" s="97"/>
      <c r="IEO74" s="97"/>
      <c r="IEP74" s="97"/>
      <c r="IEQ74" s="97"/>
      <c r="IER74" s="97"/>
      <c r="IES74" s="97"/>
      <c r="IET74" s="97"/>
      <c r="IEU74" s="97"/>
      <c r="IEV74" s="97"/>
      <c r="IEW74" s="97"/>
      <c r="IEX74" s="97"/>
      <c r="IEY74" s="97"/>
      <c r="IEZ74" s="97"/>
      <c r="IFA74" s="97"/>
      <c r="IFB74" s="97"/>
      <c r="IFC74" s="97"/>
      <c r="IFD74" s="97"/>
      <c r="IFE74" s="97"/>
      <c r="IFF74" s="97"/>
      <c r="IFG74" s="97"/>
      <c r="IFH74" s="97"/>
      <c r="IFI74" s="97"/>
      <c r="IFJ74" s="97"/>
      <c r="IFK74" s="97"/>
      <c r="IFL74" s="97"/>
      <c r="IFM74" s="97"/>
      <c r="IFN74" s="97"/>
      <c r="IFO74" s="97"/>
      <c r="IFP74" s="97"/>
      <c r="IFQ74" s="97"/>
      <c r="IFR74" s="97"/>
      <c r="IFS74" s="97"/>
      <c r="IFT74" s="97"/>
      <c r="IFU74" s="97"/>
      <c r="IFV74" s="97"/>
      <c r="IFW74" s="97"/>
      <c r="IFX74" s="97"/>
      <c r="IFY74" s="97"/>
      <c r="IFZ74" s="97"/>
      <c r="IGA74" s="97"/>
      <c r="IGB74" s="97"/>
      <c r="IGC74" s="97"/>
      <c r="IGD74" s="97"/>
      <c r="IGE74" s="97"/>
      <c r="IGF74" s="97"/>
      <c r="IGG74" s="97"/>
      <c r="IGH74" s="97"/>
      <c r="IGI74" s="97"/>
      <c r="IGJ74" s="97"/>
      <c r="IGK74" s="97"/>
      <c r="IGL74" s="97"/>
      <c r="IGM74" s="97"/>
      <c r="IGN74" s="97"/>
      <c r="IGO74" s="97"/>
      <c r="IGP74" s="97"/>
      <c r="IGQ74" s="97"/>
      <c r="IGR74" s="97"/>
      <c r="IGS74" s="97"/>
      <c r="IGT74" s="97"/>
      <c r="IGU74" s="97"/>
      <c r="IGV74" s="97"/>
      <c r="IGW74" s="97"/>
      <c r="IGX74" s="97"/>
      <c r="IGY74" s="97"/>
      <c r="IGZ74" s="97"/>
      <c r="IHA74" s="97"/>
      <c r="IHB74" s="97"/>
      <c r="IHC74" s="97"/>
      <c r="IHD74" s="97"/>
      <c r="IHE74" s="97"/>
      <c r="IHF74" s="97"/>
      <c r="IHG74" s="97"/>
      <c r="IHH74" s="97"/>
      <c r="IHI74" s="97"/>
      <c r="IHJ74" s="97"/>
      <c r="IHK74" s="97"/>
      <c r="IHL74" s="97"/>
      <c r="IHM74" s="97"/>
      <c r="IHN74" s="97"/>
      <c r="IHO74" s="97"/>
      <c r="IHP74" s="97"/>
      <c r="IHQ74" s="97"/>
      <c r="IHR74" s="97"/>
      <c r="IHS74" s="97"/>
      <c r="IHT74" s="97"/>
      <c r="IHU74" s="97"/>
      <c r="IHV74" s="97"/>
      <c r="IHW74" s="97"/>
      <c r="IHX74" s="97"/>
      <c r="IHY74" s="97"/>
      <c r="IHZ74" s="97"/>
      <c r="IIA74" s="97"/>
      <c r="IIB74" s="97"/>
      <c r="IIC74" s="97"/>
      <c r="IID74" s="97"/>
      <c r="IIE74" s="97"/>
      <c r="IIF74" s="97"/>
      <c r="IIG74" s="97"/>
      <c r="IIH74" s="97"/>
      <c r="III74" s="97"/>
      <c r="IIJ74" s="97"/>
      <c r="IIK74" s="97"/>
      <c r="IIL74" s="97"/>
      <c r="IIM74" s="97"/>
      <c r="IIN74" s="97"/>
      <c r="IIO74" s="97"/>
      <c r="IIP74" s="97"/>
      <c r="IIQ74" s="97"/>
      <c r="IIR74" s="97"/>
      <c r="IIS74" s="97"/>
      <c r="IIT74" s="97"/>
      <c r="IIU74" s="97"/>
      <c r="IIV74" s="97"/>
      <c r="IIW74" s="97"/>
      <c r="IIX74" s="97"/>
      <c r="IIY74" s="97"/>
      <c r="IIZ74" s="97"/>
      <c r="IJA74" s="97"/>
      <c r="IJB74" s="97"/>
      <c r="IJC74" s="97"/>
      <c r="IJD74" s="97"/>
      <c r="IJE74" s="97"/>
      <c r="IJF74" s="97"/>
      <c r="IJG74" s="97"/>
      <c r="IJH74" s="97"/>
      <c r="IJI74" s="97"/>
      <c r="IJJ74" s="97"/>
      <c r="IJK74" s="97"/>
      <c r="IJL74" s="97"/>
      <c r="IJM74" s="97"/>
      <c r="IJN74" s="97"/>
      <c r="IJO74" s="97"/>
      <c r="IJP74" s="97"/>
      <c r="IJQ74" s="97"/>
      <c r="IJR74" s="97"/>
      <c r="IJS74" s="97"/>
      <c r="IJT74" s="97"/>
      <c r="IJU74" s="97"/>
      <c r="IJV74" s="97"/>
      <c r="IJW74" s="97"/>
      <c r="IJX74" s="97"/>
      <c r="IJY74" s="97"/>
      <c r="IJZ74" s="97"/>
      <c r="IKA74" s="97"/>
      <c r="IKB74" s="97"/>
      <c r="IKC74" s="97"/>
      <c r="IKD74" s="97"/>
      <c r="IKE74" s="97"/>
      <c r="IKF74" s="97"/>
      <c r="IKG74" s="97"/>
      <c r="IKH74" s="97"/>
      <c r="IKI74" s="97"/>
      <c r="IKJ74" s="97"/>
      <c r="IKK74" s="97"/>
      <c r="IKL74" s="97"/>
      <c r="IKM74" s="97"/>
      <c r="IKN74" s="97"/>
      <c r="IKO74" s="97"/>
      <c r="IKP74" s="97"/>
      <c r="IKQ74" s="97"/>
      <c r="IKR74" s="97"/>
      <c r="IKS74" s="97"/>
      <c r="IKT74" s="97"/>
      <c r="IKU74" s="97"/>
      <c r="IKV74" s="97"/>
      <c r="IKW74" s="97"/>
      <c r="IKX74" s="97"/>
      <c r="IKY74" s="97"/>
      <c r="IKZ74" s="97"/>
      <c r="ILA74" s="97"/>
      <c r="ILB74" s="97"/>
      <c r="ILC74" s="97"/>
      <c r="ILD74" s="97"/>
      <c r="ILE74" s="97"/>
      <c r="ILF74" s="97"/>
      <c r="ILG74" s="97"/>
      <c r="ILH74" s="97"/>
      <c r="ILI74" s="97"/>
      <c r="ILJ74" s="97"/>
      <c r="ILK74" s="97"/>
      <c r="ILL74" s="97"/>
      <c r="ILM74" s="97"/>
      <c r="ILN74" s="97"/>
      <c r="ILO74" s="97"/>
      <c r="ILP74" s="97"/>
      <c r="ILQ74" s="97"/>
      <c r="ILR74" s="97"/>
      <c r="ILS74" s="97"/>
      <c r="ILT74" s="97"/>
      <c r="ILU74" s="97"/>
      <c r="ILV74" s="97"/>
      <c r="ILW74" s="97"/>
      <c r="ILX74" s="97"/>
      <c r="ILY74" s="97"/>
      <c r="ILZ74" s="97"/>
      <c r="IMA74" s="97"/>
      <c r="IMB74" s="97"/>
      <c r="IMC74" s="97"/>
      <c r="IMD74" s="97"/>
      <c r="IME74" s="97"/>
      <c r="IMF74" s="97"/>
      <c r="IMG74" s="97"/>
      <c r="IMH74" s="97"/>
      <c r="IMI74" s="97"/>
      <c r="IMJ74" s="97"/>
      <c r="IMK74" s="97"/>
      <c r="IML74" s="97"/>
      <c r="IMM74" s="97"/>
      <c r="IMN74" s="97"/>
      <c r="IMO74" s="97"/>
      <c r="IMP74" s="97"/>
      <c r="IMQ74" s="97"/>
      <c r="IMR74" s="97"/>
      <c r="IMS74" s="97"/>
      <c r="IMT74" s="97"/>
      <c r="IMU74" s="97"/>
      <c r="IMV74" s="97"/>
      <c r="IMW74" s="97"/>
      <c r="IMX74" s="97"/>
      <c r="IMY74" s="97"/>
      <c r="IMZ74" s="97"/>
      <c r="INA74" s="97"/>
      <c r="INB74" s="97"/>
      <c r="INC74" s="97"/>
      <c r="IND74" s="97"/>
      <c r="INE74" s="97"/>
      <c r="INF74" s="97"/>
      <c r="ING74" s="97"/>
      <c r="INH74" s="97"/>
      <c r="INI74" s="97"/>
      <c r="INJ74" s="97"/>
      <c r="INK74" s="97"/>
      <c r="INL74" s="97"/>
      <c r="INM74" s="97"/>
      <c r="INN74" s="97"/>
      <c r="INO74" s="97"/>
      <c r="INP74" s="97"/>
      <c r="INQ74" s="97"/>
      <c r="INR74" s="97"/>
      <c r="INS74" s="97"/>
      <c r="INT74" s="97"/>
      <c r="INU74" s="97"/>
      <c r="INV74" s="97"/>
      <c r="INW74" s="97"/>
      <c r="INX74" s="97"/>
      <c r="INY74" s="97"/>
      <c r="INZ74" s="97"/>
      <c r="IOA74" s="97"/>
      <c r="IOB74" s="97"/>
      <c r="IOC74" s="97"/>
      <c r="IOD74" s="97"/>
      <c r="IOE74" s="97"/>
      <c r="IOF74" s="97"/>
      <c r="IOG74" s="97"/>
      <c r="IOH74" s="97"/>
      <c r="IOI74" s="97"/>
      <c r="IOJ74" s="97"/>
      <c r="IOK74" s="97"/>
      <c r="IOL74" s="97"/>
      <c r="IOM74" s="97"/>
      <c r="ION74" s="97"/>
      <c r="IOO74" s="97"/>
      <c r="IOP74" s="97"/>
      <c r="IOQ74" s="97"/>
      <c r="IOR74" s="97"/>
      <c r="IOS74" s="97"/>
      <c r="IOT74" s="97"/>
      <c r="IOU74" s="97"/>
      <c r="IOV74" s="97"/>
      <c r="IOW74" s="97"/>
      <c r="IOX74" s="97"/>
      <c r="IOY74" s="97"/>
      <c r="IOZ74" s="97"/>
      <c r="IPA74" s="97"/>
      <c r="IPB74" s="97"/>
      <c r="IPC74" s="97"/>
      <c r="IPD74" s="97"/>
      <c r="IPE74" s="97"/>
      <c r="IPF74" s="97"/>
      <c r="IPG74" s="97"/>
      <c r="IPH74" s="97"/>
      <c r="IPI74" s="97"/>
      <c r="IPJ74" s="97"/>
      <c r="IPK74" s="97"/>
      <c r="IPL74" s="97"/>
      <c r="IPM74" s="97"/>
      <c r="IPN74" s="97"/>
      <c r="IPO74" s="97"/>
      <c r="IPP74" s="97"/>
      <c r="IPQ74" s="97"/>
      <c r="IPR74" s="97"/>
      <c r="IPS74" s="97"/>
      <c r="IPT74" s="97"/>
      <c r="IPU74" s="97"/>
      <c r="IPV74" s="97"/>
      <c r="IPW74" s="97"/>
      <c r="IPX74" s="97"/>
      <c r="IPY74" s="97"/>
      <c r="IPZ74" s="97"/>
      <c r="IQA74" s="97"/>
      <c r="IQB74" s="97"/>
      <c r="IQC74" s="97"/>
      <c r="IQD74" s="97"/>
      <c r="IQE74" s="97"/>
      <c r="IQF74" s="97"/>
      <c r="IQG74" s="97"/>
      <c r="IQH74" s="97"/>
      <c r="IQI74" s="97"/>
      <c r="IQJ74" s="97"/>
      <c r="IQK74" s="97"/>
      <c r="IQL74" s="97"/>
      <c r="IQM74" s="97"/>
      <c r="IQN74" s="97"/>
      <c r="IQO74" s="97"/>
      <c r="IQP74" s="97"/>
      <c r="IQQ74" s="97"/>
      <c r="IQR74" s="97"/>
      <c r="IQS74" s="97"/>
      <c r="IQT74" s="97"/>
      <c r="IQU74" s="97"/>
      <c r="IQV74" s="97"/>
      <c r="IQW74" s="97"/>
      <c r="IQX74" s="97"/>
      <c r="IQY74" s="97"/>
      <c r="IQZ74" s="97"/>
      <c r="IRA74" s="97"/>
      <c r="IRB74" s="97"/>
      <c r="IRC74" s="97"/>
      <c r="IRD74" s="97"/>
      <c r="IRE74" s="97"/>
      <c r="IRF74" s="97"/>
      <c r="IRG74" s="97"/>
      <c r="IRH74" s="97"/>
      <c r="IRI74" s="97"/>
      <c r="IRJ74" s="97"/>
      <c r="IRK74" s="97"/>
      <c r="IRL74" s="97"/>
      <c r="IRM74" s="97"/>
      <c r="IRN74" s="97"/>
      <c r="IRO74" s="97"/>
      <c r="IRP74" s="97"/>
      <c r="IRQ74" s="97"/>
      <c r="IRR74" s="97"/>
      <c r="IRS74" s="97"/>
      <c r="IRT74" s="97"/>
      <c r="IRU74" s="97"/>
      <c r="IRV74" s="97"/>
      <c r="IRW74" s="97"/>
      <c r="IRX74" s="97"/>
      <c r="IRY74" s="97"/>
      <c r="IRZ74" s="97"/>
      <c r="ISA74" s="97"/>
      <c r="ISB74" s="97"/>
      <c r="ISC74" s="97"/>
      <c r="ISD74" s="97"/>
      <c r="ISE74" s="97"/>
      <c r="ISF74" s="97"/>
      <c r="ISG74" s="97"/>
      <c r="ISH74" s="97"/>
      <c r="ISI74" s="97"/>
      <c r="ISJ74" s="97"/>
      <c r="ISK74" s="97"/>
      <c r="ISL74" s="97"/>
      <c r="ISM74" s="97"/>
      <c r="ISN74" s="97"/>
      <c r="ISO74" s="97"/>
      <c r="ISP74" s="97"/>
      <c r="ISQ74" s="97"/>
      <c r="ISR74" s="97"/>
      <c r="ISS74" s="97"/>
      <c r="IST74" s="97"/>
      <c r="ISU74" s="97"/>
      <c r="ISV74" s="97"/>
      <c r="ISW74" s="97"/>
      <c r="ISX74" s="97"/>
      <c r="ISY74" s="97"/>
      <c r="ISZ74" s="97"/>
      <c r="ITA74" s="97"/>
      <c r="ITB74" s="97"/>
      <c r="ITC74" s="97"/>
      <c r="ITD74" s="97"/>
      <c r="ITE74" s="97"/>
      <c r="ITF74" s="97"/>
      <c r="ITG74" s="97"/>
      <c r="ITH74" s="97"/>
      <c r="ITI74" s="97"/>
      <c r="ITJ74" s="97"/>
      <c r="ITK74" s="97"/>
      <c r="ITL74" s="97"/>
      <c r="ITM74" s="97"/>
      <c r="ITN74" s="97"/>
      <c r="ITO74" s="97"/>
      <c r="ITP74" s="97"/>
      <c r="ITQ74" s="97"/>
      <c r="ITR74" s="97"/>
      <c r="ITS74" s="97"/>
      <c r="ITT74" s="97"/>
      <c r="ITU74" s="97"/>
      <c r="ITV74" s="97"/>
      <c r="ITW74" s="97"/>
      <c r="ITX74" s="97"/>
      <c r="ITY74" s="97"/>
      <c r="ITZ74" s="97"/>
      <c r="IUA74" s="97"/>
      <c r="IUB74" s="97"/>
      <c r="IUC74" s="97"/>
      <c r="IUD74" s="97"/>
      <c r="IUE74" s="97"/>
      <c r="IUF74" s="97"/>
      <c r="IUG74" s="97"/>
      <c r="IUH74" s="97"/>
      <c r="IUI74" s="97"/>
      <c r="IUJ74" s="97"/>
      <c r="IUK74" s="97"/>
      <c r="IUL74" s="97"/>
      <c r="IUM74" s="97"/>
      <c r="IUN74" s="97"/>
      <c r="IUO74" s="97"/>
      <c r="IUP74" s="97"/>
      <c r="IUQ74" s="97"/>
      <c r="IUR74" s="97"/>
      <c r="IUS74" s="97"/>
      <c r="IUT74" s="97"/>
      <c r="IUU74" s="97"/>
      <c r="IUV74" s="97"/>
      <c r="IUW74" s="97"/>
      <c r="IUX74" s="97"/>
      <c r="IUY74" s="97"/>
      <c r="IUZ74" s="97"/>
      <c r="IVA74" s="97"/>
      <c r="IVB74" s="97"/>
      <c r="IVC74" s="97"/>
      <c r="IVD74" s="97"/>
      <c r="IVE74" s="97"/>
      <c r="IVF74" s="97"/>
      <c r="IVG74" s="97"/>
      <c r="IVH74" s="97"/>
      <c r="IVI74" s="97"/>
      <c r="IVJ74" s="97"/>
      <c r="IVK74" s="97"/>
      <c r="IVL74" s="97"/>
      <c r="IVM74" s="97"/>
      <c r="IVN74" s="97"/>
      <c r="IVO74" s="97"/>
      <c r="IVP74" s="97"/>
      <c r="IVQ74" s="97"/>
      <c r="IVR74" s="97"/>
      <c r="IVS74" s="97"/>
      <c r="IVT74" s="97"/>
      <c r="IVU74" s="97"/>
      <c r="IVV74" s="97"/>
      <c r="IVW74" s="97"/>
      <c r="IVX74" s="97"/>
      <c r="IVY74" s="97"/>
      <c r="IVZ74" s="97"/>
      <c r="IWA74" s="97"/>
      <c r="IWB74" s="97"/>
      <c r="IWC74" s="97"/>
      <c r="IWD74" s="97"/>
      <c r="IWE74" s="97"/>
      <c r="IWF74" s="97"/>
      <c r="IWG74" s="97"/>
      <c r="IWH74" s="97"/>
      <c r="IWI74" s="97"/>
      <c r="IWJ74" s="97"/>
      <c r="IWK74" s="97"/>
      <c r="IWL74" s="97"/>
      <c r="IWM74" s="97"/>
      <c r="IWN74" s="97"/>
      <c r="IWO74" s="97"/>
      <c r="IWP74" s="97"/>
      <c r="IWQ74" s="97"/>
      <c r="IWR74" s="97"/>
      <c r="IWS74" s="97"/>
      <c r="IWT74" s="97"/>
      <c r="IWU74" s="97"/>
      <c r="IWV74" s="97"/>
      <c r="IWW74" s="97"/>
      <c r="IWX74" s="97"/>
      <c r="IWY74" s="97"/>
      <c r="IWZ74" s="97"/>
      <c r="IXA74" s="97"/>
      <c r="IXB74" s="97"/>
      <c r="IXC74" s="97"/>
      <c r="IXD74" s="97"/>
      <c r="IXE74" s="97"/>
      <c r="IXF74" s="97"/>
      <c r="IXG74" s="97"/>
      <c r="IXH74" s="97"/>
      <c r="IXI74" s="97"/>
      <c r="IXJ74" s="97"/>
      <c r="IXK74" s="97"/>
      <c r="IXL74" s="97"/>
      <c r="IXM74" s="97"/>
      <c r="IXN74" s="97"/>
      <c r="IXO74" s="97"/>
      <c r="IXP74" s="97"/>
      <c r="IXQ74" s="97"/>
      <c r="IXR74" s="97"/>
      <c r="IXS74" s="97"/>
      <c r="IXT74" s="97"/>
      <c r="IXU74" s="97"/>
      <c r="IXV74" s="97"/>
      <c r="IXW74" s="97"/>
      <c r="IXX74" s="97"/>
      <c r="IXY74" s="97"/>
      <c r="IXZ74" s="97"/>
      <c r="IYA74" s="97"/>
      <c r="IYB74" s="97"/>
      <c r="IYC74" s="97"/>
      <c r="IYD74" s="97"/>
      <c r="IYE74" s="97"/>
      <c r="IYF74" s="97"/>
      <c r="IYG74" s="97"/>
      <c r="IYH74" s="97"/>
      <c r="IYI74" s="97"/>
      <c r="IYJ74" s="97"/>
      <c r="IYK74" s="97"/>
      <c r="IYL74" s="97"/>
      <c r="IYM74" s="97"/>
      <c r="IYN74" s="97"/>
      <c r="IYO74" s="97"/>
      <c r="IYP74" s="97"/>
      <c r="IYQ74" s="97"/>
      <c r="IYR74" s="97"/>
      <c r="IYS74" s="97"/>
      <c r="IYT74" s="97"/>
      <c r="IYU74" s="97"/>
      <c r="IYV74" s="97"/>
      <c r="IYW74" s="97"/>
      <c r="IYX74" s="97"/>
      <c r="IYY74" s="97"/>
      <c r="IYZ74" s="97"/>
      <c r="IZA74" s="97"/>
      <c r="IZB74" s="97"/>
      <c r="IZC74" s="97"/>
      <c r="IZD74" s="97"/>
      <c r="IZE74" s="97"/>
      <c r="IZF74" s="97"/>
      <c r="IZG74" s="97"/>
      <c r="IZH74" s="97"/>
      <c r="IZI74" s="97"/>
      <c r="IZJ74" s="97"/>
      <c r="IZK74" s="97"/>
      <c r="IZL74" s="97"/>
      <c r="IZM74" s="97"/>
      <c r="IZN74" s="97"/>
      <c r="IZO74" s="97"/>
      <c r="IZP74" s="97"/>
      <c r="IZQ74" s="97"/>
      <c r="IZR74" s="97"/>
      <c r="IZS74" s="97"/>
      <c r="IZT74" s="97"/>
      <c r="IZU74" s="97"/>
      <c r="IZV74" s="97"/>
      <c r="IZW74" s="97"/>
      <c r="IZX74" s="97"/>
      <c r="IZY74" s="97"/>
      <c r="IZZ74" s="97"/>
      <c r="JAA74" s="97"/>
      <c r="JAB74" s="97"/>
      <c r="JAC74" s="97"/>
      <c r="JAD74" s="97"/>
      <c r="JAE74" s="97"/>
      <c r="JAF74" s="97"/>
      <c r="JAG74" s="97"/>
      <c r="JAH74" s="97"/>
      <c r="JAI74" s="97"/>
      <c r="JAJ74" s="97"/>
      <c r="JAK74" s="97"/>
      <c r="JAL74" s="97"/>
      <c r="JAM74" s="97"/>
      <c r="JAN74" s="97"/>
      <c r="JAO74" s="97"/>
      <c r="JAP74" s="97"/>
      <c r="JAQ74" s="97"/>
      <c r="JAR74" s="97"/>
      <c r="JAS74" s="97"/>
      <c r="JAT74" s="97"/>
      <c r="JAU74" s="97"/>
      <c r="JAV74" s="97"/>
      <c r="JAW74" s="97"/>
      <c r="JAX74" s="97"/>
      <c r="JAY74" s="97"/>
      <c r="JAZ74" s="97"/>
      <c r="JBA74" s="97"/>
      <c r="JBB74" s="97"/>
      <c r="JBC74" s="97"/>
      <c r="JBD74" s="97"/>
      <c r="JBE74" s="97"/>
      <c r="JBF74" s="97"/>
      <c r="JBG74" s="97"/>
      <c r="JBH74" s="97"/>
      <c r="JBI74" s="97"/>
      <c r="JBJ74" s="97"/>
      <c r="JBK74" s="97"/>
      <c r="JBL74" s="97"/>
      <c r="JBM74" s="97"/>
      <c r="JBN74" s="97"/>
      <c r="JBO74" s="97"/>
      <c r="JBP74" s="97"/>
      <c r="JBQ74" s="97"/>
      <c r="JBR74" s="97"/>
      <c r="JBS74" s="97"/>
      <c r="JBT74" s="97"/>
      <c r="JBU74" s="97"/>
      <c r="JBV74" s="97"/>
      <c r="JBW74" s="97"/>
      <c r="JBX74" s="97"/>
      <c r="JBY74" s="97"/>
      <c r="JBZ74" s="97"/>
      <c r="JCA74" s="97"/>
      <c r="JCB74" s="97"/>
      <c r="JCC74" s="97"/>
      <c r="JCD74" s="97"/>
      <c r="JCE74" s="97"/>
      <c r="JCF74" s="97"/>
      <c r="JCG74" s="97"/>
      <c r="JCH74" s="97"/>
      <c r="JCI74" s="97"/>
      <c r="JCJ74" s="97"/>
      <c r="JCK74" s="97"/>
      <c r="JCL74" s="97"/>
      <c r="JCM74" s="97"/>
      <c r="JCN74" s="97"/>
      <c r="JCO74" s="97"/>
      <c r="JCP74" s="97"/>
      <c r="JCQ74" s="97"/>
      <c r="JCR74" s="97"/>
      <c r="JCS74" s="97"/>
      <c r="JCT74" s="97"/>
      <c r="JCU74" s="97"/>
      <c r="JCV74" s="97"/>
      <c r="JCW74" s="97"/>
      <c r="JCX74" s="97"/>
      <c r="JCY74" s="97"/>
      <c r="JCZ74" s="97"/>
      <c r="JDA74" s="97"/>
      <c r="JDB74" s="97"/>
      <c r="JDC74" s="97"/>
      <c r="JDD74" s="97"/>
      <c r="JDE74" s="97"/>
      <c r="JDF74" s="97"/>
      <c r="JDG74" s="97"/>
      <c r="JDH74" s="97"/>
      <c r="JDI74" s="97"/>
      <c r="JDJ74" s="97"/>
      <c r="JDK74" s="97"/>
      <c r="JDL74" s="97"/>
      <c r="JDM74" s="97"/>
      <c r="JDN74" s="97"/>
      <c r="JDO74" s="97"/>
      <c r="JDP74" s="97"/>
      <c r="JDQ74" s="97"/>
      <c r="JDR74" s="97"/>
      <c r="JDS74" s="97"/>
      <c r="JDT74" s="97"/>
      <c r="JDU74" s="97"/>
      <c r="JDV74" s="97"/>
      <c r="JDW74" s="97"/>
      <c r="JDX74" s="97"/>
      <c r="JDY74" s="97"/>
      <c r="JDZ74" s="97"/>
      <c r="JEA74" s="97"/>
      <c r="JEB74" s="97"/>
      <c r="JEC74" s="97"/>
      <c r="JED74" s="97"/>
      <c r="JEE74" s="97"/>
      <c r="JEF74" s="97"/>
      <c r="JEG74" s="97"/>
      <c r="JEH74" s="97"/>
      <c r="JEI74" s="97"/>
      <c r="JEJ74" s="97"/>
      <c r="JEK74" s="97"/>
      <c r="JEL74" s="97"/>
      <c r="JEM74" s="97"/>
      <c r="JEN74" s="97"/>
      <c r="JEO74" s="97"/>
      <c r="JEP74" s="97"/>
      <c r="JEQ74" s="97"/>
      <c r="JER74" s="97"/>
      <c r="JES74" s="97"/>
      <c r="JET74" s="97"/>
      <c r="JEU74" s="97"/>
      <c r="JEV74" s="97"/>
      <c r="JEW74" s="97"/>
      <c r="JEX74" s="97"/>
      <c r="JEY74" s="97"/>
      <c r="JEZ74" s="97"/>
      <c r="JFA74" s="97"/>
      <c r="JFB74" s="97"/>
      <c r="JFC74" s="97"/>
      <c r="JFD74" s="97"/>
      <c r="JFE74" s="97"/>
      <c r="JFF74" s="97"/>
      <c r="JFG74" s="97"/>
      <c r="JFH74" s="97"/>
      <c r="JFI74" s="97"/>
      <c r="JFJ74" s="97"/>
      <c r="JFK74" s="97"/>
      <c r="JFL74" s="97"/>
      <c r="JFM74" s="97"/>
      <c r="JFN74" s="97"/>
      <c r="JFO74" s="97"/>
      <c r="JFP74" s="97"/>
      <c r="JFQ74" s="97"/>
      <c r="JFR74" s="97"/>
      <c r="JFS74" s="97"/>
      <c r="JFT74" s="97"/>
      <c r="JFU74" s="97"/>
      <c r="JFV74" s="97"/>
      <c r="JFW74" s="97"/>
      <c r="JFX74" s="97"/>
      <c r="JFY74" s="97"/>
      <c r="JFZ74" s="97"/>
      <c r="JGA74" s="97"/>
      <c r="JGB74" s="97"/>
      <c r="JGC74" s="97"/>
      <c r="JGD74" s="97"/>
      <c r="JGE74" s="97"/>
      <c r="JGF74" s="97"/>
      <c r="JGG74" s="97"/>
      <c r="JGH74" s="97"/>
      <c r="JGI74" s="97"/>
      <c r="JGJ74" s="97"/>
      <c r="JGK74" s="97"/>
      <c r="JGL74" s="97"/>
      <c r="JGM74" s="97"/>
      <c r="JGN74" s="97"/>
      <c r="JGO74" s="97"/>
      <c r="JGP74" s="97"/>
      <c r="JGQ74" s="97"/>
      <c r="JGR74" s="97"/>
      <c r="JGS74" s="97"/>
      <c r="JGT74" s="97"/>
      <c r="JGU74" s="97"/>
      <c r="JGV74" s="97"/>
      <c r="JGW74" s="97"/>
      <c r="JGX74" s="97"/>
      <c r="JGY74" s="97"/>
      <c r="JGZ74" s="97"/>
      <c r="JHA74" s="97"/>
      <c r="JHB74" s="97"/>
      <c r="JHC74" s="97"/>
      <c r="JHD74" s="97"/>
      <c r="JHE74" s="97"/>
      <c r="JHF74" s="97"/>
      <c r="JHG74" s="97"/>
      <c r="JHH74" s="97"/>
      <c r="JHI74" s="97"/>
      <c r="JHJ74" s="97"/>
      <c r="JHK74" s="97"/>
      <c r="JHL74" s="97"/>
      <c r="JHM74" s="97"/>
      <c r="JHN74" s="97"/>
      <c r="JHO74" s="97"/>
      <c r="JHP74" s="97"/>
      <c r="JHQ74" s="97"/>
      <c r="JHR74" s="97"/>
      <c r="JHS74" s="97"/>
      <c r="JHT74" s="97"/>
      <c r="JHU74" s="97"/>
      <c r="JHV74" s="97"/>
      <c r="JHW74" s="97"/>
      <c r="JHX74" s="97"/>
      <c r="JHY74" s="97"/>
      <c r="JHZ74" s="97"/>
      <c r="JIA74" s="97"/>
      <c r="JIB74" s="97"/>
      <c r="JIC74" s="97"/>
      <c r="JID74" s="97"/>
      <c r="JIE74" s="97"/>
      <c r="JIF74" s="97"/>
      <c r="JIG74" s="97"/>
      <c r="JIH74" s="97"/>
      <c r="JII74" s="97"/>
      <c r="JIJ74" s="97"/>
      <c r="JIK74" s="97"/>
      <c r="JIL74" s="97"/>
      <c r="JIM74" s="97"/>
      <c r="JIN74" s="97"/>
      <c r="JIO74" s="97"/>
      <c r="JIP74" s="97"/>
      <c r="JIQ74" s="97"/>
      <c r="JIR74" s="97"/>
      <c r="JIS74" s="97"/>
      <c r="JIT74" s="97"/>
      <c r="JIU74" s="97"/>
      <c r="JIV74" s="97"/>
      <c r="JIW74" s="97"/>
      <c r="JIX74" s="97"/>
      <c r="JIY74" s="97"/>
      <c r="JIZ74" s="97"/>
      <c r="JJA74" s="97"/>
      <c r="JJB74" s="97"/>
      <c r="JJC74" s="97"/>
      <c r="JJD74" s="97"/>
      <c r="JJE74" s="97"/>
      <c r="JJF74" s="97"/>
      <c r="JJG74" s="97"/>
      <c r="JJH74" s="97"/>
      <c r="JJI74" s="97"/>
      <c r="JJJ74" s="97"/>
      <c r="JJK74" s="97"/>
      <c r="JJL74" s="97"/>
      <c r="JJM74" s="97"/>
      <c r="JJN74" s="97"/>
      <c r="JJO74" s="97"/>
      <c r="JJP74" s="97"/>
      <c r="JJQ74" s="97"/>
      <c r="JJR74" s="97"/>
      <c r="JJS74" s="97"/>
      <c r="JJT74" s="97"/>
      <c r="JJU74" s="97"/>
      <c r="JJV74" s="97"/>
      <c r="JJW74" s="97"/>
      <c r="JJX74" s="97"/>
      <c r="JJY74" s="97"/>
      <c r="JJZ74" s="97"/>
      <c r="JKA74" s="97"/>
      <c r="JKB74" s="97"/>
      <c r="JKC74" s="97"/>
      <c r="JKD74" s="97"/>
      <c r="JKE74" s="97"/>
      <c r="JKF74" s="97"/>
      <c r="JKG74" s="97"/>
      <c r="JKH74" s="97"/>
      <c r="JKI74" s="97"/>
      <c r="JKJ74" s="97"/>
      <c r="JKK74" s="97"/>
      <c r="JKL74" s="97"/>
      <c r="JKM74" s="97"/>
      <c r="JKN74" s="97"/>
      <c r="JKO74" s="97"/>
      <c r="JKP74" s="97"/>
      <c r="JKQ74" s="97"/>
      <c r="JKR74" s="97"/>
      <c r="JKS74" s="97"/>
      <c r="JKT74" s="97"/>
      <c r="JKU74" s="97"/>
      <c r="JKV74" s="97"/>
      <c r="JKW74" s="97"/>
      <c r="JKX74" s="97"/>
      <c r="JKY74" s="97"/>
      <c r="JKZ74" s="97"/>
      <c r="JLA74" s="97"/>
      <c r="JLB74" s="97"/>
      <c r="JLC74" s="97"/>
      <c r="JLD74" s="97"/>
      <c r="JLE74" s="97"/>
      <c r="JLF74" s="97"/>
      <c r="JLG74" s="97"/>
      <c r="JLH74" s="97"/>
      <c r="JLI74" s="97"/>
      <c r="JLJ74" s="97"/>
      <c r="JLK74" s="97"/>
      <c r="JLL74" s="97"/>
      <c r="JLM74" s="97"/>
      <c r="JLN74" s="97"/>
      <c r="JLO74" s="97"/>
      <c r="JLP74" s="97"/>
      <c r="JLQ74" s="97"/>
      <c r="JLR74" s="97"/>
      <c r="JLS74" s="97"/>
      <c r="JLT74" s="97"/>
      <c r="JLU74" s="97"/>
      <c r="JLV74" s="97"/>
      <c r="JLW74" s="97"/>
      <c r="JLX74" s="97"/>
      <c r="JLY74" s="97"/>
      <c r="JLZ74" s="97"/>
      <c r="JMA74" s="97"/>
      <c r="JMB74" s="97"/>
      <c r="JMC74" s="97"/>
      <c r="JMD74" s="97"/>
      <c r="JME74" s="97"/>
      <c r="JMF74" s="97"/>
      <c r="JMG74" s="97"/>
      <c r="JMH74" s="97"/>
      <c r="JMI74" s="97"/>
      <c r="JMJ74" s="97"/>
      <c r="JMK74" s="97"/>
      <c r="JML74" s="97"/>
      <c r="JMM74" s="97"/>
      <c r="JMN74" s="97"/>
      <c r="JMO74" s="97"/>
      <c r="JMP74" s="97"/>
      <c r="JMQ74" s="97"/>
      <c r="JMR74" s="97"/>
      <c r="JMS74" s="97"/>
      <c r="JMT74" s="97"/>
      <c r="JMU74" s="97"/>
      <c r="JMV74" s="97"/>
      <c r="JMW74" s="97"/>
      <c r="JMX74" s="97"/>
      <c r="JMY74" s="97"/>
      <c r="JMZ74" s="97"/>
      <c r="JNA74" s="97"/>
      <c r="JNB74" s="97"/>
      <c r="JNC74" s="97"/>
      <c r="JND74" s="97"/>
      <c r="JNE74" s="97"/>
      <c r="JNF74" s="97"/>
      <c r="JNG74" s="97"/>
      <c r="JNH74" s="97"/>
      <c r="JNI74" s="97"/>
      <c r="JNJ74" s="97"/>
      <c r="JNK74" s="97"/>
      <c r="JNL74" s="97"/>
      <c r="JNM74" s="97"/>
      <c r="JNN74" s="97"/>
      <c r="JNO74" s="97"/>
      <c r="JNP74" s="97"/>
      <c r="JNQ74" s="97"/>
      <c r="JNR74" s="97"/>
      <c r="JNS74" s="97"/>
      <c r="JNT74" s="97"/>
      <c r="JNU74" s="97"/>
      <c r="JNV74" s="97"/>
      <c r="JNW74" s="97"/>
      <c r="JNX74" s="97"/>
      <c r="JNY74" s="97"/>
      <c r="JNZ74" s="97"/>
      <c r="JOA74" s="97"/>
      <c r="JOB74" s="97"/>
      <c r="JOC74" s="97"/>
      <c r="JOD74" s="97"/>
      <c r="JOE74" s="97"/>
      <c r="JOF74" s="97"/>
      <c r="JOG74" s="97"/>
      <c r="JOH74" s="97"/>
      <c r="JOI74" s="97"/>
      <c r="JOJ74" s="97"/>
      <c r="JOK74" s="97"/>
      <c r="JOL74" s="97"/>
      <c r="JOM74" s="97"/>
      <c r="JON74" s="97"/>
      <c r="JOO74" s="97"/>
      <c r="JOP74" s="97"/>
      <c r="JOQ74" s="97"/>
      <c r="JOR74" s="97"/>
      <c r="JOS74" s="97"/>
      <c r="JOT74" s="97"/>
      <c r="JOU74" s="97"/>
      <c r="JOV74" s="97"/>
      <c r="JOW74" s="97"/>
      <c r="JOX74" s="97"/>
      <c r="JOY74" s="97"/>
      <c r="JOZ74" s="97"/>
      <c r="JPA74" s="97"/>
      <c r="JPB74" s="97"/>
      <c r="JPC74" s="97"/>
      <c r="JPD74" s="97"/>
      <c r="JPE74" s="97"/>
      <c r="JPF74" s="97"/>
      <c r="JPG74" s="97"/>
      <c r="JPH74" s="97"/>
      <c r="JPI74" s="97"/>
      <c r="JPJ74" s="97"/>
      <c r="JPK74" s="97"/>
      <c r="JPL74" s="97"/>
      <c r="JPM74" s="97"/>
      <c r="JPN74" s="97"/>
      <c r="JPO74" s="97"/>
      <c r="JPP74" s="97"/>
      <c r="JPQ74" s="97"/>
      <c r="JPR74" s="97"/>
      <c r="JPS74" s="97"/>
      <c r="JPT74" s="97"/>
      <c r="JPU74" s="97"/>
      <c r="JPV74" s="97"/>
      <c r="JPW74" s="97"/>
      <c r="JPX74" s="97"/>
      <c r="JPY74" s="97"/>
      <c r="JPZ74" s="97"/>
      <c r="JQA74" s="97"/>
      <c r="JQB74" s="97"/>
      <c r="JQC74" s="97"/>
      <c r="JQD74" s="97"/>
      <c r="JQE74" s="97"/>
      <c r="JQF74" s="97"/>
      <c r="JQG74" s="97"/>
      <c r="JQH74" s="97"/>
      <c r="JQI74" s="97"/>
      <c r="JQJ74" s="97"/>
      <c r="JQK74" s="97"/>
      <c r="JQL74" s="97"/>
      <c r="JQM74" s="97"/>
      <c r="JQN74" s="97"/>
      <c r="JQO74" s="97"/>
      <c r="JQP74" s="97"/>
      <c r="JQQ74" s="97"/>
      <c r="JQR74" s="97"/>
      <c r="JQS74" s="97"/>
      <c r="JQT74" s="97"/>
      <c r="JQU74" s="97"/>
      <c r="JQV74" s="97"/>
      <c r="JQW74" s="97"/>
      <c r="JQX74" s="97"/>
      <c r="JQY74" s="97"/>
      <c r="JQZ74" s="97"/>
      <c r="JRA74" s="97"/>
      <c r="JRB74" s="97"/>
      <c r="JRC74" s="97"/>
      <c r="JRD74" s="97"/>
      <c r="JRE74" s="97"/>
      <c r="JRF74" s="97"/>
      <c r="JRG74" s="97"/>
      <c r="JRH74" s="97"/>
      <c r="JRI74" s="97"/>
      <c r="JRJ74" s="97"/>
      <c r="JRK74" s="97"/>
      <c r="JRL74" s="97"/>
      <c r="JRM74" s="97"/>
      <c r="JRN74" s="97"/>
      <c r="JRO74" s="97"/>
      <c r="JRP74" s="97"/>
      <c r="JRQ74" s="97"/>
      <c r="JRR74" s="97"/>
      <c r="JRS74" s="97"/>
      <c r="JRT74" s="97"/>
      <c r="JRU74" s="97"/>
      <c r="JRV74" s="97"/>
      <c r="JRW74" s="97"/>
      <c r="JRX74" s="97"/>
      <c r="JRY74" s="97"/>
      <c r="JRZ74" s="97"/>
      <c r="JSA74" s="97"/>
      <c r="JSB74" s="97"/>
      <c r="JSC74" s="97"/>
      <c r="JSD74" s="97"/>
      <c r="JSE74" s="97"/>
      <c r="JSF74" s="97"/>
      <c r="JSG74" s="97"/>
      <c r="JSH74" s="97"/>
      <c r="JSI74" s="97"/>
      <c r="JSJ74" s="97"/>
      <c r="JSK74" s="97"/>
      <c r="JSL74" s="97"/>
      <c r="JSM74" s="97"/>
      <c r="JSN74" s="97"/>
      <c r="JSO74" s="97"/>
      <c r="JSP74" s="97"/>
      <c r="JSQ74" s="97"/>
      <c r="JSR74" s="97"/>
      <c r="JSS74" s="97"/>
      <c r="JST74" s="97"/>
      <c r="JSU74" s="97"/>
      <c r="JSV74" s="97"/>
      <c r="JSW74" s="97"/>
      <c r="JSX74" s="97"/>
      <c r="JSY74" s="97"/>
      <c r="JSZ74" s="97"/>
      <c r="JTA74" s="97"/>
      <c r="JTB74" s="97"/>
      <c r="JTC74" s="97"/>
      <c r="JTD74" s="97"/>
      <c r="JTE74" s="97"/>
      <c r="JTF74" s="97"/>
      <c r="JTG74" s="97"/>
      <c r="JTH74" s="97"/>
      <c r="JTI74" s="97"/>
      <c r="JTJ74" s="97"/>
      <c r="JTK74" s="97"/>
      <c r="JTL74" s="97"/>
      <c r="JTM74" s="97"/>
      <c r="JTN74" s="97"/>
      <c r="JTO74" s="97"/>
      <c r="JTP74" s="97"/>
      <c r="JTQ74" s="97"/>
      <c r="JTR74" s="97"/>
      <c r="JTS74" s="97"/>
      <c r="JTT74" s="97"/>
      <c r="JTU74" s="97"/>
      <c r="JTV74" s="97"/>
      <c r="JTW74" s="97"/>
      <c r="JTX74" s="97"/>
      <c r="JTY74" s="97"/>
      <c r="JTZ74" s="97"/>
      <c r="JUA74" s="97"/>
      <c r="JUB74" s="97"/>
      <c r="JUC74" s="97"/>
      <c r="JUD74" s="97"/>
      <c r="JUE74" s="97"/>
      <c r="JUF74" s="97"/>
      <c r="JUG74" s="97"/>
      <c r="JUH74" s="97"/>
      <c r="JUI74" s="97"/>
      <c r="JUJ74" s="97"/>
      <c r="JUK74" s="97"/>
      <c r="JUL74" s="97"/>
      <c r="JUM74" s="97"/>
      <c r="JUN74" s="97"/>
      <c r="JUO74" s="97"/>
      <c r="JUP74" s="97"/>
      <c r="JUQ74" s="97"/>
      <c r="JUR74" s="97"/>
      <c r="JUS74" s="97"/>
      <c r="JUT74" s="97"/>
      <c r="JUU74" s="97"/>
      <c r="JUV74" s="97"/>
      <c r="JUW74" s="97"/>
      <c r="JUX74" s="97"/>
      <c r="JUY74" s="97"/>
      <c r="JUZ74" s="97"/>
      <c r="JVA74" s="97"/>
      <c r="JVB74" s="97"/>
      <c r="JVC74" s="97"/>
      <c r="JVD74" s="97"/>
      <c r="JVE74" s="97"/>
      <c r="JVF74" s="97"/>
      <c r="JVG74" s="97"/>
      <c r="JVH74" s="97"/>
      <c r="JVI74" s="97"/>
      <c r="JVJ74" s="97"/>
      <c r="JVK74" s="97"/>
      <c r="JVL74" s="97"/>
      <c r="JVM74" s="97"/>
      <c r="JVN74" s="97"/>
      <c r="JVO74" s="97"/>
      <c r="JVP74" s="97"/>
      <c r="JVQ74" s="97"/>
      <c r="JVR74" s="97"/>
      <c r="JVS74" s="97"/>
      <c r="JVT74" s="97"/>
      <c r="JVU74" s="97"/>
      <c r="JVV74" s="97"/>
      <c r="JVW74" s="97"/>
      <c r="JVX74" s="97"/>
      <c r="JVY74" s="97"/>
      <c r="JVZ74" s="97"/>
      <c r="JWA74" s="97"/>
      <c r="JWB74" s="97"/>
      <c r="JWC74" s="97"/>
      <c r="JWD74" s="97"/>
      <c r="JWE74" s="97"/>
      <c r="JWF74" s="97"/>
      <c r="JWG74" s="97"/>
      <c r="JWH74" s="97"/>
      <c r="JWI74" s="97"/>
      <c r="JWJ74" s="97"/>
      <c r="JWK74" s="97"/>
      <c r="JWL74" s="97"/>
      <c r="JWM74" s="97"/>
      <c r="JWN74" s="97"/>
      <c r="JWO74" s="97"/>
      <c r="JWP74" s="97"/>
      <c r="JWQ74" s="97"/>
      <c r="JWR74" s="97"/>
      <c r="JWS74" s="97"/>
      <c r="JWT74" s="97"/>
      <c r="JWU74" s="97"/>
      <c r="JWV74" s="97"/>
      <c r="JWW74" s="97"/>
      <c r="JWX74" s="97"/>
      <c r="JWY74" s="97"/>
      <c r="JWZ74" s="97"/>
      <c r="JXA74" s="97"/>
      <c r="JXB74" s="97"/>
      <c r="JXC74" s="97"/>
      <c r="JXD74" s="97"/>
      <c r="JXE74" s="97"/>
      <c r="JXF74" s="97"/>
      <c r="JXG74" s="97"/>
      <c r="JXH74" s="97"/>
      <c r="JXI74" s="97"/>
      <c r="JXJ74" s="97"/>
      <c r="JXK74" s="97"/>
      <c r="JXL74" s="97"/>
      <c r="JXM74" s="97"/>
      <c r="JXN74" s="97"/>
      <c r="JXO74" s="97"/>
      <c r="JXP74" s="97"/>
      <c r="JXQ74" s="97"/>
      <c r="JXR74" s="97"/>
      <c r="JXS74" s="97"/>
      <c r="JXT74" s="97"/>
      <c r="JXU74" s="97"/>
      <c r="JXV74" s="97"/>
      <c r="JXW74" s="97"/>
      <c r="JXX74" s="97"/>
      <c r="JXY74" s="97"/>
      <c r="JXZ74" s="97"/>
      <c r="JYA74" s="97"/>
      <c r="JYB74" s="97"/>
      <c r="JYC74" s="97"/>
      <c r="JYD74" s="97"/>
      <c r="JYE74" s="97"/>
      <c r="JYF74" s="97"/>
      <c r="JYG74" s="97"/>
      <c r="JYH74" s="97"/>
      <c r="JYI74" s="97"/>
      <c r="JYJ74" s="97"/>
      <c r="JYK74" s="97"/>
      <c r="JYL74" s="97"/>
      <c r="JYM74" s="97"/>
      <c r="JYN74" s="97"/>
      <c r="JYO74" s="97"/>
      <c r="JYP74" s="97"/>
      <c r="JYQ74" s="97"/>
      <c r="JYR74" s="97"/>
      <c r="JYS74" s="97"/>
      <c r="JYT74" s="97"/>
      <c r="JYU74" s="97"/>
      <c r="JYV74" s="97"/>
      <c r="JYW74" s="97"/>
      <c r="JYX74" s="97"/>
      <c r="JYY74" s="97"/>
      <c r="JYZ74" s="97"/>
      <c r="JZA74" s="97"/>
      <c r="JZB74" s="97"/>
      <c r="JZC74" s="97"/>
      <c r="JZD74" s="97"/>
      <c r="JZE74" s="97"/>
      <c r="JZF74" s="97"/>
      <c r="JZG74" s="97"/>
      <c r="JZH74" s="97"/>
      <c r="JZI74" s="97"/>
      <c r="JZJ74" s="97"/>
      <c r="JZK74" s="97"/>
      <c r="JZL74" s="97"/>
      <c r="JZM74" s="97"/>
      <c r="JZN74" s="97"/>
      <c r="JZO74" s="97"/>
      <c r="JZP74" s="97"/>
      <c r="JZQ74" s="97"/>
      <c r="JZR74" s="97"/>
      <c r="JZS74" s="97"/>
      <c r="JZT74" s="97"/>
      <c r="JZU74" s="97"/>
      <c r="JZV74" s="97"/>
      <c r="JZW74" s="97"/>
      <c r="JZX74" s="97"/>
      <c r="JZY74" s="97"/>
      <c r="JZZ74" s="97"/>
      <c r="KAA74" s="97"/>
      <c r="KAB74" s="97"/>
      <c r="KAC74" s="97"/>
      <c r="KAD74" s="97"/>
      <c r="KAE74" s="97"/>
      <c r="KAF74" s="97"/>
      <c r="KAG74" s="97"/>
      <c r="KAH74" s="97"/>
      <c r="KAI74" s="97"/>
      <c r="KAJ74" s="97"/>
      <c r="KAK74" s="97"/>
      <c r="KAL74" s="97"/>
      <c r="KAM74" s="97"/>
      <c r="KAN74" s="97"/>
      <c r="KAO74" s="97"/>
      <c r="KAP74" s="97"/>
      <c r="KAQ74" s="97"/>
      <c r="KAR74" s="97"/>
      <c r="KAS74" s="97"/>
      <c r="KAT74" s="97"/>
      <c r="KAU74" s="97"/>
      <c r="KAV74" s="97"/>
      <c r="KAW74" s="97"/>
      <c r="KAX74" s="97"/>
      <c r="KAY74" s="97"/>
      <c r="KAZ74" s="97"/>
      <c r="KBA74" s="97"/>
      <c r="KBB74" s="97"/>
      <c r="KBC74" s="97"/>
      <c r="KBD74" s="97"/>
      <c r="KBE74" s="97"/>
      <c r="KBF74" s="97"/>
      <c r="KBG74" s="97"/>
      <c r="KBH74" s="97"/>
      <c r="KBI74" s="97"/>
      <c r="KBJ74" s="97"/>
      <c r="KBK74" s="97"/>
      <c r="KBL74" s="97"/>
      <c r="KBM74" s="97"/>
      <c r="KBN74" s="97"/>
      <c r="KBO74" s="97"/>
      <c r="KBP74" s="97"/>
      <c r="KBQ74" s="97"/>
      <c r="KBR74" s="97"/>
      <c r="KBS74" s="97"/>
      <c r="KBT74" s="97"/>
      <c r="KBU74" s="97"/>
      <c r="KBV74" s="97"/>
      <c r="KBW74" s="97"/>
      <c r="KBX74" s="97"/>
      <c r="KBY74" s="97"/>
      <c r="KBZ74" s="97"/>
      <c r="KCA74" s="97"/>
      <c r="KCB74" s="97"/>
      <c r="KCC74" s="97"/>
      <c r="KCD74" s="97"/>
      <c r="KCE74" s="97"/>
      <c r="KCF74" s="97"/>
      <c r="KCG74" s="97"/>
      <c r="KCH74" s="97"/>
      <c r="KCI74" s="97"/>
      <c r="KCJ74" s="97"/>
      <c r="KCK74" s="97"/>
      <c r="KCL74" s="97"/>
      <c r="KCM74" s="97"/>
      <c r="KCN74" s="97"/>
      <c r="KCO74" s="97"/>
      <c r="KCP74" s="97"/>
      <c r="KCQ74" s="97"/>
      <c r="KCR74" s="97"/>
      <c r="KCS74" s="97"/>
      <c r="KCT74" s="97"/>
      <c r="KCU74" s="97"/>
      <c r="KCV74" s="97"/>
      <c r="KCW74" s="97"/>
      <c r="KCX74" s="97"/>
      <c r="KCY74" s="97"/>
      <c r="KCZ74" s="97"/>
      <c r="KDA74" s="97"/>
      <c r="KDB74" s="97"/>
      <c r="KDC74" s="97"/>
      <c r="KDD74" s="97"/>
      <c r="KDE74" s="97"/>
      <c r="KDF74" s="97"/>
      <c r="KDG74" s="97"/>
      <c r="KDH74" s="97"/>
      <c r="KDI74" s="97"/>
      <c r="KDJ74" s="97"/>
      <c r="KDK74" s="97"/>
      <c r="KDL74" s="97"/>
      <c r="KDM74" s="97"/>
      <c r="KDN74" s="97"/>
      <c r="KDO74" s="97"/>
      <c r="KDP74" s="97"/>
      <c r="KDQ74" s="97"/>
      <c r="KDR74" s="97"/>
      <c r="KDS74" s="97"/>
      <c r="KDT74" s="97"/>
      <c r="KDU74" s="97"/>
      <c r="KDV74" s="97"/>
      <c r="KDW74" s="97"/>
      <c r="KDX74" s="97"/>
      <c r="KDY74" s="97"/>
      <c r="KDZ74" s="97"/>
      <c r="KEA74" s="97"/>
      <c r="KEB74" s="97"/>
      <c r="KEC74" s="97"/>
      <c r="KED74" s="97"/>
      <c r="KEE74" s="97"/>
      <c r="KEF74" s="97"/>
      <c r="KEG74" s="97"/>
      <c r="KEH74" s="97"/>
      <c r="KEI74" s="97"/>
      <c r="KEJ74" s="97"/>
      <c r="KEK74" s="97"/>
      <c r="KEL74" s="97"/>
      <c r="KEM74" s="97"/>
      <c r="KEN74" s="97"/>
      <c r="KEO74" s="97"/>
      <c r="KEP74" s="97"/>
      <c r="KEQ74" s="97"/>
      <c r="KER74" s="97"/>
      <c r="KES74" s="97"/>
      <c r="KET74" s="97"/>
      <c r="KEU74" s="97"/>
      <c r="KEV74" s="97"/>
      <c r="KEW74" s="97"/>
      <c r="KEX74" s="97"/>
      <c r="KEY74" s="97"/>
      <c r="KEZ74" s="97"/>
      <c r="KFA74" s="97"/>
      <c r="KFB74" s="97"/>
      <c r="KFC74" s="97"/>
      <c r="KFD74" s="97"/>
      <c r="KFE74" s="97"/>
      <c r="KFF74" s="97"/>
      <c r="KFG74" s="97"/>
      <c r="KFH74" s="97"/>
      <c r="KFI74" s="97"/>
      <c r="KFJ74" s="97"/>
      <c r="KFK74" s="97"/>
      <c r="KFL74" s="97"/>
      <c r="KFM74" s="97"/>
      <c r="KFN74" s="97"/>
      <c r="KFO74" s="97"/>
      <c r="KFP74" s="97"/>
      <c r="KFQ74" s="97"/>
      <c r="KFR74" s="97"/>
      <c r="KFS74" s="97"/>
      <c r="KFT74" s="97"/>
      <c r="KFU74" s="97"/>
      <c r="KFV74" s="97"/>
      <c r="KFW74" s="97"/>
      <c r="KFX74" s="97"/>
      <c r="KFY74" s="97"/>
      <c r="KFZ74" s="97"/>
      <c r="KGA74" s="97"/>
      <c r="KGB74" s="97"/>
      <c r="KGC74" s="97"/>
      <c r="KGD74" s="97"/>
      <c r="KGE74" s="97"/>
      <c r="KGF74" s="97"/>
      <c r="KGG74" s="97"/>
      <c r="KGH74" s="97"/>
      <c r="KGI74" s="97"/>
      <c r="KGJ74" s="97"/>
      <c r="KGK74" s="97"/>
      <c r="KGL74" s="97"/>
      <c r="KGM74" s="97"/>
      <c r="KGN74" s="97"/>
      <c r="KGO74" s="97"/>
      <c r="KGP74" s="97"/>
      <c r="KGQ74" s="97"/>
      <c r="KGR74" s="97"/>
      <c r="KGS74" s="97"/>
      <c r="KGT74" s="97"/>
      <c r="KGU74" s="97"/>
      <c r="KGV74" s="97"/>
      <c r="KGW74" s="97"/>
      <c r="KGX74" s="97"/>
      <c r="KGY74" s="97"/>
      <c r="KGZ74" s="97"/>
      <c r="KHA74" s="97"/>
      <c r="KHB74" s="97"/>
      <c r="KHC74" s="97"/>
      <c r="KHD74" s="97"/>
      <c r="KHE74" s="97"/>
      <c r="KHF74" s="97"/>
      <c r="KHG74" s="97"/>
      <c r="KHH74" s="97"/>
      <c r="KHI74" s="97"/>
      <c r="KHJ74" s="97"/>
      <c r="KHK74" s="97"/>
      <c r="KHL74" s="97"/>
      <c r="KHM74" s="97"/>
      <c r="KHN74" s="97"/>
      <c r="KHO74" s="97"/>
      <c r="KHP74" s="97"/>
      <c r="KHQ74" s="97"/>
      <c r="KHR74" s="97"/>
      <c r="KHS74" s="97"/>
      <c r="KHT74" s="97"/>
      <c r="KHU74" s="97"/>
      <c r="KHV74" s="97"/>
      <c r="KHW74" s="97"/>
      <c r="KHX74" s="97"/>
      <c r="KHY74" s="97"/>
      <c r="KHZ74" s="97"/>
      <c r="KIA74" s="97"/>
      <c r="KIB74" s="97"/>
      <c r="KIC74" s="97"/>
      <c r="KID74" s="97"/>
      <c r="KIE74" s="97"/>
      <c r="KIF74" s="97"/>
      <c r="KIG74" s="97"/>
      <c r="KIH74" s="97"/>
      <c r="KII74" s="97"/>
      <c r="KIJ74" s="97"/>
      <c r="KIK74" s="97"/>
      <c r="KIL74" s="97"/>
      <c r="KIM74" s="97"/>
      <c r="KIN74" s="97"/>
      <c r="KIO74" s="97"/>
      <c r="KIP74" s="97"/>
      <c r="KIQ74" s="97"/>
      <c r="KIR74" s="97"/>
      <c r="KIS74" s="97"/>
      <c r="KIT74" s="97"/>
      <c r="KIU74" s="97"/>
      <c r="KIV74" s="97"/>
      <c r="KIW74" s="97"/>
      <c r="KIX74" s="97"/>
      <c r="KIY74" s="97"/>
      <c r="KIZ74" s="97"/>
      <c r="KJA74" s="97"/>
      <c r="KJB74" s="97"/>
      <c r="KJC74" s="97"/>
      <c r="KJD74" s="97"/>
      <c r="KJE74" s="97"/>
      <c r="KJF74" s="97"/>
      <c r="KJG74" s="97"/>
      <c r="KJH74" s="97"/>
      <c r="KJI74" s="97"/>
      <c r="KJJ74" s="97"/>
      <c r="KJK74" s="97"/>
      <c r="KJL74" s="97"/>
      <c r="KJM74" s="97"/>
      <c r="KJN74" s="97"/>
      <c r="KJO74" s="97"/>
      <c r="KJP74" s="97"/>
      <c r="KJQ74" s="97"/>
      <c r="KJR74" s="97"/>
      <c r="KJS74" s="97"/>
      <c r="KJT74" s="97"/>
      <c r="KJU74" s="97"/>
      <c r="KJV74" s="97"/>
      <c r="KJW74" s="97"/>
      <c r="KJX74" s="97"/>
      <c r="KJY74" s="97"/>
      <c r="KJZ74" s="97"/>
      <c r="KKA74" s="97"/>
      <c r="KKB74" s="97"/>
      <c r="KKC74" s="97"/>
      <c r="KKD74" s="97"/>
      <c r="KKE74" s="97"/>
      <c r="KKF74" s="97"/>
      <c r="KKG74" s="97"/>
      <c r="KKH74" s="97"/>
      <c r="KKI74" s="97"/>
      <c r="KKJ74" s="97"/>
      <c r="KKK74" s="97"/>
      <c r="KKL74" s="97"/>
      <c r="KKM74" s="97"/>
      <c r="KKN74" s="97"/>
      <c r="KKO74" s="97"/>
      <c r="KKP74" s="97"/>
      <c r="KKQ74" s="97"/>
      <c r="KKR74" s="97"/>
      <c r="KKS74" s="97"/>
      <c r="KKT74" s="97"/>
      <c r="KKU74" s="97"/>
      <c r="KKV74" s="97"/>
      <c r="KKW74" s="97"/>
      <c r="KKX74" s="97"/>
      <c r="KKY74" s="97"/>
      <c r="KKZ74" s="97"/>
      <c r="KLA74" s="97"/>
      <c r="KLB74" s="97"/>
      <c r="KLC74" s="97"/>
      <c r="KLD74" s="97"/>
      <c r="KLE74" s="97"/>
      <c r="KLF74" s="97"/>
      <c r="KLG74" s="97"/>
      <c r="KLH74" s="97"/>
      <c r="KLI74" s="97"/>
      <c r="KLJ74" s="97"/>
      <c r="KLK74" s="97"/>
      <c r="KLL74" s="97"/>
      <c r="KLM74" s="97"/>
      <c r="KLN74" s="97"/>
      <c r="KLO74" s="97"/>
      <c r="KLP74" s="97"/>
      <c r="KLQ74" s="97"/>
      <c r="KLR74" s="97"/>
      <c r="KLS74" s="97"/>
      <c r="KLT74" s="97"/>
      <c r="KLU74" s="97"/>
      <c r="KLV74" s="97"/>
      <c r="KLW74" s="97"/>
      <c r="KLX74" s="97"/>
      <c r="KLY74" s="97"/>
      <c r="KLZ74" s="97"/>
      <c r="KMA74" s="97"/>
      <c r="KMB74" s="97"/>
      <c r="KMC74" s="97"/>
      <c r="KMD74" s="97"/>
      <c r="KME74" s="97"/>
      <c r="KMF74" s="97"/>
      <c r="KMG74" s="97"/>
      <c r="KMH74" s="97"/>
      <c r="KMI74" s="97"/>
      <c r="KMJ74" s="97"/>
      <c r="KMK74" s="97"/>
      <c r="KML74" s="97"/>
      <c r="KMM74" s="97"/>
      <c r="KMN74" s="97"/>
      <c r="KMO74" s="97"/>
      <c r="KMP74" s="97"/>
      <c r="KMQ74" s="97"/>
      <c r="KMR74" s="97"/>
      <c r="KMS74" s="97"/>
      <c r="KMT74" s="97"/>
      <c r="KMU74" s="97"/>
      <c r="KMV74" s="97"/>
      <c r="KMW74" s="97"/>
      <c r="KMX74" s="97"/>
      <c r="KMY74" s="97"/>
      <c r="KMZ74" s="97"/>
      <c r="KNA74" s="97"/>
      <c r="KNB74" s="97"/>
      <c r="KNC74" s="97"/>
      <c r="KND74" s="97"/>
      <c r="KNE74" s="97"/>
      <c r="KNF74" s="97"/>
      <c r="KNG74" s="97"/>
      <c r="KNH74" s="97"/>
      <c r="KNI74" s="97"/>
      <c r="KNJ74" s="97"/>
      <c r="KNK74" s="97"/>
      <c r="KNL74" s="97"/>
      <c r="KNM74" s="97"/>
      <c r="KNN74" s="97"/>
      <c r="KNO74" s="97"/>
      <c r="KNP74" s="97"/>
      <c r="KNQ74" s="97"/>
      <c r="KNR74" s="97"/>
      <c r="KNS74" s="97"/>
      <c r="KNT74" s="97"/>
      <c r="KNU74" s="97"/>
      <c r="KNV74" s="97"/>
      <c r="KNW74" s="97"/>
      <c r="KNX74" s="97"/>
      <c r="KNY74" s="97"/>
      <c r="KNZ74" s="97"/>
      <c r="KOA74" s="97"/>
      <c r="KOB74" s="97"/>
      <c r="KOC74" s="97"/>
      <c r="KOD74" s="97"/>
      <c r="KOE74" s="97"/>
      <c r="KOF74" s="97"/>
      <c r="KOG74" s="97"/>
      <c r="KOH74" s="97"/>
      <c r="KOI74" s="97"/>
      <c r="KOJ74" s="97"/>
      <c r="KOK74" s="97"/>
      <c r="KOL74" s="97"/>
      <c r="KOM74" s="97"/>
      <c r="KON74" s="97"/>
      <c r="KOO74" s="97"/>
      <c r="KOP74" s="97"/>
      <c r="KOQ74" s="97"/>
      <c r="KOR74" s="97"/>
      <c r="KOS74" s="97"/>
      <c r="KOT74" s="97"/>
      <c r="KOU74" s="97"/>
      <c r="KOV74" s="97"/>
      <c r="KOW74" s="97"/>
      <c r="KOX74" s="97"/>
      <c r="KOY74" s="97"/>
      <c r="KOZ74" s="97"/>
      <c r="KPA74" s="97"/>
      <c r="KPB74" s="97"/>
      <c r="KPC74" s="97"/>
      <c r="KPD74" s="97"/>
      <c r="KPE74" s="97"/>
      <c r="KPF74" s="97"/>
      <c r="KPG74" s="97"/>
      <c r="KPH74" s="97"/>
      <c r="KPI74" s="97"/>
      <c r="KPJ74" s="97"/>
      <c r="KPK74" s="97"/>
      <c r="KPL74" s="97"/>
      <c r="KPM74" s="97"/>
      <c r="KPN74" s="97"/>
      <c r="KPO74" s="97"/>
      <c r="KPP74" s="97"/>
      <c r="KPQ74" s="97"/>
      <c r="KPR74" s="97"/>
      <c r="KPS74" s="97"/>
      <c r="KPT74" s="97"/>
      <c r="KPU74" s="97"/>
      <c r="KPV74" s="97"/>
      <c r="KPW74" s="97"/>
      <c r="KPX74" s="97"/>
      <c r="KPY74" s="97"/>
      <c r="KPZ74" s="97"/>
      <c r="KQA74" s="97"/>
      <c r="KQB74" s="97"/>
      <c r="KQC74" s="97"/>
      <c r="KQD74" s="97"/>
      <c r="KQE74" s="97"/>
      <c r="KQF74" s="97"/>
      <c r="KQG74" s="97"/>
      <c r="KQH74" s="97"/>
      <c r="KQI74" s="97"/>
      <c r="KQJ74" s="97"/>
      <c r="KQK74" s="97"/>
      <c r="KQL74" s="97"/>
      <c r="KQM74" s="97"/>
      <c r="KQN74" s="97"/>
      <c r="KQO74" s="97"/>
      <c r="KQP74" s="97"/>
      <c r="KQQ74" s="97"/>
      <c r="KQR74" s="97"/>
      <c r="KQS74" s="97"/>
      <c r="KQT74" s="97"/>
      <c r="KQU74" s="97"/>
      <c r="KQV74" s="97"/>
      <c r="KQW74" s="97"/>
      <c r="KQX74" s="97"/>
      <c r="KQY74" s="97"/>
      <c r="KQZ74" s="97"/>
      <c r="KRA74" s="97"/>
      <c r="KRB74" s="97"/>
      <c r="KRC74" s="97"/>
      <c r="KRD74" s="97"/>
      <c r="KRE74" s="97"/>
      <c r="KRF74" s="97"/>
      <c r="KRG74" s="97"/>
      <c r="KRH74" s="97"/>
      <c r="KRI74" s="97"/>
      <c r="KRJ74" s="97"/>
      <c r="KRK74" s="97"/>
      <c r="KRL74" s="97"/>
      <c r="KRM74" s="97"/>
      <c r="KRN74" s="97"/>
      <c r="KRO74" s="97"/>
      <c r="KRP74" s="97"/>
      <c r="KRQ74" s="97"/>
      <c r="KRR74" s="97"/>
      <c r="KRS74" s="97"/>
      <c r="KRT74" s="97"/>
      <c r="KRU74" s="97"/>
      <c r="KRV74" s="97"/>
      <c r="KRW74" s="97"/>
      <c r="KRX74" s="97"/>
      <c r="KRY74" s="97"/>
      <c r="KRZ74" s="97"/>
      <c r="KSA74" s="97"/>
      <c r="KSB74" s="97"/>
      <c r="KSC74" s="97"/>
      <c r="KSD74" s="97"/>
      <c r="KSE74" s="97"/>
      <c r="KSF74" s="97"/>
      <c r="KSG74" s="97"/>
      <c r="KSH74" s="97"/>
      <c r="KSI74" s="97"/>
      <c r="KSJ74" s="97"/>
      <c r="KSK74" s="97"/>
      <c r="KSL74" s="97"/>
      <c r="KSM74" s="97"/>
      <c r="KSN74" s="97"/>
      <c r="KSO74" s="97"/>
      <c r="KSP74" s="97"/>
      <c r="KSQ74" s="97"/>
      <c r="KSR74" s="97"/>
      <c r="KSS74" s="97"/>
      <c r="KST74" s="97"/>
      <c r="KSU74" s="97"/>
      <c r="KSV74" s="97"/>
      <c r="KSW74" s="97"/>
      <c r="KSX74" s="97"/>
      <c r="KSY74" s="97"/>
      <c r="KSZ74" s="97"/>
      <c r="KTA74" s="97"/>
      <c r="KTB74" s="97"/>
      <c r="KTC74" s="97"/>
      <c r="KTD74" s="97"/>
      <c r="KTE74" s="97"/>
      <c r="KTF74" s="97"/>
      <c r="KTG74" s="97"/>
      <c r="KTH74" s="97"/>
      <c r="KTI74" s="97"/>
      <c r="KTJ74" s="97"/>
      <c r="KTK74" s="97"/>
      <c r="KTL74" s="97"/>
      <c r="KTM74" s="97"/>
      <c r="KTN74" s="97"/>
      <c r="KTO74" s="97"/>
      <c r="KTP74" s="97"/>
      <c r="KTQ74" s="97"/>
      <c r="KTR74" s="97"/>
      <c r="KTS74" s="97"/>
      <c r="KTT74" s="97"/>
      <c r="KTU74" s="97"/>
      <c r="KTV74" s="97"/>
      <c r="KTW74" s="97"/>
      <c r="KTX74" s="97"/>
      <c r="KTY74" s="97"/>
      <c r="KTZ74" s="97"/>
      <c r="KUA74" s="97"/>
      <c r="KUB74" s="97"/>
      <c r="KUC74" s="97"/>
      <c r="KUD74" s="97"/>
      <c r="KUE74" s="97"/>
      <c r="KUF74" s="97"/>
      <c r="KUG74" s="97"/>
      <c r="KUH74" s="97"/>
      <c r="KUI74" s="97"/>
      <c r="KUJ74" s="97"/>
      <c r="KUK74" s="97"/>
      <c r="KUL74" s="97"/>
      <c r="KUM74" s="97"/>
      <c r="KUN74" s="97"/>
      <c r="KUO74" s="97"/>
      <c r="KUP74" s="97"/>
      <c r="KUQ74" s="97"/>
      <c r="KUR74" s="97"/>
      <c r="KUS74" s="97"/>
      <c r="KUT74" s="97"/>
      <c r="KUU74" s="97"/>
      <c r="KUV74" s="97"/>
      <c r="KUW74" s="97"/>
      <c r="KUX74" s="97"/>
      <c r="KUY74" s="97"/>
      <c r="KUZ74" s="97"/>
      <c r="KVA74" s="97"/>
      <c r="KVB74" s="97"/>
      <c r="KVC74" s="97"/>
      <c r="KVD74" s="97"/>
      <c r="KVE74" s="97"/>
      <c r="KVF74" s="97"/>
      <c r="KVG74" s="97"/>
      <c r="KVH74" s="97"/>
      <c r="KVI74" s="97"/>
      <c r="KVJ74" s="97"/>
      <c r="KVK74" s="97"/>
      <c r="KVL74" s="97"/>
      <c r="KVM74" s="97"/>
      <c r="KVN74" s="97"/>
      <c r="KVO74" s="97"/>
      <c r="KVP74" s="97"/>
      <c r="KVQ74" s="97"/>
      <c r="KVR74" s="97"/>
      <c r="KVS74" s="97"/>
      <c r="KVT74" s="97"/>
      <c r="KVU74" s="97"/>
      <c r="KVV74" s="97"/>
      <c r="KVW74" s="97"/>
      <c r="KVX74" s="97"/>
      <c r="KVY74" s="97"/>
      <c r="KVZ74" s="97"/>
      <c r="KWA74" s="97"/>
      <c r="KWB74" s="97"/>
      <c r="KWC74" s="97"/>
      <c r="KWD74" s="97"/>
      <c r="KWE74" s="97"/>
      <c r="KWF74" s="97"/>
      <c r="KWG74" s="97"/>
      <c r="KWH74" s="97"/>
      <c r="KWI74" s="97"/>
      <c r="KWJ74" s="97"/>
      <c r="KWK74" s="97"/>
      <c r="KWL74" s="97"/>
      <c r="KWM74" s="97"/>
      <c r="KWN74" s="97"/>
      <c r="KWO74" s="97"/>
      <c r="KWP74" s="97"/>
      <c r="KWQ74" s="97"/>
      <c r="KWR74" s="97"/>
      <c r="KWS74" s="97"/>
      <c r="KWT74" s="97"/>
      <c r="KWU74" s="97"/>
      <c r="KWV74" s="97"/>
      <c r="KWW74" s="97"/>
      <c r="KWX74" s="97"/>
      <c r="KWY74" s="97"/>
      <c r="KWZ74" s="97"/>
      <c r="KXA74" s="97"/>
      <c r="KXB74" s="97"/>
      <c r="KXC74" s="97"/>
      <c r="KXD74" s="97"/>
      <c r="KXE74" s="97"/>
      <c r="KXF74" s="97"/>
      <c r="KXG74" s="97"/>
      <c r="KXH74" s="97"/>
      <c r="KXI74" s="97"/>
      <c r="KXJ74" s="97"/>
      <c r="KXK74" s="97"/>
      <c r="KXL74" s="97"/>
      <c r="KXM74" s="97"/>
      <c r="KXN74" s="97"/>
      <c r="KXO74" s="97"/>
      <c r="KXP74" s="97"/>
      <c r="KXQ74" s="97"/>
      <c r="KXR74" s="97"/>
      <c r="KXS74" s="97"/>
      <c r="KXT74" s="97"/>
      <c r="KXU74" s="97"/>
      <c r="KXV74" s="97"/>
      <c r="KXW74" s="97"/>
      <c r="KXX74" s="97"/>
      <c r="KXY74" s="97"/>
      <c r="KXZ74" s="97"/>
      <c r="KYA74" s="97"/>
      <c r="KYB74" s="97"/>
      <c r="KYC74" s="97"/>
      <c r="KYD74" s="97"/>
      <c r="KYE74" s="97"/>
      <c r="KYF74" s="97"/>
      <c r="KYG74" s="97"/>
      <c r="KYH74" s="97"/>
      <c r="KYI74" s="97"/>
      <c r="KYJ74" s="97"/>
      <c r="KYK74" s="97"/>
      <c r="KYL74" s="97"/>
      <c r="KYM74" s="97"/>
      <c r="KYN74" s="97"/>
      <c r="KYO74" s="97"/>
      <c r="KYP74" s="97"/>
      <c r="KYQ74" s="97"/>
      <c r="KYR74" s="97"/>
      <c r="KYS74" s="97"/>
      <c r="KYT74" s="97"/>
      <c r="KYU74" s="97"/>
      <c r="KYV74" s="97"/>
      <c r="KYW74" s="97"/>
      <c r="KYX74" s="97"/>
      <c r="KYY74" s="97"/>
      <c r="KYZ74" s="97"/>
      <c r="KZA74" s="97"/>
      <c r="KZB74" s="97"/>
      <c r="KZC74" s="97"/>
      <c r="KZD74" s="97"/>
      <c r="KZE74" s="97"/>
      <c r="KZF74" s="97"/>
      <c r="KZG74" s="97"/>
      <c r="KZH74" s="97"/>
      <c r="KZI74" s="97"/>
      <c r="KZJ74" s="97"/>
      <c r="KZK74" s="97"/>
      <c r="KZL74" s="97"/>
      <c r="KZM74" s="97"/>
      <c r="KZN74" s="97"/>
      <c r="KZO74" s="97"/>
      <c r="KZP74" s="97"/>
      <c r="KZQ74" s="97"/>
      <c r="KZR74" s="97"/>
      <c r="KZS74" s="97"/>
      <c r="KZT74" s="97"/>
      <c r="KZU74" s="97"/>
      <c r="KZV74" s="97"/>
      <c r="KZW74" s="97"/>
      <c r="KZX74" s="97"/>
      <c r="KZY74" s="97"/>
      <c r="KZZ74" s="97"/>
      <c r="LAA74" s="97"/>
      <c r="LAB74" s="97"/>
      <c r="LAC74" s="97"/>
      <c r="LAD74" s="97"/>
      <c r="LAE74" s="97"/>
      <c r="LAF74" s="97"/>
      <c r="LAG74" s="97"/>
      <c r="LAH74" s="97"/>
      <c r="LAI74" s="97"/>
      <c r="LAJ74" s="97"/>
      <c r="LAK74" s="97"/>
      <c r="LAL74" s="97"/>
      <c r="LAM74" s="97"/>
      <c r="LAN74" s="97"/>
      <c r="LAO74" s="97"/>
      <c r="LAP74" s="97"/>
      <c r="LAQ74" s="97"/>
      <c r="LAR74" s="97"/>
      <c r="LAS74" s="97"/>
      <c r="LAT74" s="97"/>
      <c r="LAU74" s="97"/>
      <c r="LAV74" s="97"/>
      <c r="LAW74" s="97"/>
      <c r="LAX74" s="97"/>
      <c r="LAY74" s="97"/>
      <c r="LAZ74" s="97"/>
      <c r="LBA74" s="97"/>
      <c r="LBB74" s="97"/>
      <c r="LBC74" s="97"/>
      <c r="LBD74" s="97"/>
      <c r="LBE74" s="97"/>
      <c r="LBF74" s="97"/>
      <c r="LBG74" s="97"/>
      <c r="LBH74" s="97"/>
      <c r="LBI74" s="97"/>
      <c r="LBJ74" s="97"/>
      <c r="LBK74" s="97"/>
      <c r="LBL74" s="97"/>
      <c r="LBM74" s="97"/>
      <c r="LBN74" s="97"/>
      <c r="LBO74" s="97"/>
      <c r="LBP74" s="97"/>
      <c r="LBQ74" s="97"/>
      <c r="LBR74" s="97"/>
      <c r="LBS74" s="97"/>
      <c r="LBT74" s="97"/>
      <c r="LBU74" s="97"/>
      <c r="LBV74" s="97"/>
      <c r="LBW74" s="97"/>
      <c r="LBX74" s="97"/>
      <c r="LBY74" s="97"/>
      <c r="LBZ74" s="97"/>
      <c r="LCA74" s="97"/>
      <c r="LCB74" s="97"/>
      <c r="LCC74" s="97"/>
      <c r="LCD74" s="97"/>
      <c r="LCE74" s="97"/>
      <c r="LCF74" s="97"/>
      <c r="LCG74" s="97"/>
      <c r="LCH74" s="97"/>
      <c r="LCI74" s="97"/>
      <c r="LCJ74" s="97"/>
      <c r="LCK74" s="97"/>
      <c r="LCL74" s="97"/>
      <c r="LCM74" s="97"/>
      <c r="LCN74" s="97"/>
      <c r="LCO74" s="97"/>
      <c r="LCP74" s="97"/>
      <c r="LCQ74" s="97"/>
      <c r="LCR74" s="97"/>
      <c r="LCS74" s="97"/>
      <c r="LCT74" s="97"/>
      <c r="LCU74" s="97"/>
      <c r="LCV74" s="97"/>
      <c r="LCW74" s="97"/>
      <c r="LCX74" s="97"/>
      <c r="LCY74" s="97"/>
      <c r="LCZ74" s="97"/>
      <c r="LDA74" s="97"/>
      <c r="LDB74" s="97"/>
      <c r="LDC74" s="97"/>
      <c r="LDD74" s="97"/>
      <c r="LDE74" s="97"/>
      <c r="LDF74" s="97"/>
      <c r="LDG74" s="97"/>
      <c r="LDH74" s="97"/>
      <c r="LDI74" s="97"/>
      <c r="LDJ74" s="97"/>
      <c r="LDK74" s="97"/>
      <c r="LDL74" s="97"/>
      <c r="LDM74" s="97"/>
      <c r="LDN74" s="97"/>
      <c r="LDO74" s="97"/>
      <c r="LDP74" s="97"/>
      <c r="LDQ74" s="97"/>
      <c r="LDR74" s="97"/>
      <c r="LDS74" s="97"/>
      <c r="LDT74" s="97"/>
      <c r="LDU74" s="97"/>
      <c r="LDV74" s="97"/>
      <c r="LDW74" s="97"/>
      <c r="LDX74" s="97"/>
      <c r="LDY74" s="97"/>
      <c r="LDZ74" s="97"/>
      <c r="LEA74" s="97"/>
      <c r="LEB74" s="97"/>
      <c r="LEC74" s="97"/>
      <c r="LED74" s="97"/>
      <c r="LEE74" s="97"/>
      <c r="LEF74" s="97"/>
      <c r="LEG74" s="97"/>
      <c r="LEH74" s="97"/>
      <c r="LEI74" s="97"/>
      <c r="LEJ74" s="97"/>
      <c r="LEK74" s="97"/>
      <c r="LEL74" s="97"/>
      <c r="LEM74" s="97"/>
      <c r="LEN74" s="97"/>
      <c r="LEO74" s="97"/>
      <c r="LEP74" s="97"/>
      <c r="LEQ74" s="97"/>
      <c r="LER74" s="97"/>
      <c r="LES74" s="97"/>
      <c r="LET74" s="97"/>
      <c r="LEU74" s="97"/>
      <c r="LEV74" s="97"/>
      <c r="LEW74" s="97"/>
      <c r="LEX74" s="97"/>
      <c r="LEY74" s="97"/>
      <c r="LEZ74" s="97"/>
      <c r="LFA74" s="97"/>
      <c r="LFB74" s="97"/>
      <c r="LFC74" s="97"/>
      <c r="LFD74" s="97"/>
      <c r="LFE74" s="97"/>
      <c r="LFF74" s="97"/>
      <c r="LFG74" s="97"/>
      <c r="LFH74" s="97"/>
      <c r="LFI74" s="97"/>
      <c r="LFJ74" s="97"/>
      <c r="LFK74" s="97"/>
      <c r="LFL74" s="97"/>
      <c r="LFM74" s="97"/>
      <c r="LFN74" s="97"/>
      <c r="LFO74" s="97"/>
      <c r="LFP74" s="97"/>
      <c r="LFQ74" s="97"/>
      <c r="LFR74" s="97"/>
      <c r="LFS74" s="97"/>
      <c r="LFT74" s="97"/>
      <c r="LFU74" s="97"/>
      <c r="LFV74" s="97"/>
      <c r="LFW74" s="97"/>
      <c r="LFX74" s="97"/>
      <c r="LFY74" s="97"/>
      <c r="LFZ74" s="97"/>
      <c r="LGA74" s="97"/>
      <c r="LGB74" s="97"/>
      <c r="LGC74" s="97"/>
      <c r="LGD74" s="97"/>
      <c r="LGE74" s="97"/>
      <c r="LGF74" s="97"/>
      <c r="LGG74" s="97"/>
      <c r="LGH74" s="97"/>
      <c r="LGI74" s="97"/>
      <c r="LGJ74" s="97"/>
      <c r="LGK74" s="97"/>
      <c r="LGL74" s="97"/>
      <c r="LGM74" s="97"/>
      <c r="LGN74" s="97"/>
      <c r="LGO74" s="97"/>
      <c r="LGP74" s="97"/>
      <c r="LGQ74" s="97"/>
      <c r="LGR74" s="97"/>
      <c r="LGS74" s="97"/>
      <c r="LGT74" s="97"/>
      <c r="LGU74" s="97"/>
      <c r="LGV74" s="97"/>
      <c r="LGW74" s="97"/>
      <c r="LGX74" s="97"/>
      <c r="LGY74" s="97"/>
      <c r="LGZ74" s="97"/>
      <c r="LHA74" s="97"/>
      <c r="LHB74" s="97"/>
      <c r="LHC74" s="97"/>
      <c r="LHD74" s="97"/>
      <c r="LHE74" s="97"/>
      <c r="LHF74" s="97"/>
      <c r="LHG74" s="97"/>
      <c r="LHH74" s="97"/>
      <c r="LHI74" s="97"/>
      <c r="LHJ74" s="97"/>
      <c r="LHK74" s="97"/>
      <c r="LHL74" s="97"/>
      <c r="LHM74" s="97"/>
      <c r="LHN74" s="97"/>
      <c r="LHO74" s="97"/>
      <c r="LHP74" s="97"/>
      <c r="LHQ74" s="97"/>
      <c r="LHR74" s="97"/>
      <c r="LHS74" s="97"/>
      <c r="LHT74" s="97"/>
      <c r="LHU74" s="97"/>
      <c r="LHV74" s="97"/>
      <c r="LHW74" s="97"/>
      <c r="LHX74" s="97"/>
      <c r="LHY74" s="97"/>
      <c r="LHZ74" s="97"/>
      <c r="LIA74" s="97"/>
      <c r="LIB74" s="97"/>
      <c r="LIC74" s="97"/>
      <c r="LID74" s="97"/>
      <c r="LIE74" s="97"/>
      <c r="LIF74" s="97"/>
      <c r="LIG74" s="97"/>
      <c r="LIH74" s="97"/>
      <c r="LII74" s="97"/>
      <c r="LIJ74" s="97"/>
      <c r="LIK74" s="97"/>
      <c r="LIL74" s="97"/>
      <c r="LIM74" s="97"/>
      <c r="LIN74" s="97"/>
      <c r="LIO74" s="97"/>
      <c r="LIP74" s="97"/>
      <c r="LIQ74" s="97"/>
      <c r="LIR74" s="97"/>
      <c r="LIS74" s="97"/>
      <c r="LIT74" s="97"/>
      <c r="LIU74" s="97"/>
      <c r="LIV74" s="97"/>
      <c r="LIW74" s="97"/>
      <c r="LIX74" s="97"/>
      <c r="LIY74" s="97"/>
      <c r="LIZ74" s="97"/>
      <c r="LJA74" s="97"/>
      <c r="LJB74" s="97"/>
      <c r="LJC74" s="97"/>
      <c r="LJD74" s="97"/>
      <c r="LJE74" s="97"/>
      <c r="LJF74" s="97"/>
      <c r="LJG74" s="97"/>
      <c r="LJH74" s="97"/>
      <c r="LJI74" s="97"/>
      <c r="LJJ74" s="97"/>
      <c r="LJK74" s="97"/>
      <c r="LJL74" s="97"/>
      <c r="LJM74" s="97"/>
      <c r="LJN74" s="97"/>
      <c r="LJO74" s="97"/>
      <c r="LJP74" s="97"/>
      <c r="LJQ74" s="97"/>
      <c r="LJR74" s="97"/>
      <c r="LJS74" s="97"/>
      <c r="LJT74" s="97"/>
      <c r="LJU74" s="97"/>
      <c r="LJV74" s="97"/>
      <c r="LJW74" s="97"/>
      <c r="LJX74" s="97"/>
      <c r="LJY74" s="97"/>
      <c r="LJZ74" s="97"/>
      <c r="LKA74" s="97"/>
      <c r="LKB74" s="97"/>
      <c r="LKC74" s="97"/>
      <c r="LKD74" s="97"/>
      <c r="LKE74" s="97"/>
      <c r="LKF74" s="97"/>
      <c r="LKG74" s="97"/>
      <c r="LKH74" s="97"/>
      <c r="LKI74" s="97"/>
      <c r="LKJ74" s="97"/>
      <c r="LKK74" s="97"/>
      <c r="LKL74" s="97"/>
      <c r="LKM74" s="97"/>
      <c r="LKN74" s="97"/>
      <c r="LKO74" s="97"/>
      <c r="LKP74" s="97"/>
      <c r="LKQ74" s="97"/>
      <c r="LKR74" s="97"/>
      <c r="LKS74" s="97"/>
      <c r="LKT74" s="97"/>
      <c r="LKU74" s="97"/>
      <c r="LKV74" s="97"/>
      <c r="LKW74" s="97"/>
      <c r="LKX74" s="97"/>
      <c r="LKY74" s="97"/>
      <c r="LKZ74" s="97"/>
      <c r="LLA74" s="97"/>
      <c r="LLB74" s="97"/>
      <c r="LLC74" s="97"/>
      <c r="LLD74" s="97"/>
      <c r="LLE74" s="97"/>
      <c r="LLF74" s="97"/>
      <c r="LLG74" s="97"/>
      <c r="LLH74" s="97"/>
      <c r="LLI74" s="97"/>
      <c r="LLJ74" s="97"/>
      <c r="LLK74" s="97"/>
      <c r="LLL74" s="97"/>
      <c r="LLM74" s="97"/>
      <c r="LLN74" s="97"/>
      <c r="LLO74" s="97"/>
      <c r="LLP74" s="97"/>
      <c r="LLQ74" s="97"/>
      <c r="LLR74" s="97"/>
      <c r="LLS74" s="97"/>
      <c r="LLT74" s="97"/>
      <c r="LLU74" s="97"/>
      <c r="LLV74" s="97"/>
      <c r="LLW74" s="97"/>
      <c r="LLX74" s="97"/>
      <c r="LLY74" s="97"/>
      <c r="LLZ74" s="97"/>
      <c r="LMA74" s="97"/>
      <c r="LMB74" s="97"/>
      <c r="LMC74" s="97"/>
      <c r="LMD74" s="97"/>
      <c r="LME74" s="97"/>
      <c r="LMF74" s="97"/>
      <c r="LMG74" s="97"/>
      <c r="LMH74" s="97"/>
      <c r="LMI74" s="97"/>
      <c r="LMJ74" s="97"/>
      <c r="LMK74" s="97"/>
      <c r="LML74" s="97"/>
      <c r="LMM74" s="97"/>
      <c r="LMN74" s="97"/>
      <c r="LMO74" s="97"/>
      <c r="LMP74" s="97"/>
      <c r="LMQ74" s="97"/>
      <c r="LMR74" s="97"/>
      <c r="LMS74" s="97"/>
      <c r="LMT74" s="97"/>
      <c r="LMU74" s="97"/>
      <c r="LMV74" s="97"/>
      <c r="LMW74" s="97"/>
      <c r="LMX74" s="97"/>
      <c r="LMY74" s="97"/>
      <c r="LMZ74" s="97"/>
      <c r="LNA74" s="97"/>
      <c r="LNB74" s="97"/>
      <c r="LNC74" s="97"/>
      <c r="LND74" s="97"/>
      <c r="LNE74" s="97"/>
      <c r="LNF74" s="97"/>
      <c r="LNG74" s="97"/>
      <c r="LNH74" s="97"/>
      <c r="LNI74" s="97"/>
      <c r="LNJ74" s="97"/>
      <c r="LNK74" s="97"/>
      <c r="LNL74" s="97"/>
      <c r="LNM74" s="97"/>
      <c r="LNN74" s="97"/>
      <c r="LNO74" s="97"/>
      <c r="LNP74" s="97"/>
      <c r="LNQ74" s="97"/>
      <c r="LNR74" s="97"/>
      <c r="LNS74" s="97"/>
      <c r="LNT74" s="97"/>
      <c r="LNU74" s="97"/>
      <c r="LNV74" s="97"/>
      <c r="LNW74" s="97"/>
      <c r="LNX74" s="97"/>
      <c r="LNY74" s="97"/>
      <c r="LNZ74" s="97"/>
      <c r="LOA74" s="97"/>
      <c r="LOB74" s="97"/>
      <c r="LOC74" s="97"/>
      <c r="LOD74" s="97"/>
      <c r="LOE74" s="97"/>
      <c r="LOF74" s="97"/>
      <c r="LOG74" s="97"/>
      <c r="LOH74" s="97"/>
      <c r="LOI74" s="97"/>
      <c r="LOJ74" s="97"/>
      <c r="LOK74" s="97"/>
      <c r="LOL74" s="97"/>
      <c r="LOM74" s="97"/>
      <c r="LON74" s="97"/>
      <c r="LOO74" s="97"/>
      <c r="LOP74" s="97"/>
      <c r="LOQ74" s="97"/>
      <c r="LOR74" s="97"/>
      <c r="LOS74" s="97"/>
      <c r="LOT74" s="97"/>
      <c r="LOU74" s="97"/>
      <c r="LOV74" s="97"/>
      <c r="LOW74" s="97"/>
      <c r="LOX74" s="97"/>
      <c r="LOY74" s="97"/>
      <c r="LOZ74" s="97"/>
      <c r="LPA74" s="97"/>
      <c r="LPB74" s="97"/>
      <c r="LPC74" s="97"/>
      <c r="LPD74" s="97"/>
      <c r="LPE74" s="97"/>
      <c r="LPF74" s="97"/>
      <c r="LPG74" s="97"/>
      <c r="LPH74" s="97"/>
      <c r="LPI74" s="97"/>
      <c r="LPJ74" s="97"/>
      <c r="LPK74" s="97"/>
      <c r="LPL74" s="97"/>
      <c r="LPM74" s="97"/>
      <c r="LPN74" s="97"/>
      <c r="LPO74" s="97"/>
      <c r="LPP74" s="97"/>
      <c r="LPQ74" s="97"/>
      <c r="LPR74" s="97"/>
      <c r="LPS74" s="97"/>
      <c r="LPT74" s="97"/>
      <c r="LPU74" s="97"/>
      <c r="LPV74" s="97"/>
      <c r="LPW74" s="97"/>
      <c r="LPX74" s="97"/>
      <c r="LPY74" s="97"/>
      <c r="LPZ74" s="97"/>
      <c r="LQA74" s="97"/>
      <c r="LQB74" s="97"/>
      <c r="LQC74" s="97"/>
      <c r="LQD74" s="97"/>
      <c r="LQE74" s="97"/>
      <c r="LQF74" s="97"/>
      <c r="LQG74" s="97"/>
      <c r="LQH74" s="97"/>
      <c r="LQI74" s="97"/>
      <c r="LQJ74" s="97"/>
      <c r="LQK74" s="97"/>
      <c r="LQL74" s="97"/>
      <c r="LQM74" s="97"/>
      <c r="LQN74" s="97"/>
      <c r="LQO74" s="97"/>
      <c r="LQP74" s="97"/>
      <c r="LQQ74" s="97"/>
      <c r="LQR74" s="97"/>
      <c r="LQS74" s="97"/>
      <c r="LQT74" s="97"/>
      <c r="LQU74" s="97"/>
      <c r="LQV74" s="97"/>
      <c r="LQW74" s="97"/>
      <c r="LQX74" s="97"/>
      <c r="LQY74" s="97"/>
      <c r="LQZ74" s="97"/>
      <c r="LRA74" s="97"/>
      <c r="LRB74" s="97"/>
      <c r="LRC74" s="97"/>
      <c r="LRD74" s="97"/>
      <c r="LRE74" s="97"/>
      <c r="LRF74" s="97"/>
      <c r="LRG74" s="97"/>
      <c r="LRH74" s="97"/>
      <c r="LRI74" s="97"/>
      <c r="LRJ74" s="97"/>
      <c r="LRK74" s="97"/>
      <c r="LRL74" s="97"/>
      <c r="LRM74" s="97"/>
      <c r="LRN74" s="97"/>
      <c r="LRO74" s="97"/>
      <c r="LRP74" s="97"/>
      <c r="LRQ74" s="97"/>
      <c r="LRR74" s="97"/>
      <c r="LRS74" s="97"/>
      <c r="LRT74" s="97"/>
      <c r="LRU74" s="97"/>
      <c r="LRV74" s="97"/>
      <c r="LRW74" s="97"/>
      <c r="LRX74" s="97"/>
      <c r="LRY74" s="97"/>
      <c r="LRZ74" s="97"/>
      <c r="LSA74" s="97"/>
      <c r="LSB74" s="97"/>
      <c r="LSC74" s="97"/>
      <c r="LSD74" s="97"/>
      <c r="LSE74" s="97"/>
      <c r="LSF74" s="97"/>
      <c r="LSG74" s="97"/>
      <c r="LSH74" s="97"/>
      <c r="LSI74" s="97"/>
      <c r="LSJ74" s="97"/>
      <c r="LSK74" s="97"/>
      <c r="LSL74" s="97"/>
      <c r="LSM74" s="97"/>
      <c r="LSN74" s="97"/>
      <c r="LSO74" s="97"/>
      <c r="LSP74" s="97"/>
      <c r="LSQ74" s="97"/>
      <c r="LSR74" s="97"/>
      <c r="LSS74" s="97"/>
      <c r="LST74" s="97"/>
      <c r="LSU74" s="97"/>
      <c r="LSV74" s="97"/>
      <c r="LSW74" s="97"/>
      <c r="LSX74" s="97"/>
      <c r="LSY74" s="97"/>
      <c r="LSZ74" s="97"/>
      <c r="LTA74" s="97"/>
      <c r="LTB74" s="97"/>
      <c r="LTC74" s="97"/>
      <c r="LTD74" s="97"/>
      <c r="LTE74" s="97"/>
      <c r="LTF74" s="97"/>
      <c r="LTG74" s="97"/>
      <c r="LTH74" s="97"/>
      <c r="LTI74" s="97"/>
      <c r="LTJ74" s="97"/>
      <c r="LTK74" s="97"/>
      <c r="LTL74" s="97"/>
      <c r="LTM74" s="97"/>
      <c r="LTN74" s="97"/>
      <c r="LTO74" s="97"/>
      <c r="LTP74" s="97"/>
      <c r="LTQ74" s="97"/>
      <c r="LTR74" s="97"/>
      <c r="LTS74" s="97"/>
      <c r="LTT74" s="97"/>
      <c r="LTU74" s="97"/>
      <c r="LTV74" s="97"/>
      <c r="LTW74" s="97"/>
      <c r="LTX74" s="97"/>
      <c r="LTY74" s="97"/>
      <c r="LTZ74" s="97"/>
      <c r="LUA74" s="97"/>
      <c r="LUB74" s="97"/>
      <c r="LUC74" s="97"/>
      <c r="LUD74" s="97"/>
      <c r="LUE74" s="97"/>
      <c r="LUF74" s="97"/>
      <c r="LUG74" s="97"/>
      <c r="LUH74" s="97"/>
      <c r="LUI74" s="97"/>
      <c r="LUJ74" s="97"/>
      <c r="LUK74" s="97"/>
      <c r="LUL74" s="97"/>
      <c r="LUM74" s="97"/>
      <c r="LUN74" s="97"/>
      <c r="LUO74" s="97"/>
      <c r="LUP74" s="97"/>
      <c r="LUQ74" s="97"/>
      <c r="LUR74" s="97"/>
      <c r="LUS74" s="97"/>
      <c r="LUT74" s="97"/>
      <c r="LUU74" s="97"/>
      <c r="LUV74" s="97"/>
      <c r="LUW74" s="97"/>
      <c r="LUX74" s="97"/>
      <c r="LUY74" s="97"/>
      <c r="LUZ74" s="97"/>
      <c r="LVA74" s="97"/>
      <c r="LVB74" s="97"/>
      <c r="LVC74" s="97"/>
      <c r="LVD74" s="97"/>
      <c r="LVE74" s="97"/>
      <c r="LVF74" s="97"/>
      <c r="LVG74" s="97"/>
      <c r="LVH74" s="97"/>
      <c r="LVI74" s="97"/>
      <c r="LVJ74" s="97"/>
      <c r="LVK74" s="97"/>
      <c r="LVL74" s="97"/>
      <c r="LVM74" s="97"/>
      <c r="LVN74" s="97"/>
      <c r="LVO74" s="97"/>
      <c r="LVP74" s="97"/>
      <c r="LVQ74" s="97"/>
      <c r="LVR74" s="97"/>
      <c r="LVS74" s="97"/>
      <c r="LVT74" s="97"/>
      <c r="LVU74" s="97"/>
      <c r="LVV74" s="97"/>
      <c r="LVW74" s="97"/>
      <c r="LVX74" s="97"/>
      <c r="LVY74" s="97"/>
      <c r="LVZ74" s="97"/>
      <c r="LWA74" s="97"/>
      <c r="LWB74" s="97"/>
      <c r="LWC74" s="97"/>
      <c r="LWD74" s="97"/>
      <c r="LWE74" s="97"/>
      <c r="LWF74" s="97"/>
      <c r="LWG74" s="97"/>
      <c r="LWH74" s="97"/>
      <c r="LWI74" s="97"/>
      <c r="LWJ74" s="97"/>
      <c r="LWK74" s="97"/>
      <c r="LWL74" s="97"/>
      <c r="LWM74" s="97"/>
      <c r="LWN74" s="97"/>
      <c r="LWO74" s="97"/>
      <c r="LWP74" s="97"/>
      <c r="LWQ74" s="97"/>
      <c r="LWR74" s="97"/>
      <c r="LWS74" s="97"/>
      <c r="LWT74" s="97"/>
      <c r="LWU74" s="97"/>
      <c r="LWV74" s="97"/>
      <c r="LWW74" s="97"/>
      <c r="LWX74" s="97"/>
      <c r="LWY74" s="97"/>
      <c r="LWZ74" s="97"/>
      <c r="LXA74" s="97"/>
      <c r="LXB74" s="97"/>
      <c r="LXC74" s="97"/>
      <c r="LXD74" s="97"/>
      <c r="LXE74" s="97"/>
      <c r="LXF74" s="97"/>
      <c r="LXG74" s="97"/>
      <c r="LXH74" s="97"/>
      <c r="LXI74" s="97"/>
      <c r="LXJ74" s="97"/>
      <c r="LXK74" s="97"/>
      <c r="LXL74" s="97"/>
      <c r="LXM74" s="97"/>
      <c r="LXN74" s="97"/>
      <c r="LXO74" s="97"/>
      <c r="LXP74" s="97"/>
      <c r="LXQ74" s="97"/>
      <c r="LXR74" s="97"/>
      <c r="LXS74" s="97"/>
      <c r="LXT74" s="97"/>
      <c r="LXU74" s="97"/>
      <c r="LXV74" s="97"/>
      <c r="LXW74" s="97"/>
      <c r="LXX74" s="97"/>
      <c r="LXY74" s="97"/>
      <c r="LXZ74" s="97"/>
      <c r="LYA74" s="97"/>
      <c r="LYB74" s="97"/>
      <c r="LYC74" s="97"/>
      <c r="LYD74" s="97"/>
      <c r="LYE74" s="97"/>
      <c r="LYF74" s="97"/>
      <c r="LYG74" s="97"/>
      <c r="LYH74" s="97"/>
      <c r="LYI74" s="97"/>
      <c r="LYJ74" s="97"/>
      <c r="LYK74" s="97"/>
      <c r="LYL74" s="97"/>
      <c r="LYM74" s="97"/>
      <c r="LYN74" s="97"/>
      <c r="LYO74" s="97"/>
      <c r="LYP74" s="97"/>
      <c r="LYQ74" s="97"/>
      <c r="LYR74" s="97"/>
      <c r="LYS74" s="97"/>
      <c r="LYT74" s="97"/>
      <c r="LYU74" s="97"/>
      <c r="LYV74" s="97"/>
      <c r="LYW74" s="97"/>
      <c r="LYX74" s="97"/>
      <c r="LYY74" s="97"/>
      <c r="LYZ74" s="97"/>
      <c r="LZA74" s="97"/>
      <c r="LZB74" s="97"/>
      <c r="LZC74" s="97"/>
      <c r="LZD74" s="97"/>
      <c r="LZE74" s="97"/>
      <c r="LZF74" s="97"/>
      <c r="LZG74" s="97"/>
      <c r="LZH74" s="97"/>
      <c r="LZI74" s="97"/>
      <c r="LZJ74" s="97"/>
      <c r="LZK74" s="97"/>
      <c r="LZL74" s="97"/>
      <c r="LZM74" s="97"/>
      <c r="LZN74" s="97"/>
      <c r="LZO74" s="97"/>
      <c r="LZP74" s="97"/>
      <c r="LZQ74" s="97"/>
      <c r="LZR74" s="97"/>
      <c r="LZS74" s="97"/>
      <c r="LZT74" s="97"/>
      <c r="LZU74" s="97"/>
      <c r="LZV74" s="97"/>
      <c r="LZW74" s="97"/>
      <c r="LZX74" s="97"/>
      <c r="LZY74" s="97"/>
      <c r="LZZ74" s="97"/>
      <c r="MAA74" s="97"/>
      <c r="MAB74" s="97"/>
      <c r="MAC74" s="97"/>
      <c r="MAD74" s="97"/>
      <c r="MAE74" s="97"/>
      <c r="MAF74" s="97"/>
      <c r="MAG74" s="97"/>
      <c r="MAH74" s="97"/>
      <c r="MAI74" s="97"/>
      <c r="MAJ74" s="97"/>
      <c r="MAK74" s="97"/>
      <c r="MAL74" s="97"/>
      <c r="MAM74" s="97"/>
      <c r="MAN74" s="97"/>
      <c r="MAO74" s="97"/>
      <c r="MAP74" s="97"/>
      <c r="MAQ74" s="97"/>
      <c r="MAR74" s="97"/>
      <c r="MAS74" s="97"/>
      <c r="MAT74" s="97"/>
      <c r="MAU74" s="97"/>
      <c r="MAV74" s="97"/>
      <c r="MAW74" s="97"/>
      <c r="MAX74" s="97"/>
      <c r="MAY74" s="97"/>
      <c r="MAZ74" s="97"/>
      <c r="MBA74" s="97"/>
      <c r="MBB74" s="97"/>
      <c r="MBC74" s="97"/>
      <c r="MBD74" s="97"/>
      <c r="MBE74" s="97"/>
      <c r="MBF74" s="97"/>
      <c r="MBG74" s="97"/>
      <c r="MBH74" s="97"/>
      <c r="MBI74" s="97"/>
      <c r="MBJ74" s="97"/>
      <c r="MBK74" s="97"/>
      <c r="MBL74" s="97"/>
      <c r="MBM74" s="97"/>
      <c r="MBN74" s="97"/>
      <c r="MBO74" s="97"/>
      <c r="MBP74" s="97"/>
      <c r="MBQ74" s="97"/>
      <c r="MBR74" s="97"/>
      <c r="MBS74" s="97"/>
      <c r="MBT74" s="97"/>
      <c r="MBU74" s="97"/>
      <c r="MBV74" s="97"/>
      <c r="MBW74" s="97"/>
      <c r="MBX74" s="97"/>
      <c r="MBY74" s="97"/>
      <c r="MBZ74" s="97"/>
      <c r="MCA74" s="97"/>
      <c r="MCB74" s="97"/>
      <c r="MCC74" s="97"/>
      <c r="MCD74" s="97"/>
      <c r="MCE74" s="97"/>
      <c r="MCF74" s="97"/>
      <c r="MCG74" s="97"/>
      <c r="MCH74" s="97"/>
      <c r="MCI74" s="97"/>
      <c r="MCJ74" s="97"/>
      <c r="MCK74" s="97"/>
      <c r="MCL74" s="97"/>
      <c r="MCM74" s="97"/>
      <c r="MCN74" s="97"/>
      <c r="MCO74" s="97"/>
      <c r="MCP74" s="97"/>
      <c r="MCQ74" s="97"/>
      <c r="MCR74" s="97"/>
      <c r="MCS74" s="97"/>
      <c r="MCT74" s="97"/>
      <c r="MCU74" s="97"/>
      <c r="MCV74" s="97"/>
      <c r="MCW74" s="97"/>
      <c r="MCX74" s="97"/>
      <c r="MCY74" s="97"/>
      <c r="MCZ74" s="97"/>
      <c r="MDA74" s="97"/>
      <c r="MDB74" s="97"/>
      <c r="MDC74" s="97"/>
      <c r="MDD74" s="97"/>
      <c r="MDE74" s="97"/>
      <c r="MDF74" s="97"/>
      <c r="MDG74" s="97"/>
      <c r="MDH74" s="97"/>
      <c r="MDI74" s="97"/>
      <c r="MDJ74" s="97"/>
      <c r="MDK74" s="97"/>
      <c r="MDL74" s="97"/>
      <c r="MDM74" s="97"/>
      <c r="MDN74" s="97"/>
      <c r="MDO74" s="97"/>
      <c r="MDP74" s="97"/>
      <c r="MDQ74" s="97"/>
      <c r="MDR74" s="97"/>
      <c r="MDS74" s="97"/>
      <c r="MDT74" s="97"/>
      <c r="MDU74" s="97"/>
      <c r="MDV74" s="97"/>
      <c r="MDW74" s="97"/>
      <c r="MDX74" s="97"/>
      <c r="MDY74" s="97"/>
      <c r="MDZ74" s="97"/>
      <c r="MEA74" s="97"/>
      <c r="MEB74" s="97"/>
      <c r="MEC74" s="97"/>
      <c r="MED74" s="97"/>
      <c r="MEE74" s="97"/>
      <c r="MEF74" s="97"/>
      <c r="MEG74" s="97"/>
      <c r="MEH74" s="97"/>
      <c r="MEI74" s="97"/>
      <c r="MEJ74" s="97"/>
      <c r="MEK74" s="97"/>
      <c r="MEL74" s="97"/>
      <c r="MEM74" s="97"/>
      <c r="MEN74" s="97"/>
      <c r="MEO74" s="97"/>
      <c r="MEP74" s="97"/>
      <c r="MEQ74" s="97"/>
      <c r="MER74" s="97"/>
      <c r="MES74" s="97"/>
      <c r="MET74" s="97"/>
      <c r="MEU74" s="97"/>
      <c r="MEV74" s="97"/>
      <c r="MEW74" s="97"/>
      <c r="MEX74" s="97"/>
      <c r="MEY74" s="97"/>
      <c r="MEZ74" s="97"/>
      <c r="MFA74" s="97"/>
      <c r="MFB74" s="97"/>
      <c r="MFC74" s="97"/>
      <c r="MFD74" s="97"/>
      <c r="MFE74" s="97"/>
      <c r="MFF74" s="97"/>
      <c r="MFG74" s="97"/>
      <c r="MFH74" s="97"/>
      <c r="MFI74" s="97"/>
      <c r="MFJ74" s="97"/>
      <c r="MFK74" s="97"/>
      <c r="MFL74" s="97"/>
      <c r="MFM74" s="97"/>
      <c r="MFN74" s="97"/>
      <c r="MFO74" s="97"/>
      <c r="MFP74" s="97"/>
      <c r="MFQ74" s="97"/>
      <c r="MFR74" s="97"/>
      <c r="MFS74" s="97"/>
      <c r="MFT74" s="97"/>
      <c r="MFU74" s="97"/>
      <c r="MFV74" s="97"/>
      <c r="MFW74" s="97"/>
      <c r="MFX74" s="97"/>
      <c r="MFY74" s="97"/>
      <c r="MFZ74" s="97"/>
      <c r="MGA74" s="97"/>
      <c r="MGB74" s="97"/>
      <c r="MGC74" s="97"/>
      <c r="MGD74" s="97"/>
      <c r="MGE74" s="97"/>
      <c r="MGF74" s="97"/>
      <c r="MGG74" s="97"/>
      <c r="MGH74" s="97"/>
      <c r="MGI74" s="97"/>
      <c r="MGJ74" s="97"/>
      <c r="MGK74" s="97"/>
      <c r="MGL74" s="97"/>
      <c r="MGM74" s="97"/>
      <c r="MGN74" s="97"/>
      <c r="MGO74" s="97"/>
      <c r="MGP74" s="97"/>
      <c r="MGQ74" s="97"/>
      <c r="MGR74" s="97"/>
      <c r="MGS74" s="97"/>
      <c r="MGT74" s="97"/>
      <c r="MGU74" s="97"/>
      <c r="MGV74" s="97"/>
      <c r="MGW74" s="97"/>
      <c r="MGX74" s="97"/>
      <c r="MGY74" s="97"/>
      <c r="MGZ74" s="97"/>
      <c r="MHA74" s="97"/>
      <c r="MHB74" s="97"/>
      <c r="MHC74" s="97"/>
      <c r="MHD74" s="97"/>
      <c r="MHE74" s="97"/>
      <c r="MHF74" s="97"/>
      <c r="MHG74" s="97"/>
      <c r="MHH74" s="97"/>
      <c r="MHI74" s="97"/>
      <c r="MHJ74" s="97"/>
      <c r="MHK74" s="97"/>
      <c r="MHL74" s="97"/>
      <c r="MHM74" s="97"/>
      <c r="MHN74" s="97"/>
      <c r="MHO74" s="97"/>
      <c r="MHP74" s="97"/>
      <c r="MHQ74" s="97"/>
      <c r="MHR74" s="97"/>
      <c r="MHS74" s="97"/>
      <c r="MHT74" s="97"/>
      <c r="MHU74" s="97"/>
      <c r="MHV74" s="97"/>
      <c r="MHW74" s="97"/>
      <c r="MHX74" s="97"/>
      <c r="MHY74" s="97"/>
      <c r="MHZ74" s="97"/>
      <c r="MIA74" s="97"/>
      <c r="MIB74" s="97"/>
      <c r="MIC74" s="97"/>
      <c r="MID74" s="97"/>
      <c r="MIE74" s="97"/>
      <c r="MIF74" s="97"/>
      <c r="MIG74" s="97"/>
      <c r="MIH74" s="97"/>
      <c r="MII74" s="97"/>
      <c r="MIJ74" s="97"/>
      <c r="MIK74" s="97"/>
      <c r="MIL74" s="97"/>
      <c r="MIM74" s="97"/>
      <c r="MIN74" s="97"/>
      <c r="MIO74" s="97"/>
      <c r="MIP74" s="97"/>
      <c r="MIQ74" s="97"/>
      <c r="MIR74" s="97"/>
      <c r="MIS74" s="97"/>
      <c r="MIT74" s="97"/>
      <c r="MIU74" s="97"/>
      <c r="MIV74" s="97"/>
      <c r="MIW74" s="97"/>
      <c r="MIX74" s="97"/>
      <c r="MIY74" s="97"/>
      <c r="MIZ74" s="97"/>
      <c r="MJA74" s="97"/>
      <c r="MJB74" s="97"/>
      <c r="MJC74" s="97"/>
      <c r="MJD74" s="97"/>
      <c r="MJE74" s="97"/>
      <c r="MJF74" s="97"/>
      <c r="MJG74" s="97"/>
      <c r="MJH74" s="97"/>
      <c r="MJI74" s="97"/>
      <c r="MJJ74" s="97"/>
      <c r="MJK74" s="97"/>
      <c r="MJL74" s="97"/>
      <c r="MJM74" s="97"/>
      <c r="MJN74" s="97"/>
      <c r="MJO74" s="97"/>
      <c r="MJP74" s="97"/>
      <c r="MJQ74" s="97"/>
      <c r="MJR74" s="97"/>
      <c r="MJS74" s="97"/>
      <c r="MJT74" s="97"/>
      <c r="MJU74" s="97"/>
      <c r="MJV74" s="97"/>
      <c r="MJW74" s="97"/>
      <c r="MJX74" s="97"/>
      <c r="MJY74" s="97"/>
      <c r="MJZ74" s="97"/>
      <c r="MKA74" s="97"/>
      <c r="MKB74" s="97"/>
      <c r="MKC74" s="97"/>
      <c r="MKD74" s="97"/>
      <c r="MKE74" s="97"/>
      <c r="MKF74" s="97"/>
      <c r="MKG74" s="97"/>
      <c r="MKH74" s="97"/>
      <c r="MKI74" s="97"/>
      <c r="MKJ74" s="97"/>
      <c r="MKK74" s="97"/>
      <c r="MKL74" s="97"/>
      <c r="MKM74" s="97"/>
      <c r="MKN74" s="97"/>
      <c r="MKO74" s="97"/>
      <c r="MKP74" s="97"/>
      <c r="MKQ74" s="97"/>
      <c r="MKR74" s="97"/>
      <c r="MKS74" s="97"/>
      <c r="MKT74" s="97"/>
      <c r="MKU74" s="97"/>
      <c r="MKV74" s="97"/>
      <c r="MKW74" s="97"/>
      <c r="MKX74" s="97"/>
      <c r="MKY74" s="97"/>
      <c r="MKZ74" s="97"/>
      <c r="MLA74" s="97"/>
      <c r="MLB74" s="97"/>
      <c r="MLC74" s="97"/>
      <c r="MLD74" s="97"/>
      <c r="MLE74" s="97"/>
      <c r="MLF74" s="97"/>
      <c r="MLG74" s="97"/>
      <c r="MLH74" s="97"/>
      <c r="MLI74" s="97"/>
      <c r="MLJ74" s="97"/>
      <c r="MLK74" s="97"/>
      <c r="MLL74" s="97"/>
      <c r="MLM74" s="97"/>
      <c r="MLN74" s="97"/>
      <c r="MLO74" s="97"/>
      <c r="MLP74" s="97"/>
      <c r="MLQ74" s="97"/>
      <c r="MLR74" s="97"/>
      <c r="MLS74" s="97"/>
      <c r="MLT74" s="97"/>
      <c r="MLU74" s="97"/>
      <c r="MLV74" s="97"/>
      <c r="MLW74" s="97"/>
      <c r="MLX74" s="97"/>
      <c r="MLY74" s="97"/>
      <c r="MLZ74" s="97"/>
      <c r="MMA74" s="97"/>
      <c r="MMB74" s="97"/>
      <c r="MMC74" s="97"/>
      <c r="MMD74" s="97"/>
      <c r="MME74" s="97"/>
      <c r="MMF74" s="97"/>
      <c r="MMG74" s="97"/>
      <c r="MMH74" s="97"/>
      <c r="MMI74" s="97"/>
      <c r="MMJ74" s="97"/>
      <c r="MMK74" s="97"/>
      <c r="MML74" s="97"/>
      <c r="MMM74" s="97"/>
      <c r="MMN74" s="97"/>
      <c r="MMO74" s="97"/>
      <c r="MMP74" s="97"/>
      <c r="MMQ74" s="97"/>
      <c r="MMR74" s="97"/>
      <c r="MMS74" s="97"/>
      <c r="MMT74" s="97"/>
      <c r="MMU74" s="97"/>
      <c r="MMV74" s="97"/>
      <c r="MMW74" s="97"/>
      <c r="MMX74" s="97"/>
      <c r="MMY74" s="97"/>
      <c r="MMZ74" s="97"/>
      <c r="MNA74" s="97"/>
      <c r="MNB74" s="97"/>
      <c r="MNC74" s="97"/>
      <c r="MND74" s="97"/>
      <c r="MNE74" s="97"/>
      <c r="MNF74" s="97"/>
      <c r="MNG74" s="97"/>
      <c r="MNH74" s="97"/>
      <c r="MNI74" s="97"/>
      <c r="MNJ74" s="97"/>
      <c r="MNK74" s="97"/>
      <c r="MNL74" s="97"/>
      <c r="MNM74" s="97"/>
      <c r="MNN74" s="97"/>
      <c r="MNO74" s="97"/>
      <c r="MNP74" s="97"/>
      <c r="MNQ74" s="97"/>
      <c r="MNR74" s="97"/>
      <c r="MNS74" s="97"/>
      <c r="MNT74" s="97"/>
      <c r="MNU74" s="97"/>
      <c r="MNV74" s="97"/>
      <c r="MNW74" s="97"/>
      <c r="MNX74" s="97"/>
      <c r="MNY74" s="97"/>
      <c r="MNZ74" s="97"/>
      <c r="MOA74" s="97"/>
      <c r="MOB74" s="97"/>
      <c r="MOC74" s="97"/>
      <c r="MOD74" s="97"/>
      <c r="MOE74" s="97"/>
      <c r="MOF74" s="97"/>
      <c r="MOG74" s="97"/>
      <c r="MOH74" s="97"/>
      <c r="MOI74" s="97"/>
      <c r="MOJ74" s="97"/>
      <c r="MOK74" s="97"/>
      <c r="MOL74" s="97"/>
      <c r="MOM74" s="97"/>
      <c r="MON74" s="97"/>
      <c r="MOO74" s="97"/>
      <c r="MOP74" s="97"/>
      <c r="MOQ74" s="97"/>
      <c r="MOR74" s="97"/>
      <c r="MOS74" s="97"/>
      <c r="MOT74" s="97"/>
      <c r="MOU74" s="97"/>
      <c r="MOV74" s="97"/>
      <c r="MOW74" s="97"/>
      <c r="MOX74" s="97"/>
      <c r="MOY74" s="97"/>
      <c r="MOZ74" s="97"/>
      <c r="MPA74" s="97"/>
      <c r="MPB74" s="97"/>
      <c r="MPC74" s="97"/>
      <c r="MPD74" s="97"/>
      <c r="MPE74" s="97"/>
      <c r="MPF74" s="97"/>
      <c r="MPG74" s="97"/>
      <c r="MPH74" s="97"/>
      <c r="MPI74" s="97"/>
      <c r="MPJ74" s="97"/>
      <c r="MPK74" s="97"/>
      <c r="MPL74" s="97"/>
      <c r="MPM74" s="97"/>
      <c r="MPN74" s="97"/>
      <c r="MPO74" s="97"/>
      <c r="MPP74" s="97"/>
      <c r="MPQ74" s="97"/>
      <c r="MPR74" s="97"/>
      <c r="MPS74" s="97"/>
      <c r="MPT74" s="97"/>
      <c r="MPU74" s="97"/>
      <c r="MPV74" s="97"/>
      <c r="MPW74" s="97"/>
      <c r="MPX74" s="97"/>
      <c r="MPY74" s="97"/>
      <c r="MPZ74" s="97"/>
      <c r="MQA74" s="97"/>
      <c r="MQB74" s="97"/>
      <c r="MQC74" s="97"/>
      <c r="MQD74" s="97"/>
      <c r="MQE74" s="97"/>
      <c r="MQF74" s="97"/>
      <c r="MQG74" s="97"/>
      <c r="MQH74" s="97"/>
      <c r="MQI74" s="97"/>
      <c r="MQJ74" s="97"/>
      <c r="MQK74" s="97"/>
      <c r="MQL74" s="97"/>
      <c r="MQM74" s="97"/>
      <c r="MQN74" s="97"/>
      <c r="MQO74" s="97"/>
      <c r="MQP74" s="97"/>
      <c r="MQQ74" s="97"/>
      <c r="MQR74" s="97"/>
      <c r="MQS74" s="97"/>
      <c r="MQT74" s="97"/>
      <c r="MQU74" s="97"/>
      <c r="MQV74" s="97"/>
      <c r="MQW74" s="97"/>
      <c r="MQX74" s="97"/>
      <c r="MQY74" s="97"/>
      <c r="MQZ74" s="97"/>
      <c r="MRA74" s="97"/>
      <c r="MRB74" s="97"/>
      <c r="MRC74" s="97"/>
      <c r="MRD74" s="97"/>
      <c r="MRE74" s="97"/>
      <c r="MRF74" s="97"/>
      <c r="MRG74" s="97"/>
      <c r="MRH74" s="97"/>
      <c r="MRI74" s="97"/>
      <c r="MRJ74" s="97"/>
      <c r="MRK74" s="97"/>
      <c r="MRL74" s="97"/>
      <c r="MRM74" s="97"/>
      <c r="MRN74" s="97"/>
      <c r="MRO74" s="97"/>
      <c r="MRP74" s="97"/>
      <c r="MRQ74" s="97"/>
      <c r="MRR74" s="97"/>
      <c r="MRS74" s="97"/>
      <c r="MRT74" s="97"/>
      <c r="MRU74" s="97"/>
      <c r="MRV74" s="97"/>
      <c r="MRW74" s="97"/>
      <c r="MRX74" s="97"/>
      <c r="MRY74" s="97"/>
      <c r="MRZ74" s="97"/>
      <c r="MSA74" s="97"/>
      <c r="MSB74" s="97"/>
      <c r="MSC74" s="97"/>
      <c r="MSD74" s="97"/>
      <c r="MSE74" s="97"/>
      <c r="MSF74" s="97"/>
      <c r="MSG74" s="97"/>
      <c r="MSH74" s="97"/>
      <c r="MSI74" s="97"/>
      <c r="MSJ74" s="97"/>
      <c r="MSK74" s="97"/>
      <c r="MSL74" s="97"/>
      <c r="MSM74" s="97"/>
      <c r="MSN74" s="97"/>
      <c r="MSO74" s="97"/>
      <c r="MSP74" s="97"/>
      <c r="MSQ74" s="97"/>
      <c r="MSR74" s="97"/>
      <c r="MSS74" s="97"/>
      <c r="MST74" s="97"/>
      <c r="MSU74" s="97"/>
      <c r="MSV74" s="97"/>
      <c r="MSW74" s="97"/>
      <c r="MSX74" s="97"/>
      <c r="MSY74" s="97"/>
      <c r="MSZ74" s="97"/>
      <c r="MTA74" s="97"/>
      <c r="MTB74" s="97"/>
      <c r="MTC74" s="97"/>
      <c r="MTD74" s="97"/>
      <c r="MTE74" s="97"/>
      <c r="MTF74" s="97"/>
      <c r="MTG74" s="97"/>
      <c r="MTH74" s="97"/>
      <c r="MTI74" s="97"/>
      <c r="MTJ74" s="97"/>
      <c r="MTK74" s="97"/>
      <c r="MTL74" s="97"/>
      <c r="MTM74" s="97"/>
      <c r="MTN74" s="97"/>
      <c r="MTO74" s="97"/>
      <c r="MTP74" s="97"/>
      <c r="MTQ74" s="97"/>
      <c r="MTR74" s="97"/>
      <c r="MTS74" s="97"/>
      <c r="MTT74" s="97"/>
      <c r="MTU74" s="97"/>
      <c r="MTV74" s="97"/>
      <c r="MTW74" s="97"/>
      <c r="MTX74" s="97"/>
      <c r="MTY74" s="97"/>
      <c r="MTZ74" s="97"/>
      <c r="MUA74" s="97"/>
      <c r="MUB74" s="97"/>
      <c r="MUC74" s="97"/>
      <c r="MUD74" s="97"/>
      <c r="MUE74" s="97"/>
      <c r="MUF74" s="97"/>
      <c r="MUG74" s="97"/>
      <c r="MUH74" s="97"/>
      <c r="MUI74" s="97"/>
      <c r="MUJ74" s="97"/>
      <c r="MUK74" s="97"/>
      <c r="MUL74" s="97"/>
      <c r="MUM74" s="97"/>
      <c r="MUN74" s="97"/>
      <c r="MUO74" s="97"/>
      <c r="MUP74" s="97"/>
      <c r="MUQ74" s="97"/>
      <c r="MUR74" s="97"/>
      <c r="MUS74" s="97"/>
      <c r="MUT74" s="97"/>
      <c r="MUU74" s="97"/>
      <c r="MUV74" s="97"/>
      <c r="MUW74" s="97"/>
      <c r="MUX74" s="97"/>
      <c r="MUY74" s="97"/>
      <c r="MUZ74" s="97"/>
      <c r="MVA74" s="97"/>
      <c r="MVB74" s="97"/>
      <c r="MVC74" s="97"/>
      <c r="MVD74" s="97"/>
      <c r="MVE74" s="97"/>
      <c r="MVF74" s="97"/>
      <c r="MVG74" s="97"/>
      <c r="MVH74" s="97"/>
      <c r="MVI74" s="97"/>
      <c r="MVJ74" s="97"/>
      <c r="MVK74" s="97"/>
      <c r="MVL74" s="97"/>
      <c r="MVM74" s="97"/>
      <c r="MVN74" s="97"/>
      <c r="MVO74" s="97"/>
      <c r="MVP74" s="97"/>
      <c r="MVQ74" s="97"/>
      <c r="MVR74" s="97"/>
      <c r="MVS74" s="97"/>
      <c r="MVT74" s="97"/>
      <c r="MVU74" s="97"/>
      <c r="MVV74" s="97"/>
      <c r="MVW74" s="97"/>
      <c r="MVX74" s="97"/>
      <c r="MVY74" s="97"/>
      <c r="MVZ74" s="97"/>
      <c r="MWA74" s="97"/>
      <c r="MWB74" s="97"/>
      <c r="MWC74" s="97"/>
      <c r="MWD74" s="97"/>
      <c r="MWE74" s="97"/>
      <c r="MWF74" s="97"/>
      <c r="MWG74" s="97"/>
      <c r="MWH74" s="97"/>
      <c r="MWI74" s="97"/>
      <c r="MWJ74" s="97"/>
      <c r="MWK74" s="97"/>
      <c r="MWL74" s="97"/>
      <c r="MWM74" s="97"/>
      <c r="MWN74" s="97"/>
      <c r="MWO74" s="97"/>
      <c r="MWP74" s="97"/>
      <c r="MWQ74" s="97"/>
      <c r="MWR74" s="97"/>
      <c r="MWS74" s="97"/>
      <c r="MWT74" s="97"/>
      <c r="MWU74" s="97"/>
      <c r="MWV74" s="97"/>
      <c r="MWW74" s="97"/>
      <c r="MWX74" s="97"/>
      <c r="MWY74" s="97"/>
      <c r="MWZ74" s="97"/>
      <c r="MXA74" s="97"/>
      <c r="MXB74" s="97"/>
      <c r="MXC74" s="97"/>
      <c r="MXD74" s="97"/>
      <c r="MXE74" s="97"/>
      <c r="MXF74" s="97"/>
      <c r="MXG74" s="97"/>
      <c r="MXH74" s="97"/>
      <c r="MXI74" s="97"/>
      <c r="MXJ74" s="97"/>
      <c r="MXK74" s="97"/>
      <c r="MXL74" s="97"/>
      <c r="MXM74" s="97"/>
      <c r="MXN74" s="97"/>
      <c r="MXO74" s="97"/>
      <c r="MXP74" s="97"/>
      <c r="MXQ74" s="97"/>
      <c r="MXR74" s="97"/>
      <c r="MXS74" s="97"/>
      <c r="MXT74" s="97"/>
      <c r="MXU74" s="97"/>
      <c r="MXV74" s="97"/>
      <c r="MXW74" s="97"/>
      <c r="MXX74" s="97"/>
      <c r="MXY74" s="97"/>
      <c r="MXZ74" s="97"/>
      <c r="MYA74" s="97"/>
      <c r="MYB74" s="97"/>
      <c r="MYC74" s="97"/>
      <c r="MYD74" s="97"/>
      <c r="MYE74" s="97"/>
      <c r="MYF74" s="97"/>
      <c r="MYG74" s="97"/>
      <c r="MYH74" s="97"/>
      <c r="MYI74" s="97"/>
      <c r="MYJ74" s="97"/>
      <c r="MYK74" s="97"/>
      <c r="MYL74" s="97"/>
      <c r="MYM74" s="97"/>
      <c r="MYN74" s="97"/>
      <c r="MYO74" s="97"/>
      <c r="MYP74" s="97"/>
      <c r="MYQ74" s="97"/>
      <c r="MYR74" s="97"/>
      <c r="MYS74" s="97"/>
      <c r="MYT74" s="97"/>
      <c r="MYU74" s="97"/>
      <c r="MYV74" s="97"/>
      <c r="MYW74" s="97"/>
      <c r="MYX74" s="97"/>
      <c r="MYY74" s="97"/>
      <c r="MYZ74" s="97"/>
      <c r="MZA74" s="97"/>
      <c r="MZB74" s="97"/>
      <c r="MZC74" s="97"/>
      <c r="MZD74" s="97"/>
      <c r="MZE74" s="97"/>
      <c r="MZF74" s="97"/>
      <c r="MZG74" s="97"/>
      <c r="MZH74" s="97"/>
      <c r="MZI74" s="97"/>
      <c r="MZJ74" s="97"/>
      <c r="MZK74" s="97"/>
      <c r="MZL74" s="97"/>
      <c r="MZM74" s="97"/>
      <c r="MZN74" s="97"/>
      <c r="MZO74" s="97"/>
      <c r="MZP74" s="97"/>
      <c r="MZQ74" s="97"/>
      <c r="MZR74" s="97"/>
      <c r="MZS74" s="97"/>
      <c r="MZT74" s="97"/>
      <c r="MZU74" s="97"/>
      <c r="MZV74" s="97"/>
      <c r="MZW74" s="97"/>
      <c r="MZX74" s="97"/>
      <c r="MZY74" s="97"/>
      <c r="MZZ74" s="97"/>
      <c r="NAA74" s="97"/>
      <c r="NAB74" s="97"/>
      <c r="NAC74" s="97"/>
      <c r="NAD74" s="97"/>
      <c r="NAE74" s="97"/>
      <c r="NAF74" s="97"/>
      <c r="NAG74" s="97"/>
      <c r="NAH74" s="97"/>
      <c r="NAI74" s="97"/>
      <c r="NAJ74" s="97"/>
      <c r="NAK74" s="97"/>
      <c r="NAL74" s="97"/>
      <c r="NAM74" s="97"/>
      <c r="NAN74" s="97"/>
      <c r="NAO74" s="97"/>
      <c r="NAP74" s="97"/>
      <c r="NAQ74" s="97"/>
      <c r="NAR74" s="97"/>
      <c r="NAS74" s="97"/>
      <c r="NAT74" s="97"/>
      <c r="NAU74" s="97"/>
      <c r="NAV74" s="97"/>
      <c r="NAW74" s="97"/>
      <c r="NAX74" s="97"/>
      <c r="NAY74" s="97"/>
      <c r="NAZ74" s="97"/>
      <c r="NBA74" s="97"/>
      <c r="NBB74" s="97"/>
      <c r="NBC74" s="97"/>
      <c r="NBD74" s="97"/>
      <c r="NBE74" s="97"/>
      <c r="NBF74" s="97"/>
      <c r="NBG74" s="97"/>
      <c r="NBH74" s="97"/>
      <c r="NBI74" s="97"/>
      <c r="NBJ74" s="97"/>
      <c r="NBK74" s="97"/>
      <c r="NBL74" s="97"/>
      <c r="NBM74" s="97"/>
      <c r="NBN74" s="97"/>
      <c r="NBO74" s="97"/>
      <c r="NBP74" s="97"/>
      <c r="NBQ74" s="97"/>
      <c r="NBR74" s="97"/>
      <c r="NBS74" s="97"/>
      <c r="NBT74" s="97"/>
      <c r="NBU74" s="97"/>
      <c r="NBV74" s="97"/>
      <c r="NBW74" s="97"/>
      <c r="NBX74" s="97"/>
      <c r="NBY74" s="97"/>
      <c r="NBZ74" s="97"/>
      <c r="NCA74" s="97"/>
      <c r="NCB74" s="97"/>
      <c r="NCC74" s="97"/>
      <c r="NCD74" s="97"/>
      <c r="NCE74" s="97"/>
      <c r="NCF74" s="97"/>
      <c r="NCG74" s="97"/>
      <c r="NCH74" s="97"/>
      <c r="NCI74" s="97"/>
      <c r="NCJ74" s="97"/>
      <c r="NCK74" s="97"/>
      <c r="NCL74" s="97"/>
      <c r="NCM74" s="97"/>
      <c r="NCN74" s="97"/>
      <c r="NCO74" s="97"/>
      <c r="NCP74" s="97"/>
      <c r="NCQ74" s="97"/>
      <c r="NCR74" s="97"/>
      <c r="NCS74" s="97"/>
      <c r="NCT74" s="97"/>
      <c r="NCU74" s="97"/>
      <c r="NCV74" s="97"/>
      <c r="NCW74" s="97"/>
      <c r="NCX74" s="97"/>
      <c r="NCY74" s="97"/>
      <c r="NCZ74" s="97"/>
      <c r="NDA74" s="97"/>
      <c r="NDB74" s="97"/>
      <c r="NDC74" s="97"/>
      <c r="NDD74" s="97"/>
      <c r="NDE74" s="97"/>
      <c r="NDF74" s="97"/>
      <c r="NDG74" s="97"/>
      <c r="NDH74" s="97"/>
      <c r="NDI74" s="97"/>
      <c r="NDJ74" s="97"/>
      <c r="NDK74" s="97"/>
      <c r="NDL74" s="97"/>
      <c r="NDM74" s="97"/>
      <c r="NDN74" s="97"/>
      <c r="NDO74" s="97"/>
      <c r="NDP74" s="97"/>
      <c r="NDQ74" s="97"/>
      <c r="NDR74" s="97"/>
      <c r="NDS74" s="97"/>
      <c r="NDT74" s="97"/>
      <c r="NDU74" s="97"/>
      <c r="NDV74" s="97"/>
      <c r="NDW74" s="97"/>
      <c r="NDX74" s="97"/>
      <c r="NDY74" s="97"/>
      <c r="NDZ74" s="97"/>
      <c r="NEA74" s="97"/>
      <c r="NEB74" s="97"/>
      <c r="NEC74" s="97"/>
      <c r="NED74" s="97"/>
      <c r="NEE74" s="97"/>
      <c r="NEF74" s="97"/>
      <c r="NEG74" s="97"/>
      <c r="NEH74" s="97"/>
      <c r="NEI74" s="97"/>
      <c r="NEJ74" s="97"/>
      <c r="NEK74" s="97"/>
      <c r="NEL74" s="97"/>
      <c r="NEM74" s="97"/>
      <c r="NEN74" s="97"/>
      <c r="NEO74" s="97"/>
      <c r="NEP74" s="97"/>
      <c r="NEQ74" s="97"/>
      <c r="NER74" s="97"/>
      <c r="NES74" s="97"/>
      <c r="NET74" s="97"/>
      <c r="NEU74" s="97"/>
      <c r="NEV74" s="97"/>
      <c r="NEW74" s="97"/>
      <c r="NEX74" s="97"/>
      <c r="NEY74" s="97"/>
      <c r="NEZ74" s="97"/>
      <c r="NFA74" s="97"/>
      <c r="NFB74" s="97"/>
      <c r="NFC74" s="97"/>
      <c r="NFD74" s="97"/>
      <c r="NFE74" s="97"/>
      <c r="NFF74" s="97"/>
      <c r="NFG74" s="97"/>
      <c r="NFH74" s="97"/>
      <c r="NFI74" s="97"/>
      <c r="NFJ74" s="97"/>
      <c r="NFK74" s="97"/>
      <c r="NFL74" s="97"/>
      <c r="NFM74" s="97"/>
      <c r="NFN74" s="97"/>
      <c r="NFO74" s="97"/>
      <c r="NFP74" s="97"/>
      <c r="NFQ74" s="97"/>
      <c r="NFR74" s="97"/>
      <c r="NFS74" s="97"/>
      <c r="NFT74" s="97"/>
      <c r="NFU74" s="97"/>
      <c r="NFV74" s="97"/>
      <c r="NFW74" s="97"/>
      <c r="NFX74" s="97"/>
      <c r="NFY74" s="97"/>
      <c r="NFZ74" s="97"/>
      <c r="NGA74" s="97"/>
      <c r="NGB74" s="97"/>
      <c r="NGC74" s="97"/>
      <c r="NGD74" s="97"/>
      <c r="NGE74" s="97"/>
      <c r="NGF74" s="97"/>
      <c r="NGG74" s="97"/>
      <c r="NGH74" s="97"/>
      <c r="NGI74" s="97"/>
      <c r="NGJ74" s="97"/>
      <c r="NGK74" s="97"/>
      <c r="NGL74" s="97"/>
      <c r="NGM74" s="97"/>
      <c r="NGN74" s="97"/>
      <c r="NGO74" s="97"/>
      <c r="NGP74" s="97"/>
      <c r="NGQ74" s="97"/>
      <c r="NGR74" s="97"/>
      <c r="NGS74" s="97"/>
      <c r="NGT74" s="97"/>
      <c r="NGU74" s="97"/>
      <c r="NGV74" s="97"/>
      <c r="NGW74" s="97"/>
      <c r="NGX74" s="97"/>
      <c r="NGY74" s="97"/>
      <c r="NGZ74" s="97"/>
      <c r="NHA74" s="97"/>
      <c r="NHB74" s="97"/>
      <c r="NHC74" s="97"/>
      <c r="NHD74" s="97"/>
      <c r="NHE74" s="97"/>
      <c r="NHF74" s="97"/>
      <c r="NHG74" s="97"/>
      <c r="NHH74" s="97"/>
      <c r="NHI74" s="97"/>
      <c r="NHJ74" s="97"/>
      <c r="NHK74" s="97"/>
      <c r="NHL74" s="97"/>
      <c r="NHM74" s="97"/>
      <c r="NHN74" s="97"/>
      <c r="NHO74" s="97"/>
      <c r="NHP74" s="97"/>
      <c r="NHQ74" s="97"/>
      <c r="NHR74" s="97"/>
      <c r="NHS74" s="97"/>
      <c r="NHT74" s="97"/>
      <c r="NHU74" s="97"/>
      <c r="NHV74" s="97"/>
      <c r="NHW74" s="97"/>
      <c r="NHX74" s="97"/>
      <c r="NHY74" s="97"/>
      <c r="NHZ74" s="97"/>
      <c r="NIA74" s="97"/>
      <c r="NIB74" s="97"/>
      <c r="NIC74" s="97"/>
      <c r="NID74" s="97"/>
      <c r="NIE74" s="97"/>
      <c r="NIF74" s="97"/>
      <c r="NIG74" s="97"/>
      <c r="NIH74" s="97"/>
      <c r="NII74" s="97"/>
      <c r="NIJ74" s="97"/>
      <c r="NIK74" s="97"/>
      <c r="NIL74" s="97"/>
      <c r="NIM74" s="97"/>
      <c r="NIN74" s="97"/>
      <c r="NIO74" s="97"/>
      <c r="NIP74" s="97"/>
      <c r="NIQ74" s="97"/>
      <c r="NIR74" s="97"/>
      <c r="NIS74" s="97"/>
      <c r="NIT74" s="97"/>
      <c r="NIU74" s="97"/>
      <c r="NIV74" s="97"/>
      <c r="NIW74" s="97"/>
      <c r="NIX74" s="97"/>
      <c r="NIY74" s="97"/>
      <c r="NIZ74" s="97"/>
      <c r="NJA74" s="97"/>
      <c r="NJB74" s="97"/>
      <c r="NJC74" s="97"/>
      <c r="NJD74" s="97"/>
      <c r="NJE74" s="97"/>
      <c r="NJF74" s="97"/>
      <c r="NJG74" s="97"/>
      <c r="NJH74" s="97"/>
      <c r="NJI74" s="97"/>
      <c r="NJJ74" s="97"/>
      <c r="NJK74" s="97"/>
      <c r="NJL74" s="97"/>
      <c r="NJM74" s="97"/>
      <c r="NJN74" s="97"/>
      <c r="NJO74" s="97"/>
      <c r="NJP74" s="97"/>
      <c r="NJQ74" s="97"/>
      <c r="NJR74" s="97"/>
      <c r="NJS74" s="97"/>
      <c r="NJT74" s="97"/>
      <c r="NJU74" s="97"/>
      <c r="NJV74" s="97"/>
      <c r="NJW74" s="97"/>
      <c r="NJX74" s="97"/>
      <c r="NJY74" s="97"/>
      <c r="NJZ74" s="97"/>
      <c r="NKA74" s="97"/>
      <c r="NKB74" s="97"/>
      <c r="NKC74" s="97"/>
      <c r="NKD74" s="97"/>
      <c r="NKE74" s="97"/>
      <c r="NKF74" s="97"/>
      <c r="NKG74" s="97"/>
      <c r="NKH74" s="97"/>
      <c r="NKI74" s="97"/>
      <c r="NKJ74" s="97"/>
      <c r="NKK74" s="97"/>
      <c r="NKL74" s="97"/>
      <c r="NKM74" s="97"/>
      <c r="NKN74" s="97"/>
      <c r="NKO74" s="97"/>
      <c r="NKP74" s="97"/>
      <c r="NKQ74" s="97"/>
      <c r="NKR74" s="97"/>
      <c r="NKS74" s="97"/>
      <c r="NKT74" s="97"/>
      <c r="NKU74" s="97"/>
      <c r="NKV74" s="97"/>
      <c r="NKW74" s="97"/>
      <c r="NKX74" s="97"/>
      <c r="NKY74" s="97"/>
      <c r="NKZ74" s="97"/>
      <c r="NLA74" s="97"/>
      <c r="NLB74" s="97"/>
      <c r="NLC74" s="97"/>
      <c r="NLD74" s="97"/>
      <c r="NLE74" s="97"/>
      <c r="NLF74" s="97"/>
      <c r="NLG74" s="97"/>
      <c r="NLH74" s="97"/>
      <c r="NLI74" s="97"/>
      <c r="NLJ74" s="97"/>
      <c r="NLK74" s="97"/>
      <c r="NLL74" s="97"/>
      <c r="NLM74" s="97"/>
      <c r="NLN74" s="97"/>
      <c r="NLO74" s="97"/>
      <c r="NLP74" s="97"/>
      <c r="NLQ74" s="97"/>
      <c r="NLR74" s="97"/>
      <c r="NLS74" s="97"/>
      <c r="NLT74" s="97"/>
      <c r="NLU74" s="97"/>
      <c r="NLV74" s="97"/>
      <c r="NLW74" s="97"/>
      <c r="NLX74" s="97"/>
      <c r="NLY74" s="97"/>
      <c r="NLZ74" s="97"/>
      <c r="NMA74" s="97"/>
      <c r="NMB74" s="97"/>
      <c r="NMC74" s="97"/>
      <c r="NMD74" s="97"/>
      <c r="NME74" s="97"/>
      <c r="NMF74" s="97"/>
      <c r="NMG74" s="97"/>
      <c r="NMH74" s="97"/>
      <c r="NMI74" s="97"/>
      <c r="NMJ74" s="97"/>
      <c r="NMK74" s="97"/>
      <c r="NML74" s="97"/>
      <c r="NMM74" s="97"/>
      <c r="NMN74" s="97"/>
      <c r="NMO74" s="97"/>
      <c r="NMP74" s="97"/>
      <c r="NMQ74" s="97"/>
      <c r="NMR74" s="97"/>
      <c r="NMS74" s="97"/>
      <c r="NMT74" s="97"/>
      <c r="NMU74" s="97"/>
      <c r="NMV74" s="97"/>
      <c r="NMW74" s="97"/>
      <c r="NMX74" s="97"/>
      <c r="NMY74" s="97"/>
      <c r="NMZ74" s="97"/>
      <c r="NNA74" s="97"/>
      <c r="NNB74" s="97"/>
      <c r="NNC74" s="97"/>
      <c r="NND74" s="97"/>
      <c r="NNE74" s="97"/>
      <c r="NNF74" s="97"/>
      <c r="NNG74" s="97"/>
      <c r="NNH74" s="97"/>
      <c r="NNI74" s="97"/>
      <c r="NNJ74" s="97"/>
      <c r="NNK74" s="97"/>
      <c r="NNL74" s="97"/>
      <c r="NNM74" s="97"/>
      <c r="NNN74" s="97"/>
      <c r="NNO74" s="97"/>
      <c r="NNP74" s="97"/>
      <c r="NNQ74" s="97"/>
      <c r="NNR74" s="97"/>
      <c r="NNS74" s="97"/>
      <c r="NNT74" s="97"/>
      <c r="NNU74" s="97"/>
      <c r="NNV74" s="97"/>
      <c r="NNW74" s="97"/>
      <c r="NNX74" s="97"/>
      <c r="NNY74" s="97"/>
      <c r="NNZ74" s="97"/>
      <c r="NOA74" s="97"/>
      <c r="NOB74" s="97"/>
      <c r="NOC74" s="97"/>
      <c r="NOD74" s="97"/>
      <c r="NOE74" s="97"/>
      <c r="NOF74" s="97"/>
      <c r="NOG74" s="97"/>
      <c r="NOH74" s="97"/>
      <c r="NOI74" s="97"/>
      <c r="NOJ74" s="97"/>
      <c r="NOK74" s="97"/>
      <c r="NOL74" s="97"/>
      <c r="NOM74" s="97"/>
      <c r="NON74" s="97"/>
      <c r="NOO74" s="97"/>
      <c r="NOP74" s="97"/>
      <c r="NOQ74" s="97"/>
      <c r="NOR74" s="97"/>
      <c r="NOS74" s="97"/>
      <c r="NOT74" s="97"/>
      <c r="NOU74" s="97"/>
      <c r="NOV74" s="97"/>
      <c r="NOW74" s="97"/>
      <c r="NOX74" s="97"/>
      <c r="NOY74" s="97"/>
      <c r="NOZ74" s="97"/>
      <c r="NPA74" s="97"/>
      <c r="NPB74" s="97"/>
      <c r="NPC74" s="97"/>
      <c r="NPD74" s="97"/>
      <c r="NPE74" s="97"/>
      <c r="NPF74" s="97"/>
      <c r="NPG74" s="97"/>
      <c r="NPH74" s="97"/>
      <c r="NPI74" s="97"/>
      <c r="NPJ74" s="97"/>
      <c r="NPK74" s="97"/>
      <c r="NPL74" s="97"/>
      <c r="NPM74" s="97"/>
      <c r="NPN74" s="97"/>
      <c r="NPO74" s="97"/>
      <c r="NPP74" s="97"/>
      <c r="NPQ74" s="97"/>
      <c r="NPR74" s="97"/>
      <c r="NPS74" s="97"/>
      <c r="NPT74" s="97"/>
      <c r="NPU74" s="97"/>
      <c r="NPV74" s="97"/>
      <c r="NPW74" s="97"/>
      <c r="NPX74" s="97"/>
      <c r="NPY74" s="97"/>
      <c r="NPZ74" s="97"/>
      <c r="NQA74" s="97"/>
      <c r="NQB74" s="97"/>
      <c r="NQC74" s="97"/>
      <c r="NQD74" s="97"/>
      <c r="NQE74" s="97"/>
      <c r="NQF74" s="97"/>
      <c r="NQG74" s="97"/>
      <c r="NQH74" s="97"/>
      <c r="NQI74" s="97"/>
      <c r="NQJ74" s="97"/>
      <c r="NQK74" s="97"/>
      <c r="NQL74" s="97"/>
      <c r="NQM74" s="97"/>
      <c r="NQN74" s="97"/>
      <c r="NQO74" s="97"/>
      <c r="NQP74" s="97"/>
      <c r="NQQ74" s="97"/>
      <c r="NQR74" s="97"/>
      <c r="NQS74" s="97"/>
      <c r="NQT74" s="97"/>
      <c r="NQU74" s="97"/>
      <c r="NQV74" s="97"/>
      <c r="NQW74" s="97"/>
      <c r="NQX74" s="97"/>
      <c r="NQY74" s="97"/>
      <c r="NQZ74" s="97"/>
      <c r="NRA74" s="97"/>
      <c r="NRB74" s="97"/>
      <c r="NRC74" s="97"/>
      <c r="NRD74" s="97"/>
      <c r="NRE74" s="97"/>
      <c r="NRF74" s="97"/>
      <c r="NRG74" s="97"/>
      <c r="NRH74" s="97"/>
      <c r="NRI74" s="97"/>
      <c r="NRJ74" s="97"/>
      <c r="NRK74" s="97"/>
      <c r="NRL74" s="97"/>
      <c r="NRM74" s="97"/>
      <c r="NRN74" s="97"/>
      <c r="NRO74" s="97"/>
      <c r="NRP74" s="97"/>
      <c r="NRQ74" s="97"/>
      <c r="NRR74" s="97"/>
      <c r="NRS74" s="97"/>
      <c r="NRT74" s="97"/>
      <c r="NRU74" s="97"/>
      <c r="NRV74" s="97"/>
      <c r="NRW74" s="97"/>
      <c r="NRX74" s="97"/>
      <c r="NRY74" s="97"/>
      <c r="NRZ74" s="97"/>
      <c r="NSA74" s="97"/>
      <c r="NSB74" s="97"/>
      <c r="NSC74" s="97"/>
      <c r="NSD74" s="97"/>
      <c r="NSE74" s="97"/>
      <c r="NSF74" s="97"/>
      <c r="NSG74" s="97"/>
      <c r="NSH74" s="97"/>
      <c r="NSI74" s="97"/>
      <c r="NSJ74" s="97"/>
      <c r="NSK74" s="97"/>
      <c r="NSL74" s="97"/>
      <c r="NSM74" s="97"/>
      <c r="NSN74" s="97"/>
      <c r="NSO74" s="97"/>
      <c r="NSP74" s="97"/>
      <c r="NSQ74" s="97"/>
      <c r="NSR74" s="97"/>
      <c r="NSS74" s="97"/>
      <c r="NST74" s="97"/>
      <c r="NSU74" s="97"/>
      <c r="NSV74" s="97"/>
      <c r="NSW74" s="97"/>
      <c r="NSX74" s="97"/>
      <c r="NSY74" s="97"/>
      <c r="NSZ74" s="97"/>
      <c r="NTA74" s="97"/>
      <c r="NTB74" s="97"/>
      <c r="NTC74" s="97"/>
      <c r="NTD74" s="97"/>
      <c r="NTE74" s="97"/>
      <c r="NTF74" s="97"/>
      <c r="NTG74" s="97"/>
      <c r="NTH74" s="97"/>
      <c r="NTI74" s="97"/>
      <c r="NTJ74" s="97"/>
      <c r="NTK74" s="97"/>
      <c r="NTL74" s="97"/>
      <c r="NTM74" s="97"/>
      <c r="NTN74" s="97"/>
      <c r="NTO74" s="97"/>
      <c r="NTP74" s="97"/>
      <c r="NTQ74" s="97"/>
      <c r="NTR74" s="97"/>
      <c r="NTS74" s="97"/>
      <c r="NTT74" s="97"/>
      <c r="NTU74" s="97"/>
      <c r="NTV74" s="97"/>
      <c r="NTW74" s="97"/>
      <c r="NTX74" s="97"/>
      <c r="NTY74" s="97"/>
      <c r="NTZ74" s="97"/>
      <c r="NUA74" s="97"/>
      <c r="NUB74" s="97"/>
      <c r="NUC74" s="97"/>
      <c r="NUD74" s="97"/>
      <c r="NUE74" s="97"/>
      <c r="NUF74" s="97"/>
      <c r="NUG74" s="97"/>
      <c r="NUH74" s="97"/>
      <c r="NUI74" s="97"/>
      <c r="NUJ74" s="97"/>
      <c r="NUK74" s="97"/>
      <c r="NUL74" s="97"/>
      <c r="NUM74" s="97"/>
      <c r="NUN74" s="97"/>
      <c r="NUO74" s="97"/>
      <c r="NUP74" s="97"/>
      <c r="NUQ74" s="97"/>
      <c r="NUR74" s="97"/>
      <c r="NUS74" s="97"/>
      <c r="NUT74" s="97"/>
      <c r="NUU74" s="97"/>
      <c r="NUV74" s="97"/>
      <c r="NUW74" s="97"/>
      <c r="NUX74" s="97"/>
      <c r="NUY74" s="97"/>
      <c r="NUZ74" s="97"/>
      <c r="NVA74" s="97"/>
      <c r="NVB74" s="97"/>
      <c r="NVC74" s="97"/>
      <c r="NVD74" s="97"/>
      <c r="NVE74" s="97"/>
      <c r="NVF74" s="97"/>
      <c r="NVG74" s="97"/>
      <c r="NVH74" s="97"/>
      <c r="NVI74" s="97"/>
      <c r="NVJ74" s="97"/>
      <c r="NVK74" s="97"/>
      <c r="NVL74" s="97"/>
      <c r="NVM74" s="97"/>
      <c r="NVN74" s="97"/>
      <c r="NVO74" s="97"/>
      <c r="NVP74" s="97"/>
      <c r="NVQ74" s="97"/>
      <c r="NVR74" s="97"/>
      <c r="NVS74" s="97"/>
      <c r="NVT74" s="97"/>
      <c r="NVU74" s="97"/>
      <c r="NVV74" s="97"/>
      <c r="NVW74" s="97"/>
      <c r="NVX74" s="97"/>
      <c r="NVY74" s="97"/>
      <c r="NVZ74" s="97"/>
      <c r="NWA74" s="97"/>
      <c r="NWB74" s="97"/>
      <c r="NWC74" s="97"/>
      <c r="NWD74" s="97"/>
      <c r="NWE74" s="97"/>
      <c r="NWF74" s="97"/>
      <c r="NWG74" s="97"/>
      <c r="NWH74" s="97"/>
      <c r="NWI74" s="97"/>
      <c r="NWJ74" s="97"/>
      <c r="NWK74" s="97"/>
      <c r="NWL74" s="97"/>
      <c r="NWM74" s="97"/>
      <c r="NWN74" s="97"/>
      <c r="NWO74" s="97"/>
      <c r="NWP74" s="97"/>
      <c r="NWQ74" s="97"/>
      <c r="NWR74" s="97"/>
      <c r="NWS74" s="97"/>
      <c r="NWT74" s="97"/>
      <c r="NWU74" s="97"/>
      <c r="NWV74" s="97"/>
      <c r="NWW74" s="97"/>
      <c r="NWX74" s="97"/>
      <c r="NWY74" s="97"/>
      <c r="NWZ74" s="97"/>
      <c r="NXA74" s="97"/>
      <c r="NXB74" s="97"/>
      <c r="NXC74" s="97"/>
      <c r="NXD74" s="97"/>
      <c r="NXE74" s="97"/>
      <c r="NXF74" s="97"/>
      <c r="NXG74" s="97"/>
      <c r="NXH74" s="97"/>
      <c r="NXI74" s="97"/>
      <c r="NXJ74" s="97"/>
      <c r="NXK74" s="97"/>
      <c r="NXL74" s="97"/>
      <c r="NXM74" s="97"/>
      <c r="NXN74" s="97"/>
      <c r="NXO74" s="97"/>
      <c r="NXP74" s="97"/>
      <c r="NXQ74" s="97"/>
      <c r="NXR74" s="97"/>
      <c r="NXS74" s="97"/>
      <c r="NXT74" s="97"/>
      <c r="NXU74" s="97"/>
      <c r="NXV74" s="97"/>
      <c r="NXW74" s="97"/>
      <c r="NXX74" s="97"/>
      <c r="NXY74" s="97"/>
      <c r="NXZ74" s="97"/>
      <c r="NYA74" s="97"/>
      <c r="NYB74" s="97"/>
      <c r="NYC74" s="97"/>
      <c r="NYD74" s="97"/>
      <c r="NYE74" s="97"/>
      <c r="NYF74" s="97"/>
      <c r="NYG74" s="97"/>
      <c r="NYH74" s="97"/>
      <c r="NYI74" s="97"/>
      <c r="NYJ74" s="97"/>
      <c r="NYK74" s="97"/>
      <c r="NYL74" s="97"/>
      <c r="NYM74" s="97"/>
      <c r="NYN74" s="97"/>
      <c r="NYO74" s="97"/>
      <c r="NYP74" s="97"/>
      <c r="NYQ74" s="97"/>
      <c r="NYR74" s="97"/>
      <c r="NYS74" s="97"/>
      <c r="NYT74" s="97"/>
      <c r="NYU74" s="97"/>
      <c r="NYV74" s="97"/>
      <c r="NYW74" s="97"/>
      <c r="NYX74" s="97"/>
      <c r="NYY74" s="97"/>
      <c r="NYZ74" s="97"/>
      <c r="NZA74" s="97"/>
      <c r="NZB74" s="97"/>
      <c r="NZC74" s="97"/>
      <c r="NZD74" s="97"/>
      <c r="NZE74" s="97"/>
      <c r="NZF74" s="97"/>
      <c r="NZG74" s="97"/>
      <c r="NZH74" s="97"/>
      <c r="NZI74" s="97"/>
      <c r="NZJ74" s="97"/>
      <c r="NZK74" s="97"/>
      <c r="NZL74" s="97"/>
      <c r="NZM74" s="97"/>
      <c r="NZN74" s="97"/>
      <c r="NZO74" s="97"/>
      <c r="NZP74" s="97"/>
      <c r="NZQ74" s="97"/>
      <c r="NZR74" s="97"/>
      <c r="NZS74" s="97"/>
      <c r="NZT74" s="97"/>
      <c r="NZU74" s="97"/>
      <c r="NZV74" s="97"/>
      <c r="NZW74" s="97"/>
      <c r="NZX74" s="97"/>
      <c r="NZY74" s="97"/>
      <c r="NZZ74" s="97"/>
      <c r="OAA74" s="97"/>
      <c r="OAB74" s="97"/>
      <c r="OAC74" s="97"/>
      <c r="OAD74" s="97"/>
      <c r="OAE74" s="97"/>
      <c r="OAF74" s="97"/>
      <c r="OAG74" s="97"/>
      <c r="OAH74" s="97"/>
      <c r="OAI74" s="97"/>
      <c r="OAJ74" s="97"/>
      <c r="OAK74" s="97"/>
      <c r="OAL74" s="97"/>
      <c r="OAM74" s="97"/>
      <c r="OAN74" s="97"/>
      <c r="OAO74" s="97"/>
      <c r="OAP74" s="97"/>
      <c r="OAQ74" s="97"/>
      <c r="OAR74" s="97"/>
      <c r="OAS74" s="97"/>
      <c r="OAT74" s="97"/>
      <c r="OAU74" s="97"/>
      <c r="OAV74" s="97"/>
      <c r="OAW74" s="97"/>
      <c r="OAX74" s="97"/>
      <c r="OAY74" s="97"/>
      <c r="OAZ74" s="97"/>
      <c r="OBA74" s="97"/>
      <c r="OBB74" s="97"/>
      <c r="OBC74" s="97"/>
      <c r="OBD74" s="97"/>
      <c r="OBE74" s="97"/>
      <c r="OBF74" s="97"/>
      <c r="OBG74" s="97"/>
      <c r="OBH74" s="97"/>
      <c r="OBI74" s="97"/>
      <c r="OBJ74" s="97"/>
      <c r="OBK74" s="97"/>
      <c r="OBL74" s="97"/>
      <c r="OBM74" s="97"/>
      <c r="OBN74" s="97"/>
      <c r="OBO74" s="97"/>
      <c r="OBP74" s="97"/>
      <c r="OBQ74" s="97"/>
      <c r="OBR74" s="97"/>
      <c r="OBS74" s="97"/>
      <c r="OBT74" s="97"/>
      <c r="OBU74" s="97"/>
      <c r="OBV74" s="97"/>
      <c r="OBW74" s="97"/>
      <c r="OBX74" s="97"/>
      <c r="OBY74" s="97"/>
      <c r="OBZ74" s="97"/>
      <c r="OCA74" s="97"/>
      <c r="OCB74" s="97"/>
      <c r="OCC74" s="97"/>
      <c r="OCD74" s="97"/>
      <c r="OCE74" s="97"/>
      <c r="OCF74" s="97"/>
      <c r="OCG74" s="97"/>
      <c r="OCH74" s="97"/>
      <c r="OCI74" s="97"/>
      <c r="OCJ74" s="97"/>
      <c r="OCK74" s="97"/>
      <c r="OCL74" s="97"/>
      <c r="OCM74" s="97"/>
      <c r="OCN74" s="97"/>
      <c r="OCO74" s="97"/>
      <c r="OCP74" s="97"/>
      <c r="OCQ74" s="97"/>
      <c r="OCR74" s="97"/>
      <c r="OCS74" s="97"/>
      <c r="OCT74" s="97"/>
      <c r="OCU74" s="97"/>
      <c r="OCV74" s="97"/>
      <c r="OCW74" s="97"/>
      <c r="OCX74" s="97"/>
      <c r="OCY74" s="97"/>
      <c r="OCZ74" s="97"/>
      <c r="ODA74" s="97"/>
      <c r="ODB74" s="97"/>
      <c r="ODC74" s="97"/>
      <c r="ODD74" s="97"/>
      <c r="ODE74" s="97"/>
      <c r="ODF74" s="97"/>
      <c r="ODG74" s="97"/>
      <c r="ODH74" s="97"/>
      <c r="ODI74" s="97"/>
      <c r="ODJ74" s="97"/>
      <c r="ODK74" s="97"/>
      <c r="ODL74" s="97"/>
      <c r="ODM74" s="97"/>
      <c r="ODN74" s="97"/>
      <c r="ODO74" s="97"/>
      <c r="ODP74" s="97"/>
      <c r="ODQ74" s="97"/>
      <c r="ODR74" s="97"/>
      <c r="ODS74" s="97"/>
      <c r="ODT74" s="97"/>
      <c r="ODU74" s="97"/>
      <c r="ODV74" s="97"/>
      <c r="ODW74" s="97"/>
      <c r="ODX74" s="97"/>
      <c r="ODY74" s="97"/>
      <c r="ODZ74" s="97"/>
      <c r="OEA74" s="97"/>
      <c r="OEB74" s="97"/>
      <c r="OEC74" s="97"/>
      <c r="OED74" s="97"/>
      <c r="OEE74" s="97"/>
      <c r="OEF74" s="97"/>
      <c r="OEG74" s="97"/>
      <c r="OEH74" s="97"/>
      <c r="OEI74" s="97"/>
      <c r="OEJ74" s="97"/>
      <c r="OEK74" s="97"/>
      <c r="OEL74" s="97"/>
      <c r="OEM74" s="97"/>
      <c r="OEN74" s="97"/>
      <c r="OEO74" s="97"/>
      <c r="OEP74" s="97"/>
      <c r="OEQ74" s="97"/>
      <c r="OER74" s="97"/>
      <c r="OES74" s="97"/>
      <c r="OET74" s="97"/>
      <c r="OEU74" s="97"/>
      <c r="OEV74" s="97"/>
      <c r="OEW74" s="97"/>
      <c r="OEX74" s="97"/>
      <c r="OEY74" s="97"/>
      <c r="OEZ74" s="97"/>
      <c r="OFA74" s="97"/>
      <c r="OFB74" s="97"/>
      <c r="OFC74" s="97"/>
      <c r="OFD74" s="97"/>
      <c r="OFE74" s="97"/>
      <c r="OFF74" s="97"/>
      <c r="OFG74" s="97"/>
      <c r="OFH74" s="97"/>
      <c r="OFI74" s="97"/>
      <c r="OFJ74" s="97"/>
      <c r="OFK74" s="97"/>
      <c r="OFL74" s="97"/>
      <c r="OFM74" s="97"/>
      <c r="OFN74" s="97"/>
      <c r="OFO74" s="97"/>
      <c r="OFP74" s="97"/>
      <c r="OFQ74" s="97"/>
      <c r="OFR74" s="97"/>
      <c r="OFS74" s="97"/>
      <c r="OFT74" s="97"/>
      <c r="OFU74" s="97"/>
      <c r="OFV74" s="97"/>
      <c r="OFW74" s="97"/>
      <c r="OFX74" s="97"/>
      <c r="OFY74" s="97"/>
      <c r="OFZ74" s="97"/>
      <c r="OGA74" s="97"/>
      <c r="OGB74" s="97"/>
      <c r="OGC74" s="97"/>
      <c r="OGD74" s="97"/>
      <c r="OGE74" s="97"/>
      <c r="OGF74" s="97"/>
      <c r="OGG74" s="97"/>
      <c r="OGH74" s="97"/>
      <c r="OGI74" s="97"/>
      <c r="OGJ74" s="97"/>
      <c r="OGK74" s="97"/>
      <c r="OGL74" s="97"/>
      <c r="OGM74" s="97"/>
      <c r="OGN74" s="97"/>
      <c r="OGO74" s="97"/>
      <c r="OGP74" s="97"/>
      <c r="OGQ74" s="97"/>
      <c r="OGR74" s="97"/>
      <c r="OGS74" s="97"/>
      <c r="OGT74" s="97"/>
      <c r="OGU74" s="97"/>
      <c r="OGV74" s="97"/>
      <c r="OGW74" s="97"/>
      <c r="OGX74" s="97"/>
      <c r="OGY74" s="97"/>
      <c r="OGZ74" s="97"/>
      <c r="OHA74" s="97"/>
      <c r="OHB74" s="97"/>
      <c r="OHC74" s="97"/>
      <c r="OHD74" s="97"/>
      <c r="OHE74" s="97"/>
      <c r="OHF74" s="97"/>
      <c r="OHG74" s="97"/>
      <c r="OHH74" s="97"/>
      <c r="OHI74" s="97"/>
      <c r="OHJ74" s="97"/>
      <c r="OHK74" s="97"/>
      <c r="OHL74" s="97"/>
      <c r="OHM74" s="97"/>
      <c r="OHN74" s="97"/>
      <c r="OHO74" s="97"/>
      <c r="OHP74" s="97"/>
      <c r="OHQ74" s="97"/>
      <c r="OHR74" s="97"/>
      <c r="OHS74" s="97"/>
      <c r="OHT74" s="97"/>
      <c r="OHU74" s="97"/>
      <c r="OHV74" s="97"/>
      <c r="OHW74" s="97"/>
      <c r="OHX74" s="97"/>
      <c r="OHY74" s="97"/>
      <c r="OHZ74" s="97"/>
      <c r="OIA74" s="97"/>
      <c r="OIB74" s="97"/>
      <c r="OIC74" s="97"/>
      <c r="OID74" s="97"/>
      <c r="OIE74" s="97"/>
      <c r="OIF74" s="97"/>
      <c r="OIG74" s="97"/>
      <c r="OIH74" s="97"/>
      <c r="OII74" s="97"/>
      <c r="OIJ74" s="97"/>
      <c r="OIK74" s="97"/>
      <c r="OIL74" s="97"/>
      <c r="OIM74" s="97"/>
      <c r="OIN74" s="97"/>
      <c r="OIO74" s="97"/>
      <c r="OIP74" s="97"/>
      <c r="OIQ74" s="97"/>
      <c r="OIR74" s="97"/>
      <c r="OIS74" s="97"/>
      <c r="OIT74" s="97"/>
      <c r="OIU74" s="97"/>
      <c r="OIV74" s="97"/>
      <c r="OIW74" s="97"/>
      <c r="OIX74" s="97"/>
      <c r="OIY74" s="97"/>
      <c r="OIZ74" s="97"/>
      <c r="OJA74" s="97"/>
      <c r="OJB74" s="97"/>
      <c r="OJC74" s="97"/>
      <c r="OJD74" s="97"/>
      <c r="OJE74" s="97"/>
      <c r="OJF74" s="97"/>
      <c r="OJG74" s="97"/>
      <c r="OJH74" s="97"/>
      <c r="OJI74" s="97"/>
      <c r="OJJ74" s="97"/>
      <c r="OJK74" s="97"/>
      <c r="OJL74" s="97"/>
      <c r="OJM74" s="97"/>
      <c r="OJN74" s="97"/>
      <c r="OJO74" s="97"/>
      <c r="OJP74" s="97"/>
      <c r="OJQ74" s="97"/>
      <c r="OJR74" s="97"/>
      <c r="OJS74" s="97"/>
      <c r="OJT74" s="97"/>
      <c r="OJU74" s="97"/>
      <c r="OJV74" s="97"/>
      <c r="OJW74" s="97"/>
      <c r="OJX74" s="97"/>
      <c r="OJY74" s="97"/>
      <c r="OJZ74" s="97"/>
      <c r="OKA74" s="97"/>
      <c r="OKB74" s="97"/>
      <c r="OKC74" s="97"/>
      <c r="OKD74" s="97"/>
      <c r="OKE74" s="97"/>
      <c r="OKF74" s="97"/>
      <c r="OKG74" s="97"/>
      <c r="OKH74" s="97"/>
      <c r="OKI74" s="97"/>
      <c r="OKJ74" s="97"/>
      <c r="OKK74" s="97"/>
      <c r="OKL74" s="97"/>
      <c r="OKM74" s="97"/>
      <c r="OKN74" s="97"/>
      <c r="OKO74" s="97"/>
      <c r="OKP74" s="97"/>
      <c r="OKQ74" s="97"/>
      <c r="OKR74" s="97"/>
      <c r="OKS74" s="97"/>
      <c r="OKT74" s="97"/>
      <c r="OKU74" s="97"/>
      <c r="OKV74" s="97"/>
      <c r="OKW74" s="97"/>
      <c r="OKX74" s="97"/>
      <c r="OKY74" s="97"/>
      <c r="OKZ74" s="97"/>
      <c r="OLA74" s="97"/>
      <c r="OLB74" s="97"/>
      <c r="OLC74" s="97"/>
      <c r="OLD74" s="97"/>
      <c r="OLE74" s="97"/>
      <c r="OLF74" s="97"/>
      <c r="OLG74" s="97"/>
      <c r="OLH74" s="97"/>
      <c r="OLI74" s="97"/>
      <c r="OLJ74" s="97"/>
      <c r="OLK74" s="97"/>
      <c r="OLL74" s="97"/>
      <c r="OLM74" s="97"/>
      <c r="OLN74" s="97"/>
      <c r="OLO74" s="97"/>
      <c r="OLP74" s="97"/>
      <c r="OLQ74" s="97"/>
      <c r="OLR74" s="97"/>
      <c r="OLS74" s="97"/>
      <c r="OLT74" s="97"/>
      <c r="OLU74" s="97"/>
      <c r="OLV74" s="97"/>
      <c r="OLW74" s="97"/>
      <c r="OLX74" s="97"/>
      <c r="OLY74" s="97"/>
      <c r="OLZ74" s="97"/>
      <c r="OMA74" s="97"/>
      <c r="OMB74" s="97"/>
      <c r="OMC74" s="97"/>
      <c r="OMD74" s="97"/>
      <c r="OME74" s="97"/>
      <c r="OMF74" s="97"/>
      <c r="OMG74" s="97"/>
      <c r="OMH74" s="97"/>
      <c r="OMI74" s="97"/>
      <c r="OMJ74" s="97"/>
      <c r="OMK74" s="97"/>
      <c r="OML74" s="97"/>
      <c r="OMM74" s="97"/>
      <c r="OMN74" s="97"/>
      <c r="OMO74" s="97"/>
      <c r="OMP74" s="97"/>
      <c r="OMQ74" s="97"/>
      <c r="OMR74" s="97"/>
      <c r="OMS74" s="97"/>
      <c r="OMT74" s="97"/>
      <c r="OMU74" s="97"/>
      <c r="OMV74" s="97"/>
      <c r="OMW74" s="97"/>
      <c r="OMX74" s="97"/>
      <c r="OMY74" s="97"/>
      <c r="OMZ74" s="97"/>
      <c r="ONA74" s="97"/>
      <c r="ONB74" s="97"/>
      <c r="ONC74" s="97"/>
      <c r="OND74" s="97"/>
      <c r="ONE74" s="97"/>
      <c r="ONF74" s="97"/>
      <c r="ONG74" s="97"/>
      <c r="ONH74" s="97"/>
      <c r="ONI74" s="97"/>
      <c r="ONJ74" s="97"/>
      <c r="ONK74" s="97"/>
      <c r="ONL74" s="97"/>
      <c r="ONM74" s="97"/>
      <c r="ONN74" s="97"/>
      <c r="ONO74" s="97"/>
      <c r="ONP74" s="97"/>
      <c r="ONQ74" s="97"/>
      <c r="ONR74" s="97"/>
      <c r="ONS74" s="97"/>
      <c r="ONT74" s="97"/>
      <c r="ONU74" s="97"/>
      <c r="ONV74" s="97"/>
      <c r="ONW74" s="97"/>
      <c r="ONX74" s="97"/>
      <c r="ONY74" s="97"/>
      <c r="ONZ74" s="97"/>
      <c r="OOA74" s="97"/>
      <c r="OOB74" s="97"/>
      <c r="OOC74" s="97"/>
      <c r="OOD74" s="97"/>
      <c r="OOE74" s="97"/>
      <c r="OOF74" s="97"/>
      <c r="OOG74" s="97"/>
      <c r="OOH74" s="97"/>
      <c r="OOI74" s="97"/>
      <c r="OOJ74" s="97"/>
      <c r="OOK74" s="97"/>
      <c r="OOL74" s="97"/>
      <c r="OOM74" s="97"/>
      <c r="OON74" s="97"/>
      <c r="OOO74" s="97"/>
      <c r="OOP74" s="97"/>
      <c r="OOQ74" s="97"/>
      <c r="OOR74" s="97"/>
      <c r="OOS74" s="97"/>
      <c r="OOT74" s="97"/>
      <c r="OOU74" s="97"/>
      <c r="OOV74" s="97"/>
      <c r="OOW74" s="97"/>
      <c r="OOX74" s="97"/>
      <c r="OOY74" s="97"/>
      <c r="OOZ74" s="97"/>
      <c r="OPA74" s="97"/>
      <c r="OPB74" s="97"/>
      <c r="OPC74" s="97"/>
      <c r="OPD74" s="97"/>
      <c r="OPE74" s="97"/>
      <c r="OPF74" s="97"/>
      <c r="OPG74" s="97"/>
      <c r="OPH74" s="97"/>
      <c r="OPI74" s="97"/>
      <c r="OPJ74" s="97"/>
      <c r="OPK74" s="97"/>
      <c r="OPL74" s="97"/>
      <c r="OPM74" s="97"/>
      <c r="OPN74" s="97"/>
      <c r="OPO74" s="97"/>
      <c r="OPP74" s="97"/>
      <c r="OPQ74" s="97"/>
      <c r="OPR74" s="97"/>
      <c r="OPS74" s="97"/>
      <c r="OPT74" s="97"/>
      <c r="OPU74" s="97"/>
      <c r="OPV74" s="97"/>
      <c r="OPW74" s="97"/>
      <c r="OPX74" s="97"/>
      <c r="OPY74" s="97"/>
      <c r="OPZ74" s="97"/>
      <c r="OQA74" s="97"/>
      <c r="OQB74" s="97"/>
      <c r="OQC74" s="97"/>
      <c r="OQD74" s="97"/>
      <c r="OQE74" s="97"/>
      <c r="OQF74" s="97"/>
      <c r="OQG74" s="97"/>
      <c r="OQH74" s="97"/>
      <c r="OQI74" s="97"/>
      <c r="OQJ74" s="97"/>
      <c r="OQK74" s="97"/>
      <c r="OQL74" s="97"/>
      <c r="OQM74" s="97"/>
      <c r="OQN74" s="97"/>
      <c r="OQO74" s="97"/>
      <c r="OQP74" s="97"/>
      <c r="OQQ74" s="97"/>
      <c r="OQR74" s="97"/>
      <c r="OQS74" s="97"/>
      <c r="OQT74" s="97"/>
      <c r="OQU74" s="97"/>
      <c r="OQV74" s="97"/>
      <c r="OQW74" s="97"/>
      <c r="OQX74" s="97"/>
      <c r="OQY74" s="97"/>
      <c r="OQZ74" s="97"/>
      <c r="ORA74" s="97"/>
      <c r="ORB74" s="97"/>
      <c r="ORC74" s="97"/>
      <c r="ORD74" s="97"/>
      <c r="ORE74" s="97"/>
      <c r="ORF74" s="97"/>
      <c r="ORG74" s="97"/>
      <c r="ORH74" s="97"/>
      <c r="ORI74" s="97"/>
      <c r="ORJ74" s="97"/>
      <c r="ORK74" s="97"/>
      <c r="ORL74" s="97"/>
      <c r="ORM74" s="97"/>
      <c r="ORN74" s="97"/>
      <c r="ORO74" s="97"/>
      <c r="ORP74" s="97"/>
      <c r="ORQ74" s="97"/>
      <c r="ORR74" s="97"/>
      <c r="ORS74" s="97"/>
      <c r="ORT74" s="97"/>
      <c r="ORU74" s="97"/>
      <c r="ORV74" s="97"/>
      <c r="ORW74" s="97"/>
      <c r="ORX74" s="97"/>
      <c r="ORY74" s="97"/>
      <c r="ORZ74" s="97"/>
      <c r="OSA74" s="97"/>
      <c r="OSB74" s="97"/>
      <c r="OSC74" s="97"/>
      <c r="OSD74" s="97"/>
      <c r="OSE74" s="97"/>
      <c r="OSF74" s="97"/>
      <c r="OSG74" s="97"/>
      <c r="OSH74" s="97"/>
      <c r="OSI74" s="97"/>
      <c r="OSJ74" s="97"/>
      <c r="OSK74" s="97"/>
      <c r="OSL74" s="97"/>
      <c r="OSM74" s="97"/>
      <c r="OSN74" s="97"/>
      <c r="OSO74" s="97"/>
      <c r="OSP74" s="97"/>
      <c r="OSQ74" s="97"/>
      <c r="OSR74" s="97"/>
      <c r="OSS74" s="97"/>
      <c r="OST74" s="97"/>
      <c r="OSU74" s="97"/>
      <c r="OSV74" s="97"/>
      <c r="OSW74" s="97"/>
      <c r="OSX74" s="97"/>
      <c r="OSY74" s="97"/>
      <c r="OSZ74" s="97"/>
      <c r="OTA74" s="97"/>
      <c r="OTB74" s="97"/>
      <c r="OTC74" s="97"/>
      <c r="OTD74" s="97"/>
      <c r="OTE74" s="97"/>
      <c r="OTF74" s="97"/>
      <c r="OTG74" s="97"/>
      <c r="OTH74" s="97"/>
      <c r="OTI74" s="97"/>
      <c r="OTJ74" s="97"/>
      <c r="OTK74" s="97"/>
      <c r="OTL74" s="97"/>
      <c r="OTM74" s="97"/>
      <c r="OTN74" s="97"/>
      <c r="OTO74" s="97"/>
      <c r="OTP74" s="97"/>
      <c r="OTQ74" s="97"/>
      <c r="OTR74" s="97"/>
      <c r="OTS74" s="97"/>
      <c r="OTT74" s="97"/>
      <c r="OTU74" s="97"/>
      <c r="OTV74" s="97"/>
      <c r="OTW74" s="97"/>
      <c r="OTX74" s="97"/>
      <c r="OTY74" s="97"/>
      <c r="OTZ74" s="97"/>
      <c r="OUA74" s="97"/>
      <c r="OUB74" s="97"/>
      <c r="OUC74" s="97"/>
      <c r="OUD74" s="97"/>
      <c r="OUE74" s="97"/>
      <c r="OUF74" s="97"/>
      <c r="OUG74" s="97"/>
      <c r="OUH74" s="97"/>
      <c r="OUI74" s="97"/>
      <c r="OUJ74" s="97"/>
      <c r="OUK74" s="97"/>
      <c r="OUL74" s="97"/>
      <c r="OUM74" s="97"/>
      <c r="OUN74" s="97"/>
      <c r="OUO74" s="97"/>
      <c r="OUP74" s="97"/>
      <c r="OUQ74" s="97"/>
      <c r="OUR74" s="97"/>
      <c r="OUS74" s="97"/>
      <c r="OUT74" s="97"/>
      <c r="OUU74" s="97"/>
      <c r="OUV74" s="97"/>
      <c r="OUW74" s="97"/>
      <c r="OUX74" s="97"/>
      <c r="OUY74" s="97"/>
      <c r="OUZ74" s="97"/>
      <c r="OVA74" s="97"/>
      <c r="OVB74" s="97"/>
      <c r="OVC74" s="97"/>
      <c r="OVD74" s="97"/>
      <c r="OVE74" s="97"/>
      <c r="OVF74" s="97"/>
      <c r="OVG74" s="97"/>
      <c r="OVH74" s="97"/>
      <c r="OVI74" s="97"/>
      <c r="OVJ74" s="97"/>
      <c r="OVK74" s="97"/>
      <c r="OVL74" s="97"/>
      <c r="OVM74" s="97"/>
      <c r="OVN74" s="97"/>
      <c r="OVO74" s="97"/>
      <c r="OVP74" s="97"/>
      <c r="OVQ74" s="97"/>
      <c r="OVR74" s="97"/>
      <c r="OVS74" s="97"/>
      <c r="OVT74" s="97"/>
      <c r="OVU74" s="97"/>
      <c r="OVV74" s="97"/>
      <c r="OVW74" s="97"/>
      <c r="OVX74" s="97"/>
      <c r="OVY74" s="97"/>
      <c r="OVZ74" s="97"/>
      <c r="OWA74" s="97"/>
      <c r="OWB74" s="97"/>
      <c r="OWC74" s="97"/>
      <c r="OWD74" s="97"/>
      <c r="OWE74" s="97"/>
      <c r="OWF74" s="97"/>
      <c r="OWG74" s="97"/>
      <c r="OWH74" s="97"/>
      <c r="OWI74" s="97"/>
      <c r="OWJ74" s="97"/>
      <c r="OWK74" s="97"/>
      <c r="OWL74" s="97"/>
      <c r="OWM74" s="97"/>
      <c r="OWN74" s="97"/>
      <c r="OWO74" s="97"/>
      <c r="OWP74" s="97"/>
      <c r="OWQ74" s="97"/>
      <c r="OWR74" s="97"/>
      <c r="OWS74" s="97"/>
      <c r="OWT74" s="97"/>
      <c r="OWU74" s="97"/>
      <c r="OWV74" s="97"/>
      <c r="OWW74" s="97"/>
      <c r="OWX74" s="97"/>
      <c r="OWY74" s="97"/>
      <c r="OWZ74" s="97"/>
      <c r="OXA74" s="97"/>
      <c r="OXB74" s="97"/>
      <c r="OXC74" s="97"/>
      <c r="OXD74" s="97"/>
      <c r="OXE74" s="97"/>
      <c r="OXF74" s="97"/>
      <c r="OXG74" s="97"/>
      <c r="OXH74" s="97"/>
      <c r="OXI74" s="97"/>
      <c r="OXJ74" s="97"/>
      <c r="OXK74" s="97"/>
      <c r="OXL74" s="97"/>
      <c r="OXM74" s="97"/>
      <c r="OXN74" s="97"/>
      <c r="OXO74" s="97"/>
      <c r="OXP74" s="97"/>
      <c r="OXQ74" s="97"/>
      <c r="OXR74" s="97"/>
      <c r="OXS74" s="97"/>
      <c r="OXT74" s="97"/>
      <c r="OXU74" s="97"/>
      <c r="OXV74" s="97"/>
      <c r="OXW74" s="97"/>
      <c r="OXX74" s="97"/>
      <c r="OXY74" s="97"/>
      <c r="OXZ74" s="97"/>
      <c r="OYA74" s="97"/>
      <c r="OYB74" s="97"/>
      <c r="OYC74" s="97"/>
      <c r="OYD74" s="97"/>
      <c r="OYE74" s="97"/>
      <c r="OYF74" s="97"/>
      <c r="OYG74" s="97"/>
      <c r="OYH74" s="97"/>
      <c r="OYI74" s="97"/>
      <c r="OYJ74" s="97"/>
      <c r="OYK74" s="97"/>
      <c r="OYL74" s="97"/>
      <c r="OYM74" s="97"/>
      <c r="OYN74" s="97"/>
      <c r="OYO74" s="97"/>
      <c r="OYP74" s="97"/>
      <c r="OYQ74" s="97"/>
      <c r="OYR74" s="97"/>
      <c r="OYS74" s="97"/>
      <c r="OYT74" s="97"/>
      <c r="OYU74" s="97"/>
      <c r="OYV74" s="97"/>
      <c r="OYW74" s="97"/>
      <c r="OYX74" s="97"/>
      <c r="OYY74" s="97"/>
      <c r="OYZ74" s="97"/>
      <c r="OZA74" s="97"/>
      <c r="OZB74" s="97"/>
      <c r="OZC74" s="97"/>
      <c r="OZD74" s="97"/>
      <c r="OZE74" s="97"/>
      <c r="OZF74" s="97"/>
      <c r="OZG74" s="97"/>
      <c r="OZH74" s="97"/>
      <c r="OZI74" s="97"/>
      <c r="OZJ74" s="97"/>
      <c r="OZK74" s="97"/>
      <c r="OZL74" s="97"/>
      <c r="OZM74" s="97"/>
      <c r="OZN74" s="97"/>
      <c r="OZO74" s="97"/>
      <c r="OZP74" s="97"/>
      <c r="OZQ74" s="97"/>
      <c r="OZR74" s="97"/>
      <c r="OZS74" s="97"/>
      <c r="OZT74" s="97"/>
      <c r="OZU74" s="97"/>
      <c r="OZV74" s="97"/>
      <c r="OZW74" s="97"/>
      <c r="OZX74" s="97"/>
      <c r="OZY74" s="97"/>
      <c r="OZZ74" s="97"/>
      <c r="PAA74" s="97"/>
      <c r="PAB74" s="97"/>
      <c r="PAC74" s="97"/>
      <c r="PAD74" s="97"/>
      <c r="PAE74" s="97"/>
      <c r="PAF74" s="97"/>
      <c r="PAG74" s="97"/>
      <c r="PAH74" s="97"/>
      <c r="PAI74" s="97"/>
      <c r="PAJ74" s="97"/>
      <c r="PAK74" s="97"/>
      <c r="PAL74" s="97"/>
      <c r="PAM74" s="97"/>
      <c r="PAN74" s="97"/>
      <c r="PAO74" s="97"/>
      <c r="PAP74" s="97"/>
      <c r="PAQ74" s="97"/>
      <c r="PAR74" s="97"/>
      <c r="PAS74" s="97"/>
      <c r="PAT74" s="97"/>
      <c r="PAU74" s="97"/>
      <c r="PAV74" s="97"/>
      <c r="PAW74" s="97"/>
      <c r="PAX74" s="97"/>
      <c r="PAY74" s="97"/>
      <c r="PAZ74" s="97"/>
      <c r="PBA74" s="97"/>
      <c r="PBB74" s="97"/>
      <c r="PBC74" s="97"/>
      <c r="PBD74" s="97"/>
      <c r="PBE74" s="97"/>
      <c r="PBF74" s="97"/>
      <c r="PBG74" s="97"/>
      <c r="PBH74" s="97"/>
      <c r="PBI74" s="97"/>
      <c r="PBJ74" s="97"/>
      <c r="PBK74" s="97"/>
      <c r="PBL74" s="97"/>
      <c r="PBM74" s="97"/>
      <c r="PBN74" s="97"/>
      <c r="PBO74" s="97"/>
      <c r="PBP74" s="97"/>
      <c r="PBQ74" s="97"/>
      <c r="PBR74" s="97"/>
      <c r="PBS74" s="97"/>
      <c r="PBT74" s="97"/>
      <c r="PBU74" s="97"/>
      <c r="PBV74" s="97"/>
      <c r="PBW74" s="97"/>
      <c r="PBX74" s="97"/>
      <c r="PBY74" s="97"/>
      <c r="PBZ74" s="97"/>
      <c r="PCA74" s="97"/>
      <c r="PCB74" s="97"/>
      <c r="PCC74" s="97"/>
      <c r="PCD74" s="97"/>
      <c r="PCE74" s="97"/>
      <c r="PCF74" s="97"/>
      <c r="PCG74" s="97"/>
      <c r="PCH74" s="97"/>
      <c r="PCI74" s="97"/>
      <c r="PCJ74" s="97"/>
      <c r="PCK74" s="97"/>
      <c r="PCL74" s="97"/>
      <c r="PCM74" s="97"/>
      <c r="PCN74" s="97"/>
      <c r="PCO74" s="97"/>
      <c r="PCP74" s="97"/>
      <c r="PCQ74" s="97"/>
      <c r="PCR74" s="97"/>
      <c r="PCS74" s="97"/>
      <c r="PCT74" s="97"/>
      <c r="PCU74" s="97"/>
      <c r="PCV74" s="97"/>
      <c r="PCW74" s="97"/>
      <c r="PCX74" s="97"/>
      <c r="PCY74" s="97"/>
      <c r="PCZ74" s="97"/>
      <c r="PDA74" s="97"/>
      <c r="PDB74" s="97"/>
      <c r="PDC74" s="97"/>
      <c r="PDD74" s="97"/>
      <c r="PDE74" s="97"/>
      <c r="PDF74" s="97"/>
      <c r="PDG74" s="97"/>
      <c r="PDH74" s="97"/>
      <c r="PDI74" s="97"/>
      <c r="PDJ74" s="97"/>
      <c r="PDK74" s="97"/>
      <c r="PDL74" s="97"/>
      <c r="PDM74" s="97"/>
      <c r="PDN74" s="97"/>
      <c r="PDO74" s="97"/>
      <c r="PDP74" s="97"/>
      <c r="PDQ74" s="97"/>
      <c r="PDR74" s="97"/>
      <c r="PDS74" s="97"/>
      <c r="PDT74" s="97"/>
      <c r="PDU74" s="97"/>
      <c r="PDV74" s="97"/>
      <c r="PDW74" s="97"/>
      <c r="PDX74" s="97"/>
      <c r="PDY74" s="97"/>
      <c r="PDZ74" s="97"/>
      <c r="PEA74" s="97"/>
      <c r="PEB74" s="97"/>
      <c r="PEC74" s="97"/>
      <c r="PED74" s="97"/>
      <c r="PEE74" s="97"/>
      <c r="PEF74" s="97"/>
      <c r="PEG74" s="97"/>
      <c r="PEH74" s="97"/>
      <c r="PEI74" s="97"/>
      <c r="PEJ74" s="97"/>
      <c r="PEK74" s="97"/>
      <c r="PEL74" s="97"/>
      <c r="PEM74" s="97"/>
      <c r="PEN74" s="97"/>
      <c r="PEO74" s="97"/>
      <c r="PEP74" s="97"/>
      <c r="PEQ74" s="97"/>
      <c r="PER74" s="97"/>
      <c r="PES74" s="97"/>
      <c r="PET74" s="97"/>
      <c r="PEU74" s="97"/>
      <c r="PEV74" s="97"/>
      <c r="PEW74" s="97"/>
      <c r="PEX74" s="97"/>
      <c r="PEY74" s="97"/>
      <c r="PEZ74" s="97"/>
      <c r="PFA74" s="97"/>
      <c r="PFB74" s="97"/>
      <c r="PFC74" s="97"/>
      <c r="PFD74" s="97"/>
      <c r="PFE74" s="97"/>
      <c r="PFF74" s="97"/>
      <c r="PFG74" s="97"/>
      <c r="PFH74" s="97"/>
      <c r="PFI74" s="97"/>
      <c r="PFJ74" s="97"/>
      <c r="PFK74" s="97"/>
      <c r="PFL74" s="97"/>
      <c r="PFM74" s="97"/>
      <c r="PFN74" s="97"/>
      <c r="PFO74" s="97"/>
      <c r="PFP74" s="97"/>
      <c r="PFQ74" s="97"/>
      <c r="PFR74" s="97"/>
      <c r="PFS74" s="97"/>
      <c r="PFT74" s="97"/>
      <c r="PFU74" s="97"/>
      <c r="PFV74" s="97"/>
      <c r="PFW74" s="97"/>
      <c r="PFX74" s="97"/>
      <c r="PFY74" s="97"/>
      <c r="PFZ74" s="97"/>
      <c r="PGA74" s="97"/>
      <c r="PGB74" s="97"/>
      <c r="PGC74" s="97"/>
      <c r="PGD74" s="97"/>
      <c r="PGE74" s="97"/>
      <c r="PGF74" s="97"/>
      <c r="PGG74" s="97"/>
      <c r="PGH74" s="97"/>
      <c r="PGI74" s="97"/>
      <c r="PGJ74" s="97"/>
      <c r="PGK74" s="97"/>
      <c r="PGL74" s="97"/>
      <c r="PGM74" s="97"/>
      <c r="PGN74" s="97"/>
      <c r="PGO74" s="97"/>
      <c r="PGP74" s="97"/>
      <c r="PGQ74" s="97"/>
      <c r="PGR74" s="97"/>
      <c r="PGS74" s="97"/>
      <c r="PGT74" s="97"/>
      <c r="PGU74" s="97"/>
      <c r="PGV74" s="97"/>
      <c r="PGW74" s="97"/>
      <c r="PGX74" s="97"/>
      <c r="PGY74" s="97"/>
      <c r="PGZ74" s="97"/>
      <c r="PHA74" s="97"/>
      <c r="PHB74" s="97"/>
      <c r="PHC74" s="97"/>
      <c r="PHD74" s="97"/>
      <c r="PHE74" s="97"/>
      <c r="PHF74" s="97"/>
      <c r="PHG74" s="97"/>
      <c r="PHH74" s="97"/>
      <c r="PHI74" s="97"/>
      <c r="PHJ74" s="97"/>
      <c r="PHK74" s="97"/>
      <c r="PHL74" s="97"/>
      <c r="PHM74" s="97"/>
      <c r="PHN74" s="97"/>
      <c r="PHO74" s="97"/>
      <c r="PHP74" s="97"/>
      <c r="PHQ74" s="97"/>
      <c r="PHR74" s="97"/>
      <c r="PHS74" s="97"/>
      <c r="PHT74" s="97"/>
      <c r="PHU74" s="97"/>
      <c r="PHV74" s="97"/>
      <c r="PHW74" s="97"/>
      <c r="PHX74" s="97"/>
      <c r="PHY74" s="97"/>
      <c r="PHZ74" s="97"/>
      <c r="PIA74" s="97"/>
      <c r="PIB74" s="97"/>
      <c r="PIC74" s="97"/>
      <c r="PID74" s="97"/>
      <c r="PIE74" s="97"/>
      <c r="PIF74" s="97"/>
      <c r="PIG74" s="97"/>
      <c r="PIH74" s="97"/>
      <c r="PII74" s="97"/>
      <c r="PIJ74" s="97"/>
      <c r="PIK74" s="97"/>
      <c r="PIL74" s="97"/>
      <c r="PIM74" s="97"/>
      <c r="PIN74" s="97"/>
      <c r="PIO74" s="97"/>
      <c r="PIP74" s="97"/>
      <c r="PIQ74" s="97"/>
      <c r="PIR74" s="97"/>
      <c r="PIS74" s="97"/>
      <c r="PIT74" s="97"/>
      <c r="PIU74" s="97"/>
      <c r="PIV74" s="97"/>
      <c r="PIW74" s="97"/>
      <c r="PIX74" s="97"/>
      <c r="PIY74" s="97"/>
      <c r="PIZ74" s="97"/>
      <c r="PJA74" s="97"/>
      <c r="PJB74" s="97"/>
      <c r="PJC74" s="97"/>
      <c r="PJD74" s="97"/>
      <c r="PJE74" s="97"/>
      <c r="PJF74" s="97"/>
      <c r="PJG74" s="97"/>
      <c r="PJH74" s="97"/>
      <c r="PJI74" s="97"/>
      <c r="PJJ74" s="97"/>
      <c r="PJK74" s="97"/>
      <c r="PJL74" s="97"/>
      <c r="PJM74" s="97"/>
      <c r="PJN74" s="97"/>
      <c r="PJO74" s="97"/>
      <c r="PJP74" s="97"/>
      <c r="PJQ74" s="97"/>
      <c r="PJR74" s="97"/>
      <c r="PJS74" s="97"/>
      <c r="PJT74" s="97"/>
      <c r="PJU74" s="97"/>
      <c r="PJV74" s="97"/>
      <c r="PJW74" s="97"/>
      <c r="PJX74" s="97"/>
      <c r="PJY74" s="97"/>
      <c r="PJZ74" s="97"/>
      <c r="PKA74" s="97"/>
      <c r="PKB74" s="97"/>
      <c r="PKC74" s="97"/>
      <c r="PKD74" s="97"/>
      <c r="PKE74" s="97"/>
      <c r="PKF74" s="97"/>
      <c r="PKG74" s="97"/>
      <c r="PKH74" s="97"/>
      <c r="PKI74" s="97"/>
      <c r="PKJ74" s="97"/>
      <c r="PKK74" s="97"/>
      <c r="PKL74" s="97"/>
      <c r="PKM74" s="97"/>
      <c r="PKN74" s="97"/>
      <c r="PKO74" s="97"/>
      <c r="PKP74" s="97"/>
      <c r="PKQ74" s="97"/>
      <c r="PKR74" s="97"/>
      <c r="PKS74" s="97"/>
      <c r="PKT74" s="97"/>
      <c r="PKU74" s="97"/>
      <c r="PKV74" s="97"/>
      <c r="PKW74" s="97"/>
      <c r="PKX74" s="97"/>
      <c r="PKY74" s="97"/>
      <c r="PKZ74" s="97"/>
      <c r="PLA74" s="97"/>
      <c r="PLB74" s="97"/>
      <c r="PLC74" s="97"/>
      <c r="PLD74" s="97"/>
      <c r="PLE74" s="97"/>
      <c r="PLF74" s="97"/>
      <c r="PLG74" s="97"/>
      <c r="PLH74" s="97"/>
      <c r="PLI74" s="97"/>
      <c r="PLJ74" s="97"/>
      <c r="PLK74" s="97"/>
      <c r="PLL74" s="97"/>
      <c r="PLM74" s="97"/>
      <c r="PLN74" s="97"/>
      <c r="PLO74" s="97"/>
      <c r="PLP74" s="97"/>
      <c r="PLQ74" s="97"/>
      <c r="PLR74" s="97"/>
      <c r="PLS74" s="97"/>
      <c r="PLT74" s="97"/>
      <c r="PLU74" s="97"/>
      <c r="PLV74" s="97"/>
      <c r="PLW74" s="97"/>
      <c r="PLX74" s="97"/>
      <c r="PLY74" s="97"/>
      <c r="PLZ74" s="97"/>
      <c r="PMA74" s="97"/>
      <c r="PMB74" s="97"/>
      <c r="PMC74" s="97"/>
      <c r="PMD74" s="97"/>
      <c r="PME74" s="97"/>
      <c r="PMF74" s="97"/>
      <c r="PMG74" s="97"/>
      <c r="PMH74" s="97"/>
      <c r="PMI74" s="97"/>
      <c r="PMJ74" s="97"/>
      <c r="PMK74" s="97"/>
      <c r="PML74" s="97"/>
      <c r="PMM74" s="97"/>
      <c r="PMN74" s="97"/>
      <c r="PMO74" s="97"/>
      <c r="PMP74" s="97"/>
      <c r="PMQ74" s="97"/>
      <c r="PMR74" s="97"/>
      <c r="PMS74" s="97"/>
      <c r="PMT74" s="97"/>
      <c r="PMU74" s="97"/>
      <c r="PMV74" s="97"/>
      <c r="PMW74" s="97"/>
      <c r="PMX74" s="97"/>
      <c r="PMY74" s="97"/>
      <c r="PMZ74" s="97"/>
      <c r="PNA74" s="97"/>
      <c r="PNB74" s="97"/>
      <c r="PNC74" s="97"/>
      <c r="PND74" s="97"/>
      <c r="PNE74" s="97"/>
      <c r="PNF74" s="97"/>
      <c r="PNG74" s="97"/>
      <c r="PNH74" s="97"/>
      <c r="PNI74" s="97"/>
      <c r="PNJ74" s="97"/>
      <c r="PNK74" s="97"/>
      <c r="PNL74" s="97"/>
      <c r="PNM74" s="97"/>
      <c r="PNN74" s="97"/>
      <c r="PNO74" s="97"/>
      <c r="PNP74" s="97"/>
      <c r="PNQ74" s="97"/>
      <c r="PNR74" s="97"/>
      <c r="PNS74" s="97"/>
      <c r="PNT74" s="97"/>
      <c r="PNU74" s="97"/>
      <c r="PNV74" s="97"/>
      <c r="PNW74" s="97"/>
      <c r="PNX74" s="97"/>
      <c r="PNY74" s="97"/>
      <c r="PNZ74" s="97"/>
      <c r="POA74" s="97"/>
      <c r="POB74" s="97"/>
      <c r="POC74" s="97"/>
      <c r="POD74" s="97"/>
      <c r="POE74" s="97"/>
      <c r="POF74" s="97"/>
      <c r="POG74" s="97"/>
      <c r="POH74" s="97"/>
      <c r="POI74" s="97"/>
      <c r="POJ74" s="97"/>
      <c r="POK74" s="97"/>
      <c r="POL74" s="97"/>
      <c r="POM74" s="97"/>
      <c r="PON74" s="97"/>
      <c r="POO74" s="97"/>
      <c r="POP74" s="97"/>
      <c r="POQ74" s="97"/>
      <c r="POR74" s="97"/>
      <c r="POS74" s="97"/>
      <c r="POT74" s="97"/>
      <c r="POU74" s="97"/>
      <c r="POV74" s="97"/>
      <c r="POW74" s="97"/>
      <c r="POX74" s="97"/>
      <c r="POY74" s="97"/>
      <c r="POZ74" s="97"/>
      <c r="PPA74" s="97"/>
      <c r="PPB74" s="97"/>
      <c r="PPC74" s="97"/>
      <c r="PPD74" s="97"/>
      <c r="PPE74" s="97"/>
      <c r="PPF74" s="97"/>
      <c r="PPG74" s="97"/>
      <c r="PPH74" s="97"/>
      <c r="PPI74" s="97"/>
      <c r="PPJ74" s="97"/>
      <c r="PPK74" s="97"/>
      <c r="PPL74" s="97"/>
      <c r="PPM74" s="97"/>
      <c r="PPN74" s="97"/>
      <c r="PPO74" s="97"/>
      <c r="PPP74" s="97"/>
      <c r="PPQ74" s="97"/>
      <c r="PPR74" s="97"/>
      <c r="PPS74" s="97"/>
      <c r="PPT74" s="97"/>
      <c r="PPU74" s="97"/>
      <c r="PPV74" s="97"/>
      <c r="PPW74" s="97"/>
      <c r="PPX74" s="97"/>
      <c r="PPY74" s="97"/>
      <c r="PPZ74" s="97"/>
      <c r="PQA74" s="97"/>
      <c r="PQB74" s="97"/>
      <c r="PQC74" s="97"/>
      <c r="PQD74" s="97"/>
      <c r="PQE74" s="97"/>
      <c r="PQF74" s="97"/>
      <c r="PQG74" s="97"/>
      <c r="PQH74" s="97"/>
      <c r="PQI74" s="97"/>
      <c r="PQJ74" s="97"/>
      <c r="PQK74" s="97"/>
      <c r="PQL74" s="97"/>
      <c r="PQM74" s="97"/>
      <c r="PQN74" s="97"/>
      <c r="PQO74" s="97"/>
      <c r="PQP74" s="97"/>
      <c r="PQQ74" s="97"/>
      <c r="PQR74" s="97"/>
      <c r="PQS74" s="97"/>
      <c r="PQT74" s="97"/>
      <c r="PQU74" s="97"/>
      <c r="PQV74" s="97"/>
      <c r="PQW74" s="97"/>
      <c r="PQX74" s="97"/>
      <c r="PQY74" s="97"/>
      <c r="PQZ74" s="97"/>
      <c r="PRA74" s="97"/>
      <c r="PRB74" s="97"/>
      <c r="PRC74" s="97"/>
      <c r="PRD74" s="97"/>
      <c r="PRE74" s="97"/>
      <c r="PRF74" s="97"/>
      <c r="PRG74" s="97"/>
      <c r="PRH74" s="97"/>
      <c r="PRI74" s="97"/>
      <c r="PRJ74" s="97"/>
      <c r="PRK74" s="97"/>
      <c r="PRL74" s="97"/>
      <c r="PRM74" s="97"/>
      <c r="PRN74" s="97"/>
      <c r="PRO74" s="97"/>
      <c r="PRP74" s="97"/>
      <c r="PRQ74" s="97"/>
      <c r="PRR74" s="97"/>
      <c r="PRS74" s="97"/>
      <c r="PRT74" s="97"/>
      <c r="PRU74" s="97"/>
      <c r="PRV74" s="97"/>
      <c r="PRW74" s="97"/>
      <c r="PRX74" s="97"/>
      <c r="PRY74" s="97"/>
      <c r="PRZ74" s="97"/>
      <c r="PSA74" s="97"/>
      <c r="PSB74" s="97"/>
      <c r="PSC74" s="97"/>
      <c r="PSD74" s="97"/>
      <c r="PSE74" s="97"/>
      <c r="PSF74" s="97"/>
      <c r="PSG74" s="97"/>
      <c r="PSH74" s="97"/>
      <c r="PSI74" s="97"/>
      <c r="PSJ74" s="97"/>
      <c r="PSK74" s="97"/>
      <c r="PSL74" s="97"/>
      <c r="PSM74" s="97"/>
      <c r="PSN74" s="97"/>
      <c r="PSO74" s="97"/>
      <c r="PSP74" s="97"/>
      <c r="PSQ74" s="97"/>
      <c r="PSR74" s="97"/>
      <c r="PSS74" s="97"/>
      <c r="PST74" s="97"/>
      <c r="PSU74" s="97"/>
      <c r="PSV74" s="97"/>
      <c r="PSW74" s="97"/>
      <c r="PSX74" s="97"/>
      <c r="PSY74" s="97"/>
      <c r="PSZ74" s="97"/>
      <c r="PTA74" s="97"/>
      <c r="PTB74" s="97"/>
      <c r="PTC74" s="97"/>
      <c r="PTD74" s="97"/>
      <c r="PTE74" s="97"/>
      <c r="PTF74" s="97"/>
      <c r="PTG74" s="97"/>
      <c r="PTH74" s="97"/>
      <c r="PTI74" s="97"/>
      <c r="PTJ74" s="97"/>
      <c r="PTK74" s="97"/>
      <c r="PTL74" s="97"/>
      <c r="PTM74" s="97"/>
      <c r="PTN74" s="97"/>
      <c r="PTO74" s="97"/>
      <c r="PTP74" s="97"/>
      <c r="PTQ74" s="97"/>
      <c r="PTR74" s="97"/>
      <c r="PTS74" s="97"/>
      <c r="PTT74" s="97"/>
      <c r="PTU74" s="97"/>
      <c r="PTV74" s="97"/>
      <c r="PTW74" s="97"/>
      <c r="PTX74" s="97"/>
      <c r="PTY74" s="97"/>
      <c r="PTZ74" s="97"/>
      <c r="PUA74" s="97"/>
      <c r="PUB74" s="97"/>
      <c r="PUC74" s="97"/>
      <c r="PUD74" s="97"/>
      <c r="PUE74" s="97"/>
      <c r="PUF74" s="97"/>
      <c r="PUG74" s="97"/>
      <c r="PUH74" s="97"/>
      <c r="PUI74" s="97"/>
      <c r="PUJ74" s="97"/>
      <c r="PUK74" s="97"/>
      <c r="PUL74" s="97"/>
      <c r="PUM74" s="97"/>
      <c r="PUN74" s="97"/>
      <c r="PUO74" s="97"/>
      <c r="PUP74" s="97"/>
      <c r="PUQ74" s="97"/>
      <c r="PUR74" s="97"/>
      <c r="PUS74" s="97"/>
      <c r="PUT74" s="97"/>
      <c r="PUU74" s="97"/>
      <c r="PUV74" s="97"/>
      <c r="PUW74" s="97"/>
      <c r="PUX74" s="97"/>
      <c r="PUY74" s="97"/>
      <c r="PUZ74" s="97"/>
      <c r="PVA74" s="97"/>
      <c r="PVB74" s="97"/>
      <c r="PVC74" s="97"/>
      <c r="PVD74" s="97"/>
      <c r="PVE74" s="97"/>
      <c r="PVF74" s="97"/>
      <c r="PVG74" s="97"/>
      <c r="PVH74" s="97"/>
      <c r="PVI74" s="97"/>
      <c r="PVJ74" s="97"/>
      <c r="PVK74" s="97"/>
      <c r="PVL74" s="97"/>
      <c r="PVM74" s="97"/>
      <c r="PVN74" s="97"/>
      <c r="PVO74" s="97"/>
      <c r="PVP74" s="97"/>
      <c r="PVQ74" s="97"/>
      <c r="PVR74" s="97"/>
      <c r="PVS74" s="97"/>
      <c r="PVT74" s="97"/>
      <c r="PVU74" s="97"/>
      <c r="PVV74" s="97"/>
      <c r="PVW74" s="97"/>
      <c r="PVX74" s="97"/>
      <c r="PVY74" s="97"/>
      <c r="PVZ74" s="97"/>
      <c r="PWA74" s="97"/>
      <c r="PWB74" s="97"/>
      <c r="PWC74" s="97"/>
      <c r="PWD74" s="97"/>
      <c r="PWE74" s="97"/>
      <c r="PWF74" s="97"/>
      <c r="PWG74" s="97"/>
      <c r="PWH74" s="97"/>
      <c r="PWI74" s="97"/>
      <c r="PWJ74" s="97"/>
      <c r="PWK74" s="97"/>
      <c r="PWL74" s="97"/>
      <c r="PWM74" s="97"/>
      <c r="PWN74" s="97"/>
      <c r="PWO74" s="97"/>
      <c r="PWP74" s="97"/>
      <c r="PWQ74" s="97"/>
      <c r="PWR74" s="97"/>
      <c r="PWS74" s="97"/>
      <c r="PWT74" s="97"/>
      <c r="PWU74" s="97"/>
      <c r="PWV74" s="97"/>
      <c r="PWW74" s="97"/>
      <c r="PWX74" s="97"/>
      <c r="PWY74" s="97"/>
      <c r="PWZ74" s="97"/>
      <c r="PXA74" s="97"/>
      <c r="PXB74" s="97"/>
      <c r="PXC74" s="97"/>
      <c r="PXD74" s="97"/>
      <c r="PXE74" s="97"/>
      <c r="PXF74" s="97"/>
      <c r="PXG74" s="97"/>
      <c r="PXH74" s="97"/>
      <c r="PXI74" s="97"/>
      <c r="PXJ74" s="97"/>
      <c r="PXK74" s="97"/>
      <c r="PXL74" s="97"/>
      <c r="PXM74" s="97"/>
      <c r="PXN74" s="97"/>
      <c r="PXO74" s="97"/>
      <c r="PXP74" s="97"/>
      <c r="PXQ74" s="97"/>
      <c r="PXR74" s="97"/>
      <c r="PXS74" s="97"/>
      <c r="PXT74" s="97"/>
      <c r="PXU74" s="97"/>
      <c r="PXV74" s="97"/>
      <c r="PXW74" s="97"/>
      <c r="PXX74" s="97"/>
      <c r="PXY74" s="97"/>
      <c r="PXZ74" s="97"/>
      <c r="PYA74" s="97"/>
      <c r="PYB74" s="97"/>
      <c r="PYC74" s="97"/>
      <c r="PYD74" s="97"/>
      <c r="PYE74" s="97"/>
      <c r="PYF74" s="97"/>
      <c r="PYG74" s="97"/>
      <c r="PYH74" s="97"/>
      <c r="PYI74" s="97"/>
      <c r="PYJ74" s="97"/>
      <c r="PYK74" s="97"/>
      <c r="PYL74" s="97"/>
      <c r="PYM74" s="97"/>
      <c r="PYN74" s="97"/>
      <c r="PYO74" s="97"/>
      <c r="PYP74" s="97"/>
      <c r="PYQ74" s="97"/>
      <c r="PYR74" s="97"/>
      <c r="PYS74" s="97"/>
      <c r="PYT74" s="97"/>
      <c r="PYU74" s="97"/>
      <c r="PYV74" s="97"/>
      <c r="PYW74" s="97"/>
      <c r="PYX74" s="97"/>
      <c r="PYY74" s="97"/>
      <c r="PYZ74" s="97"/>
      <c r="PZA74" s="97"/>
      <c r="PZB74" s="97"/>
      <c r="PZC74" s="97"/>
      <c r="PZD74" s="97"/>
      <c r="PZE74" s="97"/>
      <c r="PZF74" s="97"/>
      <c r="PZG74" s="97"/>
      <c r="PZH74" s="97"/>
      <c r="PZI74" s="97"/>
      <c r="PZJ74" s="97"/>
      <c r="PZK74" s="97"/>
      <c r="PZL74" s="97"/>
      <c r="PZM74" s="97"/>
      <c r="PZN74" s="97"/>
      <c r="PZO74" s="97"/>
      <c r="PZP74" s="97"/>
      <c r="PZQ74" s="97"/>
      <c r="PZR74" s="97"/>
      <c r="PZS74" s="97"/>
      <c r="PZT74" s="97"/>
      <c r="PZU74" s="97"/>
      <c r="PZV74" s="97"/>
      <c r="PZW74" s="97"/>
      <c r="PZX74" s="97"/>
      <c r="PZY74" s="97"/>
      <c r="PZZ74" s="97"/>
      <c r="QAA74" s="97"/>
      <c r="QAB74" s="97"/>
      <c r="QAC74" s="97"/>
      <c r="QAD74" s="97"/>
      <c r="QAE74" s="97"/>
      <c r="QAF74" s="97"/>
      <c r="QAG74" s="97"/>
      <c r="QAH74" s="97"/>
      <c r="QAI74" s="97"/>
      <c r="QAJ74" s="97"/>
      <c r="QAK74" s="97"/>
      <c r="QAL74" s="97"/>
      <c r="QAM74" s="97"/>
      <c r="QAN74" s="97"/>
      <c r="QAO74" s="97"/>
      <c r="QAP74" s="97"/>
      <c r="QAQ74" s="97"/>
      <c r="QAR74" s="97"/>
      <c r="QAS74" s="97"/>
      <c r="QAT74" s="97"/>
      <c r="QAU74" s="97"/>
      <c r="QAV74" s="97"/>
      <c r="QAW74" s="97"/>
      <c r="QAX74" s="97"/>
      <c r="QAY74" s="97"/>
      <c r="QAZ74" s="97"/>
      <c r="QBA74" s="97"/>
      <c r="QBB74" s="97"/>
      <c r="QBC74" s="97"/>
      <c r="QBD74" s="97"/>
      <c r="QBE74" s="97"/>
      <c r="QBF74" s="97"/>
      <c r="QBG74" s="97"/>
      <c r="QBH74" s="97"/>
      <c r="QBI74" s="97"/>
      <c r="QBJ74" s="97"/>
      <c r="QBK74" s="97"/>
      <c r="QBL74" s="97"/>
      <c r="QBM74" s="97"/>
      <c r="QBN74" s="97"/>
      <c r="QBO74" s="97"/>
      <c r="QBP74" s="97"/>
      <c r="QBQ74" s="97"/>
      <c r="QBR74" s="97"/>
      <c r="QBS74" s="97"/>
      <c r="QBT74" s="97"/>
      <c r="QBU74" s="97"/>
      <c r="QBV74" s="97"/>
      <c r="QBW74" s="97"/>
      <c r="QBX74" s="97"/>
      <c r="QBY74" s="97"/>
      <c r="QBZ74" s="97"/>
      <c r="QCA74" s="97"/>
      <c r="QCB74" s="97"/>
      <c r="QCC74" s="97"/>
      <c r="QCD74" s="97"/>
      <c r="QCE74" s="97"/>
      <c r="QCF74" s="97"/>
      <c r="QCG74" s="97"/>
      <c r="QCH74" s="97"/>
      <c r="QCI74" s="97"/>
      <c r="QCJ74" s="97"/>
      <c r="QCK74" s="97"/>
      <c r="QCL74" s="97"/>
      <c r="QCM74" s="97"/>
      <c r="QCN74" s="97"/>
      <c r="QCO74" s="97"/>
      <c r="QCP74" s="97"/>
      <c r="QCQ74" s="97"/>
      <c r="QCR74" s="97"/>
      <c r="QCS74" s="97"/>
      <c r="QCT74" s="97"/>
      <c r="QCU74" s="97"/>
      <c r="QCV74" s="97"/>
      <c r="QCW74" s="97"/>
      <c r="QCX74" s="97"/>
      <c r="QCY74" s="97"/>
      <c r="QCZ74" s="97"/>
      <c r="QDA74" s="97"/>
      <c r="QDB74" s="97"/>
      <c r="QDC74" s="97"/>
      <c r="QDD74" s="97"/>
      <c r="QDE74" s="97"/>
      <c r="QDF74" s="97"/>
      <c r="QDG74" s="97"/>
      <c r="QDH74" s="97"/>
      <c r="QDI74" s="97"/>
      <c r="QDJ74" s="97"/>
      <c r="QDK74" s="97"/>
      <c r="QDL74" s="97"/>
      <c r="QDM74" s="97"/>
      <c r="QDN74" s="97"/>
      <c r="QDO74" s="97"/>
      <c r="QDP74" s="97"/>
      <c r="QDQ74" s="97"/>
      <c r="QDR74" s="97"/>
      <c r="QDS74" s="97"/>
      <c r="QDT74" s="97"/>
      <c r="QDU74" s="97"/>
      <c r="QDV74" s="97"/>
      <c r="QDW74" s="97"/>
      <c r="QDX74" s="97"/>
      <c r="QDY74" s="97"/>
      <c r="QDZ74" s="97"/>
      <c r="QEA74" s="97"/>
      <c r="QEB74" s="97"/>
      <c r="QEC74" s="97"/>
      <c r="QED74" s="97"/>
      <c r="QEE74" s="97"/>
      <c r="QEF74" s="97"/>
      <c r="QEG74" s="97"/>
      <c r="QEH74" s="97"/>
      <c r="QEI74" s="97"/>
      <c r="QEJ74" s="97"/>
      <c r="QEK74" s="97"/>
      <c r="QEL74" s="97"/>
      <c r="QEM74" s="97"/>
      <c r="QEN74" s="97"/>
      <c r="QEO74" s="97"/>
      <c r="QEP74" s="97"/>
      <c r="QEQ74" s="97"/>
      <c r="QER74" s="97"/>
      <c r="QES74" s="97"/>
      <c r="QET74" s="97"/>
      <c r="QEU74" s="97"/>
      <c r="QEV74" s="97"/>
      <c r="QEW74" s="97"/>
      <c r="QEX74" s="97"/>
      <c r="QEY74" s="97"/>
      <c r="QEZ74" s="97"/>
      <c r="QFA74" s="97"/>
      <c r="QFB74" s="97"/>
      <c r="QFC74" s="97"/>
      <c r="QFD74" s="97"/>
      <c r="QFE74" s="97"/>
      <c r="QFF74" s="97"/>
      <c r="QFG74" s="97"/>
      <c r="QFH74" s="97"/>
      <c r="QFI74" s="97"/>
      <c r="QFJ74" s="97"/>
      <c r="QFK74" s="97"/>
      <c r="QFL74" s="97"/>
      <c r="QFM74" s="97"/>
      <c r="QFN74" s="97"/>
      <c r="QFO74" s="97"/>
      <c r="QFP74" s="97"/>
      <c r="QFQ74" s="97"/>
      <c r="QFR74" s="97"/>
      <c r="QFS74" s="97"/>
      <c r="QFT74" s="97"/>
      <c r="QFU74" s="97"/>
      <c r="QFV74" s="97"/>
      <c r="QFW74" s="97"/>
      <c r="QFX74" s="97"/>
      <c r="QFY74" s="97"/>
      <c r="QFZ74" s="97"/>
      <c r="QGA74" s="97"/>
      <c r="QGB74" s="97"/>
      <c r="QGC74" s="97"/>
      <c r="QGD74" s="97"/>
      <c r="QGE74" s="97"/>
      <c r="QGF74" s="97"/>
      <c r="QGG74" s="97"/>
      <c r="QGH74" s="97"/>
      <c r="QGI74" s="97"/>
      <c r="QGJ74" s="97"/>
      <c r="QGK74" s="97"/>
      <c r="QGL74" s="97"/>
      <c r="QGM74" s="97"/>
      <c r="QGN74" s="97"/>
      <c r="QGO74" s="97"/>
      <c r="QGP74" s="97"/>
      <c r="QGQ74" s="97"/>
      <c r="QGR74" s="97"/>
      <c r="QGS74" s="97"/>
      <c r="QGT74" s="97"/>
      <c r="QGU74" s="97"/>
      <c r="QGV74" s="97"/>
      <c r="QGW74" s="97"/>
      <c r="QGX74" s="97"/>
      <c r="QGY74" s="97"/>
      <c r="QGZ74" s="97"/>
      <c r="QHA74" s="97"/>
      <c r="QHB74" s="97"/>
      <c r="QHC74" s="97"/>
      <c r="QHD74" s="97"/>
      <c r="QHE74" s="97"/>
      <c r="QHF74" s="97"/>
      <c r="QHG74" s="97"/>
      <c r="QHH74" s="97"/>
      <c r="QHI74" s="97"/>
      <c r="QHJ74" s="97"/>
      <c r="QHK74" s="97"/>
      <c r="QHL74" s="97"/>
      <c r="QHM74" s="97"/>
      <c r="QHN74" s="97"/>
      <c r="QHO74" s="97"/>
      <c r="QHP74" s="97"/>
      <c r="QHQ74" s="97"/>
      <c r="QHR74" s="97"/>
      <c r="QHS74" s="97"/>
      <c r="QHT74" s="97"/>
      <c r="QHU74" s="97"/>
      <c r="QHV74" s="97"/>
      <c r="QHW74" s="97"/>
      <c r="QHX74" s="97"/>
      <c r="QHY74" s="97"/>
      <c r="QHZ74" s="97"/>
      <c r="QIA74" s="97"/>
      <c r="QIB74" s="97"/>
      <c r="QIC74" s="97"/>
      <c r="QID74" s="97"/>
      <c r="QIE74" s="97"/>
      <c r="QIF74" s="97"/>
      <c r="QIG74" s="97"/>
      <c r="QIH74" s="97"/>
      <c r="QII74" s="97"/>
      <c r="QIJ74" s="97"/>
      <c r="QIK74" s="97"/>
      <c r="QIL74" s="97"/>
      <c r="QIM74" s="97"/>
      <c r="QIN74" s="97"/>
      <c r="QIO74" s="97"/>
      <c r="QIP74" s="97"/>
      <c r="QIQ74" s="97"/>
      <c r="QIR74" s="97"/>
      <c r="QIS74" s="97"/>
      <c r="QIT74" s="97"/>
      <c r="QIU74" s="97"/>
      <c r="QIV74" s="97"/>
      <c r="QIW74" s="97"/>
      <c r="QIX74" s="97"/>
      <c r="QIY74" s="97"/>
      <c r="QIZ74" s="97"/>
      <c r="QJA74" s="97"/>
      <c r="QJB74" s="97"/>
      <c r="QJC74" s="97"/>
      <c r="QJD74" s="97"/>
      <c r="QJE74" s="97"/>
      <c r="QJF74" s="97"/>
      <c r="QJG74" s="97"/>
      <c r="QJH74" s="97"/>
      <c r="QJI74" s="97"/>
      <c r="QJJ74" s="97"/>
      <c r="QJK74" s="97"/>
      <c r="QJL74" s="97"/>
      <c r="QJM74" s="97"/>
      <c r="QJN74" s="97"/>
      <c r="QJO74" s="97"/>
      <c r="QJP74" s="97"/>
      <c r="QJQ74" s="97"/>
      <c r="QJR74" s="97"/>
      <c r="QJS74" s="97"/>
      <c r="QJT74" s="97"/>
      <c r="QJU74" s="97"/>
      <c r="QJV74" s="97"/>
      <c r="QJW74" s="97"/>
      <c r="QJX74" s="97"/>
      <c r="QJY74" s="97"/>
      <c r="QJZ74" s="97"/>
      <c r="QKA74" s="97"/>
      <c r="QKB74" s="97"/>
      <c r="QKC74" s="97"/>
      <c r="QKD74" s="97"/>
      <c r="QKE74" s="97"/>
      <c r="QKF74" s="97"/>
      <c r="QKG74" s="97"/>
      <c r="QKH74" s="97"/>
      <c r="QKI74" s="97"/>
      <c r="QKJ74" s="97"/>
      <c r="QKK74" s="97"/>
      <c r="QKL74" s="97"/>
      <c r="QKM74" s="97"/>
      <c r="QKN74" s="97"/>
      <c r="QKO74" s="97"/>
      <c r="QKP74" s="97"/>
      <c r="QKQ74" s="97"/>
      <c r="QKR74" s="97"/>
      <c r="QKS74" s="97"/>
      <c r="QKT74" s="97"/>
      <c r="QKU74" s="97"/>
      <c r="QKV74" s="97"/>
      <c r="QKW74" s="97"/>
      <c r="QKX74" s="97"/>
      <c r="QKY74" s="97"/>
      <c r="QKZ74" s="97"/>
      <c r="QLA74" s="97"/>
      <c r="QLB74" s="97"/>
      <c r="QLC74" s="97"/>
      <c r="QLD74" s="97"/>
      <c r="QLE74" s="97"/>
      <c r="QLF74" s="97"/>
      <c r="QLG74" s="97"/>
      <c r="QLH74" s="97"/>
      <c r="QLI74" s="97"/>
      <c r="QLJ74" s="97"/>
      <c r="QLK74" s="97"/>
      <c r="QLL74" s="97"/>
      <c r="QLM74" s="97"/>
      <c r="QLN74" s="97"/>
      <c r="QLO74" s="97"/>
      <c r="QLP74" s="97"/>
      <c r="QLQ74" s="97"/>
      <c r="QLR74" s="97"/>
      <c r="QLS74" s="97"/>
      <c r="QLT74" s="97"/>
      <c r="QLU74" s="97"/>
      <c r="QLV74" s="97"/>
      <c r="QLW74" s="97"/>
      <c r="QLX74" s="97"/>
      <c r="QLY74" s="97"/>
      <c r="QLZ74" s="97"/>
      <c r="QMA74" s="97"/>
      <c r="QMB74" s="97"/>
      <c r="QMC74" s="97"/>
      <c r="QMD74" s="97"/>
      <c r="QME74" s="97"/>
      <c r="QMF74" s="97"/>
      <c r="QMG74" s="97"/>
      <c r="QMH74" s="97"/>
      <c r="QMI74" s="97"/>
      <c r="QMJ74" s="97"/>
      <c r="QMK74" s="97"/>
      <c r="QML74" s="97"/>
      <c r="QMM74" s="97"/>
      <c r="QMN74" s="97"/>
      <c r="QMO74" s="97"/>
      <c r="QMP74" s="97"/>
      <c r="QMQ74" s="97"/>
      <c r="QMR74" s="97"/>
      <c r="QMS74" s="97"/>
      <c r="QMT74" s="97"/>
      <c r="QMU74" s="97"/>
      <c r="QMV74" s="97"/>
      <c r="QMW74" s="97"/>
      <c r="QMX74" s="97"/>
      <c r="QMY74" s="97"/>
      <c r="QMZ74" s="97"/>
      <c r="QNA74" s="97"/>
      <c r="QNB74" s="97"/>
      <c r="QNC74" s="97"/>
      <c r="QND74" s="97"/>
      <c r="QNE74" s="97"/>
      <c r="QNF74" s="97"/>
      <c r="QNG74" s="97"/>
      <c r="QNH74" s="97"/>
      <c r="QNI74" s="97"/>
      <c r="QNJ74" s="97"/>
      <c r="QNK74" s="97"/>
      <c r="QNL74" s="97"/>
      <c r="QNM74" s="97"/>
      <c r="QNN74" s="97"/>
      <c r="QNO74" s="97"/>
      <c r="QNP74" s="97"/>
      <c r="QNQ74" s="97"/>
      <c r="QNR74" s="97"/>
      <c r="QNS74" s="97"/>
      <c r="QNT74" s="97"/>
      <c r="QNU74" s="97"/>
      <c r="QNV74" s="97"/>
      <c r="QNW74" s="97"/>
      <c r="QNX74" s="97"/>
      <c r="QNY74" s="97"/>
      <c r="QNZ74" s="97"/>
      <c r="QOA74" s="97"/>
      <c r="QOB74" s="97"/>
      <c r="QOC74" s="97"/>
      <c r="QOD74" s="97"/>
      <c r="QOE74" s="97"/>
      <c r="QOF74" s="97"/>
      <c r="QOG74" s="97"/>
      <c r="QOH74" s="97"/>
      <c r="QOI74" s="97"/>
      <c r="QOJ74" s="97"/>
      <c r="QOK74" s="97"/>
      <c r="QOL74" s="97"/>
      <c r="QOM74" s="97"/>
      <c r="QON74" s="97"/>
      <c r="QOO74" s="97"/>
      <c r="QOP74" s="97"/>
      <c r="QOQ74" s="97"/>
      <c r="QOR74" s="97"/>
      <c r="QOS74" s="97"/>
      <c r="QOT74" s="97"/>
      <c r="QOU74" s="97"/>
      <c r="QOV74" s="97"/>
      <c r="QOW74" s="97"/>
      <c r="QOX74" s="97"/>
      <c r="QOY74" s="97"/>
      <c r="QOZ74" s="97"/>
      <c r="QPA74" s="97"/>
      <c r="QPB74" s="97"/>
      <c r="QPC74" s="97"/>
      <c r="QPD74" s="97"/>
      <c r="QPE74" s="97"/>
      <c r="QPF74" s="97"/>
      <c r="QPG74" s="97"/>
      <c r="QPH74" s="97"/>
      <c r="QPI74" s="97"/>
      <c r="QPJ74" s="97"/>
      <c r="QPK74" s="97"/>
      <c r="QPL74" s="97"/>
      <c r="QPM74" s="97"/>
      <c r="QPN74" s="97"/>
      <c r="QPO74" s="97"/>
      <c r="QPP74" s="97"/>
      <c r="QPQ74" s="97"/>
      <c r="QPR74" s="97"/>
      <c r="QPS74" s="97"/>
      <c r="QPT74" s="97"/>
      <c r="QPU74" s="97"/>
      <c r="QPV74" s="97"/>
      <c r="QPW74" s="97"/>
      <c r="QPX74" s="97"/>
      <c r="QPY74" s="97"/>
      <c r="QPZ74" s="97"/>
      <c r="QQA74" s="97"/>
      <c r="QQB74" s="97"/>
      <c r="QQC74" s="97"/>
      <c r="QQD74" s="97"/>
      <c r="QQE74" s="97"/>
      <c r="QQF74" s="97"/>
      <c r="QQG74" s="97"/>
      <c r="QQH74" s="97"/>
      <c r="QQI74" s="97"/>
      <c r="QQJ74" s="97"/>
      <c r="QQK74" s="97"/>
      <c r="QQL74" s="97"/>
      <c r="QQM74" s="97"/>
      <c r="QQN74" s="97"/>
      <c r="QQO74" s="97"/>
      <c r="QQP74" s="97"/>
      <c r="QQQ74" s="97"/>
      <c r="QQR74" s="97"/>
      <c r="QQS74" s="97"/>
      <c r="QQT74" s="97"/>
      <c r="QQU74" s="97"/>
      <c r="QQV74" s="97"/>
      <c r="QQW74" s="97"/>
      <c r="QQX74" s="97"/>
      <c r="QQY74" s="97"/>
      <c r="QQZ74" s="97"/>
      <c r="QRA74" s="97"/>
      <c r="QRB74" s="97"/>
      <c r="QRC74" s="97"/>
      <c r="QRD74" s="97"/>
      <c r="QRE74" s="97"/>
      <c r="QRF74" s="97"/>
      <c r="QRG74" s="97"/>
      <c r="QRH74" s="97"/>
      <c r="QRI74" s="97"/>
      <c r="QRJ74" s="97"/>
      <c r="QRK74" s="97"/>
      <c r="QRL74" s="97"/>
      <c r="QRM74" s="97"/>
      <c r="QRN74" s="97"/>
      <c r="QRO74" s="97"/>
      <c r="QRP74" s="97"/>
      <c r="QRQ74" s="97"/>
      <c r="QRR74" s="97"/>
      <c r="QRS74" s="97"/>
      <c r="QRT74" s="97"/>
      <c r="QRU74" s="97"/>
      <c r="QRV74" s="97"/>
      <c r="QRW74" s="97"/>
      <c r="QRX74" s="97"/>
      <c r="QRY74" s="97"/>
      <c r="QRZ74" s="97"/>
      <c r="QSA74" s="97"/>
      <c r="QSB74" s="97"/>
      <c r="QSC74" s="97"/>
      <c r="QSD74" s="97"/>
      <c r="QSE74" s="97"/>
      <c r="QSF74" s="97"/>
      <c r="QSG74" s="97"/>
      <c r="QSH74" s="97"/>
      <c r="QSI74" s="97"/>
      <c r="QSJ74" s="97"/>
      <c r="QSK74" s="97"/>
      <c r="QSL74" s="97"/>
      <c r="QSM74" s="97"/>
      <c r="QSN74" s="97"/>
      <c r="QSO74" s="97"/>
      <c r="QSP74" s="97"/>
      <c r="QSQ74" s="97"/>
      <c r="QSR74" s="97"/>
      <c r="QSS74" s="97"/>
      <c r="QST74" s="97"/>
      <c r="QSU74" s="97"/>
      <c r="QSV74" s="97"/>
      <c r="QSW74" s="97"/>
      <c r="QSX74" s="97"/>
      <c r="QSY74" s="97"/>
      <c r="QSZ74" s="97"/>
      <c r="QTA74" s="97"/>
      <c r="QTB74" s="97"/>
      <c r="QTC74" s="97"/>
      <c r="QTD74" s="97"/>
      <c r="QTE74" s="97"/>
      <c r="QTF74" s="97"/>
      <c r="QTG74" s="97"/>
      <c r="QTH74" s="97"/>
      <c r="QTI74" s="97"/>
      <c r="QTJ74" s="97"/>
      <c r="QTK74" s="97"/>
      <c r="QTL74" s="97"/>
      <c r="QTM74" s="97"/>
      <c r="QTN74" s="97"/>
      <c r="QTO74" s="97"/>
      <c r="QTP74" s="97"/>
      <c r="QTQ74" s="97"/>
      <c r="QTR74" s="97"/>
      <c r="QTS74" s="97"/>
      <c r="QTT74" s="97"/>
      <c r="QTU74" s="97"/>
      <c r="QTV74" s="97"/>
      <c r="QTW74" s="97"/>
      <c r="QTX74" s="97"/>
      <c r="QTY74" s="97"/>
      <c r="QTZ74" s="97"/>
      <c r="QUA74" s="97"/>
      <c r="QUB74" s="97"/>
      <c r="QUC74" s="97"/>
      <c r="QUD74" s="97"/>
      <c r="QUE74" s="97"/>
      <c r="QUF74" s="97"/>
      <c r="QUG74" s="97"/>
      <c r="QUH74" s="97"/>
      <c r="QUI74" s="97"/>
      <c r="QUJ74" s="97"/>
      <c r="QUK74" s="97"/>
      <c r="QUL74" s="97"/>
      <c r="QUM74" s="97"/>
      <c r="QUN74" s="97"/>
      <c r="QUO74" s="97"/>
      <c r="QUP74" s="97"/>
      <c r="QUQ74" s="97"/>
      <c r="QUR74" s="97"/>
      <c r="QUS74" s="97"/>
      <c r="QUT74" s="97"/>
      <c r="QUU74" s="97"/>
      <c r="QUV74" s="97"/>
      <c r="QUW74" s="97"/>
      <c r="QUX74" s="97"/>
      <c r="QUY74" s="97"/>
      <c r="QUZ74" s="97"/>
      <c r="QVA74" s="97"/>
      <c r="QVB74" s="97"/>
      <c r="QVC74" s="97"/>
      <c r="QVD74" s="97"/>
      <c r="QVE74" s="97"/>
      <c r="QVF74" s="97"/>
      <c r="QVG74" s="97"/>
      <c r="QVH74" s="97"/>
      <c r="QVI74" s="97"/>
      <c r="QVJ74" s="97"/>
      <c r="QVK74" s="97"/>
      <c r="QVL74" s="97"/>
      <c r="QVM74" s="97"/>
      <c r="QVN74" s="97"/>
      <c r="QVO74" s="97"/>
      <c r="QVP74" s="97"/>
      <c r="QVQ74" s="97"/>
      <c r="QVR74" s="97"/>
      <c r="QVS74" s="97"/>
      <c r="QVT74" s="97"/>
      <c r="QVU74" s="97"/>
      <c r="QVV74" s="97"/>
      <c r="QVW74" s="97"/>
      <c r="QVX74" s="97"/>
      <c r="QVY74" s="97"/>
      <c r="QVZ74" s="97"/>
      <c r="QWA74" s="97"/>
      <c r="QWB74" s="97"/>
      <c r="QWC74" s="97"/>
      <c r="QWD74" s="97"/>
      <c r="QWE74" s="97"/>
      <c r="QWF74" s="97"/>
      <c r="QWG74" s="97"/>
      <c r="QWH74" s="97"/>
      <c r="QWI74" s="97"/>
      <c r="QWJ74" s="97"/>
      <c r="QWK74" s="97"/>
      <c r="QWL74" s="97"/>
      <c r="QWM74" s="97"/>
      <c r="QWN74" s="97"/>
      <c r="QWO74" s="97"/>
      <c r="QWP74" s="97"/>
      <c r="QWQ74" s="97"/>
      <c r="QWR74" s="97"/>
      <c r="QWS74" s="97"/>
      <c r="QWT74" s="97"/>
      <c r="QWU74" s="97"/>
      <c r="QWV74" s="97"/>
      <c r="QWW74" s="97"/>
      <c r="QWX74" s="97"/>
      <c r="QWY74" s="97"/>
      <c r="QWZ74" s="97"/>
      <c r="QXA74" s="97"/>
      <c r="QXB74" s="97"/>
      <c r="QXC74" s="97"/>
      <c r="QXD74" s="97"/>
      <c r="QXE74" s="97"/>
      <c r="QXF74" s="97"/>
      <c r="QXG74" s="97"/>
      <c r="QXH74" s="97"/>
      <c r="QXI74" s="97"/>
      <c r="QXJ74" s="97"/>
      <c r="QXK74" s="97"/>
      <c r="QXL74" s="97"/>
      <c r="QXM74" s="97"/>
      <c r="QXN74" s="97"/>
      <c r="QXO74" s="97"/>
      <c r="QXP74" s="97"/>
      <c r="QXQ74" s="97"/>
      <c r="QXR74" s="97"/>
      <c r="QXS74" s="97"/>
      <c r="QXT74" s="97"/>
      <c r="QXU74" s="97"/>
      <c r="QXV74" s="97"/>
      <c r="QXW74" s="97"/>
      <c r="QXX74" s="97"/>
      <c r="QXY74" s="97"/>
      <c r="QXZ74" s="97"/>
      <c r="QYA74" s="97"/>
      <c r="QYB74" s="97"/>
      <c r="QYC74" s="97"/>
      <c r="QYD74" s="97"/>
      <c r="QYE74" s="97"/>
      <c r="QYF74" s="97"/>
      <c r="QYG74" s="97"/>
      <c r="QYH74" s="97"/>
      <c r="QYI74" s="97"/>
      <c r="QYJ74" s="97"/>
      <c r="QYK74" s="97"/>
      <c r="QYL74" s="97"/>
      <c r="QYM74" s="97"/>
      <c r="QYN74" s="97"/>
      <c r="QYO74" s="97"/>
      <c r="QYP74" s="97"/>
      <c r="QYQ74" s="97"/>
      <c r="QYR74" s="97"/>
      <c r="QYS74" s="97"/>
      <c r="QYT74" s="97"/>
      <c r="QYU74" s="97"/>
      <c r="QYV74" s="97"/>
      <c r="QYW74" s="97"/>
      <c r="QYX74" s="97"/>
      <c r="QYY74" s="97"/>
      <c r="QYZ74" s="97"/>
      <c r="QZA74" s="97"/>
      <c r="QZB74" s="97"/>
      <c r="QZC74" s="97"/>
      <c r="QZD74" s="97"/>
      <c r="QZE74" s="97"/>
      <c r="QZF74" s="97"/>
      <c r="QZG74" s="97"/>
      <c r="QZH74" s="97"/>
      <c r="QZI74" s="97"/>
      <c r="QZJ74" s="97"/>
      <c r="QZK74" s="97"/>
      <c r="QZL74" s="97"/>
      <c r="QZM74" s="97"/>
      <c r="QZN74" s="97"/>
      <c r="QZO74" s="97"/>
      <c r="QZP74" s="97"/>
      <c r="QZQ74" s="97"/>
      <c r="QZR74" s="97"/>
      <c r="QZS74" s="97"/>
      <c r="QZT74" s="97"/>
      <c r="QZU74" s="97"/>
      <c r="QZV74" s="97"/>
      <c r="QZW74" s="97"/>
      <c r="QZX74" s="97"/>
      <c r="QZY74" s="97"/>
      <c r="QZZ74" s="97"/>
      <c r="RAA74" s="97"/>
      <c r="RAB74" s="97"/>
      <c r="RAC74" s="97"/>
      <c r="RAD74" s="97"/>
      <c r="RAE74" s="97"/>
      <c r="RAF74" s="97"/>
      <c r="RAG74" s="97"/>
      <c r="RAH74" s="97"/>
      <c r="RAI74" s="97"/>
      <c r="RAJ74" s="97"/>
      <c r="RAK74" s="97"/>
      <c r="RAL74" s="97"/>
      <c r="RAM74" s="97"/>
      <c r="RAN74" s="97"/>
      <c r="RAO74" s="97"/>
      <c r="RAP74" s="97"/>
      <c r="RAQ74" s="97"/>
      <c r="RAR74" s="97"/>
      <c r="RAS74" s="97"/>
      <c r="RAT74" s="97"/>
      <c r="RAU74" s="97"/>
      <c r="RAV74" s="97"/>
      <c r="RAW74" s="97"/>
      <c r="RAX74" s="97"/>
      <c r="RAY74" s="97"/>
      <c r="RAZ74" s="97"/>
      <c r="RBA74" s="97"/>
      <c r="RBB74" s="97"/>
      <c r="RBC74" s="97"/>
      <c r="RBD74" s="97"/>
      <c r="RBE74" s="97"/>
      <c r="RBF74" s="97"/>
      <c r="RBG74" s="97"/>
      <c r="RBH74" s="97"/>
      <c r="RBI74" s="97"/>
      <c r="RBJ74" s="97"/>
      <c r="RBK74" s="97"/>
      <c r="RBL74" s="97"/>
      <c r="RBM74" s="97"/>
      <c r="RBN74" s="97"/>
      <c r="RBO74" s="97"/>
      <c r="RBP74" s="97"/>
      <c r="RBQ74" s="97"/>
      <c r="RBR74" s="97"/>
      <c r="RBS74" s="97"/>
      <c r="RBT74" s="97"/>
      <c r="RBU74" s="97"/>
      <c r="RBV74" s="97"/>
      <c r="RBW74" s="97"/>
      <c r="RBX74" s="97"/>
      <c r="RBY74" s="97"/>
      <c r="RBZ74" s="97"/>
      <c r="RCA74" s="97"/>
      <c r="RCB74" s="97"/>
      <c r="RCC74" s="97"/>
      <c r="RCD74" s="97"/>
      <c r="RCE74" s="97"/>
      <c r="RCF74" s="97"/>
      <c r="RCG74" s="97"/>
      <c r="RCH74" s="97"/>
      <c r="RCI74" s="97"/>
      <c r="RCJ74" s="97"/>
      <c r="RCK74" s="97"/>
      <c r="RCL74" s="97"/>
      <c r="RCM74" s="97"/>
      <c r="RCN74" s="97"/>
      <c r="RCO74" s="97"/>
      <c r="RCP74" s="97"/>
      <c r="RCQ74" s="97"/>
      <c r="RCR74" s="97"/>
      <c r="RCS74" s="97"/>
      <c r="RCT74" s="97"/>
      <c r="RCU74" s="97"/>
      <c r="RCV74" s="97"/>
      <c r="RCW74" s="97"/>
      <c r="RCX74" s="97"/>
      <c r="RCY74" s="97"/>
      <c r="RCZ74" s="97"/>
      <c r="RDA74" s="97"/>
      <c r="RDB74" s="97"/>
      <c r="RDC74" s="97"/>
      <c r="RDD74" s="97"/>
      <c r="RDE74" s="97"/>
      <c r="RDF74" s="97"/>
      <c r="RDG74" s="97"/>
      <c r="RDH74" s="97"/>
      <c r="RDI74" s="97"/>
      <c r="RDJ74" s="97"/>
      <c r="RDK74" s="97"/>
      <c r="RDL74" s="97"/>
      <c r="RDM74" s="97"/>
      <c r="RDN74" s="97"/>
      <c r="RDO74" s="97"/>
      <c r="RDP74" s="97"/>
      <c r="RDQ74" s="97"/>
      <c r="RDR74" s="97"/>
      <c r="RDS74" s="97"/>
      <c r="RDT74" s="97"/>
      <c r="RDU74" s="97"/>
      <c r="RDV74" s="97"/>
      <c r="RDW74" s="97"/>
      <c r="RDX74" s="97"/>
      <c r="RDY74" s="97"/>
      <c r="RDZ74" s="97"/>
      <c r="REA74" s="97"/>
      <c r="REB74" s="97"/>
      <c r="REC74" s="97"/>
      <c r="RED74" s="97"/>
      <c r="REE74" s="97"/>
      <c r="REF74" s="97"/>
      <c r="REG74" s="97"/>
      <c r="REH74" s="97"/>
      <c r="REI74" s="97"/>
      <c r="REJ74" s="97"/>
      <c r="REK74" s="97"/>
      <c r="REL74" s="97"/>
      <c r="REM74" s="97"/>
      <c r="REN74" s="97"/>
      <c r="REO74" s="97"/>
      <c r="REP74" s="97"/>
      <c r="REQ74" s="97"/>
      <c r="RER74" s="97"/>
      <c r="RES74" s="97"/>
      <c r="RET74" s="97"/>
      <c r="REU74" s="97"/>
      <c r="REV74" s="97"/>
      <c r="REW74" s="97"/>
      <c r="REX74" s="97"/>
      <c r="REY74" s="97"/>
      <c r="REZ74" s="97"/>
      <c r="RFA74" s="97"/>
      <c r="RFB74" s="97"/>
      <c r="RFC74" s="97"/>
      <c r="RFD74" s="97"/>
      <c r="RFE74" s="97"/>
      <c r="RFF74" s="97"/>
      <c r="RFG74" s="97"/>
      <c r="RFH74" s="97"/>
      <c r="RFI74" s="97"/>
      <c r="RFJ74" s="97"/>
      <c r="RFK74" s="97"/>
      <c r="RFL74" s="97"/>
      <c r="RFM74" s="97"/>
      <c r="RFN74" s="97"/>
      <c r="RFO74" s="97"/>
      <c r="RFP74" s="97"/>
      <c r="RFQ74" s="97"/>
      <c r="RFR74" s="97"/>
      <c r="RFS74" s="97"/>
      <c r="RFT74" s="97"/>
      <c r="RFU74" s="97"/>
      <c r="RFV74" s="97"/>
      <c r="RFW74" s="97"/>
      <c r="RFX74" s="97"/>
      <c r="RFY74" s="97"/>
      <c r="RFZ74" s="97"/>
      <c r="RGA74" s="97"/>
      <c r="RGB74" s="97"/>
      <c r="RGC74" s="97"/>
      <c r="RGD74" s="97"/>
      <c r="RGE74" s="97"/>
      <c r="RGF74" s="97"/>
      <c r="RGG74" s="97"/>
      <c r="RGH74" s="97"/>
      <c r="RGI74" s="97"/>
      <c r="RGJ74" s="97"/>
      <c r="RGK74" s="97"/>
      <c r="RGL74" s="97"/>
      <c r="RGM74" s="97"/>
      <c r="RGN74" s="97"/>
      <c r="RGO74" s="97"/>
      <c r="RGP74" s="97"/>
      <c r="RGQ74" s="97"/>
      <c r="RGR74" s="97"/>
      <c r="RGS74" s="97"/>
      <c r="RGT74" s="97"/>
      <c r="RGU74" s="97"/>
      <c r="RGV74" s="97"/>
      <c r="RGW74" s="97"/>
      <c r="RGX74" s="97"/>
      <c r="RGY74" s="97"/>
      <c r="RGZ74" s="97"/>
      <c r="RHA74" s="97"/>
      <c r="RHB74" s="97"/>
      <c r="RHC74" s="97"/>
      <c r="RHD74" s="97"/>
      <c r="RHE74" s="97"/>
      <c r="RHF74" s="97"/>
      <c r="RHG74" s="97"/>
      <c r="RHH74" s="97"/>
      <c r="RHI74" s="97"/>
      <c r="RHJ74" s="97"/>
      <c r="RHK74" s="97"/>
      <c r="RHL74" s="97"/>
      <c r="RHM74" s="97"/>
      <c r="RHN74" s="97"/>
      <c r="RHO74" s="97"/>
      <c r="RHP74" s="97"/>
      <c r="RHQ74" s="97"/>
      <c r="RHR74" s="97"/>
      <c r="RHS74" s="97"/>
      <c r="RHT74" s="97"/>
      <c r="RHU74" s="97"/>
      <c r="RHV74" s="97"/>
      <c r="RHW74" s="97"/>
      <c r="RHX74" s="97"/>
      <c r="RHY74" s="97"/>
      <c r="RHZ74" s="97"/>
      <c r="RIA74" s="97"/>
      <c r="RIB74" s="97"/>
      <c r="RIC74" s="97"/>
      <c r="RID74" s="97"/>
      <c r="RIE74" s="97"/>
      <c r="RIF74" s="97"/>
      <c r="RIG74" s="97"/>
      <c r="RIH74" s="97"/>
      <c r="RII74" s="97"/>
      <c r="RIJ74" s="97"/>
      <c r="RIK74" s="97"/>
      <c r="RIL74" s="97"/>
      <c r="RIM74" s="97"/>
      <c r="RIN74" s="97"/>
      <c r="RIO74" s="97"/>
      <c r="RIP74" s="97"/>
      <c r="RIQ74" s="97"/>
      <c r="RIR74" s="97"/>
      <c r="RIS74" s="97"/>
      <c r="RIT74" s="97"/>
      <c r="RIU74" s="97"/>
      <c r="RIV74" s="97"/>
      <c r="RIW74" s="97"/>
      <c r="RIX74" s="97"/>
      <c r="RIY74" s="97"/>
      <c r="RIZ74" s="97"/>
      <c r="RJA74" s="97"/>
      <c r="RJB74" s="97"/>
      <c r="RJC74" s="97"/>
      <c r="RJD74" s="97"/>
      <c r="RJE74" s="97"/>
      <c r="RJF74" s="97"/>
      <c r="RJG74" s="97"/>
      <c r="RJH74" s="97"/>
      <c r="RJI74" s="97"/>
      <c r="RJJ74" s="97"/>
      <c r="RJK74" s="97"/>
      <c r="RJL74" s="97"/>
      <c r="RJM74" s="97"/>
      <c r="RJN74" s="97"/>
      <c r="RJO74" s="97"/>
      <c r="RJP74" s="97"/>
      <c r="RJQ74" s="97"/>
      <c r="RJR74" s="97"/>
      <c r="RJS74" s="97"/>
      <c r="RJT74" s="97"/>
      <c r="RJU74" s="97"/>
      <c r="RJV74" s="97"/>
      <c r="RJW74" s="97"/>
      <c r="RJX74" s="97"/>
      <c r="RJY74" s="97"/>
      <c r="RJZ74" s="97"/>
      <c r="RKA74" s="97"/>
      <c r="RKB74" s="97"/>
      <c r="RKC74" s="97"/>
      <c r="RKD74" s="97"/>
      <c r="RKE74" s="97"/>
      <c r="RKF74" s="97"/>
      <c r="RKG74" s="97"/>
      <c r="RKH74" s="97"/>
      <c r="RKI74" s="97"/>
      <c r="RKJ74" s="97"/>
      <c r="RKK74" s="97"/>
      <c r="RKL74" s="97"/>
      <c r="RKM74" s="97"/>
      <c r="RKN74" s="97"/>
      <c r="RKO74" s="97"/>
      <c r="RKP74" s="97"/>
      <c r="RKQ74" s="97"/>
      <c r="RKR74" s="97"/>
      <c r="RKS74" s="97"/>
      <c r="RKT74" s="97"/>
      <c r="RKU74" s="97"/>
      <c r="RKV74" s="97"/>
      <c r="RKW74" s="97"/>
      <c r="RKX74" s="97"/>
      <c r="RKY74" s="97"/>
      <c r="RKZ74" s="97"/>
      <c r="RLA74" s="97"/>
      <c r="RLB74" s="97"/>
      <c r="RLC74" s="97"/>
      <c r="RLD74" s="97"/>
      <c r="RLE74" s="97"/>
      <c r="RLF74" s="97"/>
      <c r="RLG74" s="97"/>
      <c r="RLH74" s="97"/>
      <c r="RLI74" s="97"/>
      <c r="RLJ74" s="97"/>
      <c r="RLK74" s="97"/>
      <c r="RLL74" s="97"/>
      <c r="RLM74" s="97"/>
      <c r="RLN74" s="97"/>
      <c r="RLO74" s="97"/>
      <c r="RLP74" s="97"/>
      <c r="RLQ74" s="97"/>
      <c r="RLR74" s="97"/>
      <c r="RLS74" s="97"/>
      <c r="RLT74" s="97"/>
      <c r="RLU74" s="97"/>
      <c r="RLV74" s="97"/>
      <c r="RLW74" s="97"/>
      <c r="RLX74" s="97"/>
      <c r="RLY74" s="97"/>
      <c r="RLZ74" s="97"/>
      <c r="RMA74" s="97"/>
      <c r="RMB74" s="97"/>
      <c r="RMC74" s="97"/>
      <c r="RMD74" s="97"/>
      <c r="RME74" s="97"/>
      <c r="RMF74" s="97"/>
      <c r="RMG74" s="97"/>
      <c r="RMH74" s="97"/>
      <c r="RMI74" s="97"/>
      <c r="RMJ74" s="97"/>
      <c r="RMK74" s="97"/>
      <c r="RML74" s="97"/>
      <c r="RMM74" s="97"/>
      <c r="RMN74" s="97"/>
      <c r="RMO74" s="97"/>
      <c r="RMP74" s="97"/>
      <c r="RMQ74" s="97"/>
      <c r="RMR74" s="97"/>
      <c r="RMS74" s="97"/>
      <c r="RMT74" s="97"/>
      <c r="RMU74" s="97"/>
      <c r="RMV74" s="97"/>
      <c r="RMW74" s="97"/>
      <c r="RMX74" s="97"/>
      <c r="RMY74" s="97"/>
      <c r="RMZ74" s="97"/>
      <c r="RNA74" s="97"/>
      <c r="RNB74" s="97"/>
      <c r="RNC74" s="97"/>
      <c r="RND74" s="97"/>
      <c r="RNE74" s="97"/>
      <c r="RNF74" s="97"/>
      <c r="RNG74" s="97"/>
      <c r="RNH74" s="97"/>
      <c r="RNI74" s="97"/>
      <c r="RNJ74" s="97"/>
      <c r="RNK74" s="97"/>
      <c r="RNL74" s="97"/>
      <c r="RNM74" s="97"/>
      <c r="RNN74" s="97"/>
      <c r="RNO74" s="97"/>
      <c r="RNP74" s="97"/>
      <c r="RNQ74" s="97"/>
      <c r="RNR74" s="97"/>
      <c r="RNS74" s="97"/>
      <c r="RNT74" s="97"/>
      <c r="RNU74" s="97"/>
      <c r="RNV74" s="97"/>
      <c r="RNW74" s="97"/>
      <c r="RNX74" s="97"/>
      <c r="RNY74" s="97"/>
      <c r="RNZ74" s="97"/>
      <c r="ROA74" s="97"/>
      <c r="ROB74" s="97"/>
      <c r="ROC74" s="97"/>
      <c r="ROD74" s="97"/>
      <c r="ROE74" s="97"/>
      <c r="ROF74" s="97"/>
      <c r="ROG74" s="97"/>
      <c r="ROH74" s="97"/>
      <c r="ROI74" s="97"/>
      <c r="ROJ74" s="97"/>
      <c r="ROK74" s="97"/>
      <c r="ROL74" s="97"/>
      <c r="ROM74" s="97"/>
      <c r="RON74" s="97"/>
      <c r="ROO74" s="97"/>
      <c r="ROP74" s="97"/>
      <c r="ROQ74" s="97"/>
      <c r="ROR74" s="97"/>
      <c r="ROS74" s="97"/>
      <c r="ROT74" s="97"/>
      <c r="ROU74" s="97"/>
      <c r="ROV74" s="97"/>
      <c r="ROW74" s="97"/>
      <c r="ROX74" s="97"/>
      <c r="ROY74" s="97"/>
      <c r="ROZ74" s="97"/>
      <c r="RPA74" s="97"/>
      <c r="RPB74" s="97"/>
      <c r="RPC74" s="97"/>
      <c r="RPD74" s="97"/>
      <c r="RPE74" s="97"/>
      <c r="RPF74" s="97"/>
      <c r="RPG74" s="97"/>
      <c r="RPH74" s="97"/>
      <c r="RPI74" s="97"/>
      <c r="RPJ74" s="97"/>
      <c r="RPK74" s="97"/>
      <c r="RPL74" s="97"/>
      <c r="RPM74" s="97"/>
      <c r="RPN74" s="97"/>
      <c r="RPO74" s="97"/>
      <c r="RPP74" s="97"/>
      <c r="RPQ74" s="97"/>
      <c r="RPR74" s="97"/>
      <c r="RPS74" s="97"/>
      <c r="RPT74" s="97"/>
      <c r="RPU74" s="97"/>
      <c r="RPV74" s="97"/>
      <c r="RPW74" s="97"/>
      <c r="RPX74" s="97"/>
      <c r="RPY74" s="97"/>
      <c r="RPZ74" s="97"/>
      <c r="RQA74" s="97"/>
      <c r="RQB74" s="97"/>
      <c r="RQC74" s="97"/>
      <c r="RQD74" s="97"/>
      <c r="RQE74" s="97"/>
      <c r="RQF74" s="97"/>
      <c r="RQG74" s="97"/>
      <c r="RQH74" s="97"/>
      <c r="RQI74" s="97"/>
      <c r="RQJ74" s="97"/>
      <c r="RQK74" s="97"/>
      <c r="RQL74" s="97"/>
      <c r="RQM74" s="97"/>
      <c r="RQN74" s="97"/>
      <c r="RQO74" s="97"/>
      <c r="RQP74" s="97"/>
      <c r="RQQ74" s="97"/>
      <c r="RQR74" s="97"/>
      <c r="RQS74" s="97"/>
      <c r="RQT74" s="97"/>
      <c r="RQU74" s="97"/>
      <c r="RQV74" s="97"/>
      <c r="RQW74" s="97"/>
      <c r="RQX74" s="97"/>
      <c r="RQY74" s="97"/>
      <c r="RQZ74" s="97"/>
      <c r="RRA74" s="97"/>
      <c r="RRB74" s="97"/>
      <c r="RRC74" s="97"/>
      <c r="RRD74" s="97"/>
      <c r="RRE74" s="97"/>
      <c r="RRF74" s="97"/>
      <c r="RRG74" s="97"/>
      <c r="RRH74" s="97"/>
      <c r="RRI74" s="97"/>
      <c r="RRJ74" s="97"/>
      <c r="RRK74" s="97"/>
      <c r="RRL74" s="97"/>
      <c r="RRM74" s="97"/>
      <c r="RRN74" s="97"/>
      <c r="RRO74" s="97"/>
      <c r="RRP74" s="97"/>
      <c r="RRQ74" s="97"/>
      <c r="RRR74" s="97"/>
      <c r="RRS74" s="97"/>
      <c r="RRT74" s="97"/>
      <c r="RRU74" s="97"/>
      <c r="RRV74" s="97"/>
      <c r="RRW74" s="97"/>
      <c r="RRX74" s="97"/>
      <c r="RRY74" s="97"/>
      <c r="RRZ74" s="97"/>
      <c r="RSA74" s="97"/>
      <c r="RSB74" s="97"/>
      <c r="RSC74" s="97"/>
      <c r="RSD74" s="97"/>
      <c r="RSE74" s="97"/>
      <c r="RSF74" s="97"/>
      <c r="RSG74" s="97"/>
      <c r="RSH74" s="97"/>
      <c r="RSI74" s="97"/>
      <c r="RSJ74" s="97"/>
      <c r="RSK74" s="97"/>
      <c r="RSL74" s="97"/>
      <c r="RSM74" s="97"/>
      <c r="RSN74" s="97"/>
      <c r="RSO74" s="97"/>
      <c r="RSP74" s="97"/>
      <c r="RSQ74" s="97"/>
      <c r="RSR74" s="97"/>
      <c r="RSS74" s="97"/>
      <c r="RST74" s="97"/>
      <c r="RSU74" s="97"/>
      <c r="RSV74" s="97"/>
      <c r="RSW74" s="97"/>
      <c r="RSX74" s="97"/>
      <c r="RSY74" s="97"/>
      <c r="RSZ74" s="97"/>
      <c r="RTA74" s="97"/>
      <c r="RTB74" s="97"/>
      <c r="RTC74" s="97"/>
      <c r="RTD74" s="97"/>
      <c r="RTE74" s="97"/>
      <c r="RTF74" s="97"/>
      <c r="RTG74" s="97"/>
      <c r="RTH74" s="97"/>
      <c r="RTI74" s="97"/>
      <c r="RTJ74" s="97"/>
      <c r="RTK74" s="97"/>
      <c r="RTL74" s="97"/>
      <c r="RTM74" s="97"/>
      <c r="RTN74" s="97"/>
      <c r="RTO74" s="97"/>
      <c r="RTP74" s="97"/>
      <c r="RTQ74" s="97"/>
      <c r="RTR74" s="97"/>
      <c r="RTS74" s="97"/>
      <c r="RTT74" s="97"/>
      <c r="RTU74" s="97"/>
      <c r="RTV74" s="97"/>
      <c r="RTW74" s="97"/>
      <c r="RTX74" s="97"/>
      <c r="RTY74" s="97"/>
      <c r="RTZ74" s="97"/>
      <c r="RUA74" s="97"/>
      <c r="RUB74" s="97"/>
      <c r="RUC74" s="97"/>
      <c r="RUD74" s="97"/>
      <c r="RUE74" s="97"/>
      <c r="RUF74" s="97"/>
      <c r="RUG74" s="97"/>
      <c r="RUH74" s="97"/>
      <c r="RUI74" s="97"/>
      <c r="RUJ74" s="97"/>
      <c r="RUK74" s="97"/>
      <c r="RUL74" s="97"/>
      <c r="RUM74" s="97"/>
      <c r="RUN74" s="97"/>
      <c r="RUO74" s="97"/>
      <c r="RUP74" s="97"/>
      <c r="RUQ74" s="97"/>
      <c r="RUR74" s="97"/>
      <c r="RUS74" s="97"/>
      <c r="RUT74" s="97"/>
      <c r="RUU74" s="97"/>
      <c r="RUV74" s="97"/>
      <c r="RUW74" s="97"/>
      <c r="RUX74" s="97"/>
      <c r="RUY74" s="97"/>
      <c r="RUZ74" s="97"/>
      <c r="RVA74" s="97"/>
      <c r="RVB74" s="97"/>
      <c r="RVC74" s="97"/>
      <c r="RVD74" s="97"/>
      <c r="RVE74" s="97"/>
      <c r="RVF74" s="97"/>
      <c r="RVG74" s="97"/>
      <c r="RVH74" s="97"/>
      <c r="RVI74" s="97"/>
      <c r="RVJ74" s="97"/>
      <c r="RVK74" s="97"/>
      <c r="RVL74" s="97"/>
      <c r="RVM74" s="97"/>
      <c r="RVN74" s="97"/>
      <c r="RVO74" s="97"/>
      <c r="RVP74" s="97"/>
      <c r="RVQ74" s="97"/>
      <c r="RVR74" s="97"/>
      <c r="RVS74" s="97"/>
      <c r="RVT74" s="97"/>
      <c r="RVU74" s="97"/>
      <c r="RVV74" s="97"/>
      <c r="RVW74" s="97"/>
      <c r="RVX74" s="97"/>
      <c r="RVY74" s="97"/>
      <c r="RVZ74" s="97"/>
      <c r="RWA74" s="97"/>
      <c r="RWB74" s="97"/>
      <c r="RWC74" s="97"/>
      <c r="RWD74" s="97"/>
      <c r="RWE74" s="97"/>
      <c r="RWF74" s="97"/>
      <c r="RWG74" s="97"/>
      <c r="RWH74" s="97"/>
      <c r="RWI74" s="97"/>
      <c r="RWJ74" s="97"/>
      <c r="RWK74" s="97"/>
      <c r="RWL74" s="97"/>
      <c r="RWM74" s="97"/>
      <c r="RWN74" s="97"/>
      <c r="RWO74" s="97"/>
      <c r="RWP74" s="97"/>
      <c r="RWQ74" s="97"/>
      <c r="RWR74" s="97"/>
      <c r="RWS74" s="97"/>
      <c r="RWT74" s="97"/>
      <c r="RWU74" s="97"/>
      <c r="RWV74" s="97"/>
      <c r="RWW74" s="97"/>
      <c r="RWX74" s="97"/>
      <c r="RWY74" s="97"/>
      <c r="RWZ74" s="97"/>
      <c r="RXA74" s="97"/>
      <c r="RXB74" s="97"/>
      <c r="RXC74" s="97"/>
      <c r="RXD74" s="97"/>
      <c r="RXE74" s="97"/>
      <c r="RXF74" s="97"/>
      <c r="RXG74" s="97"/>
      <c r="RXH74" s="97"/>
      <c r="RXI74" s="97"/>
      <c r="RXJ74" s="97"/>
      <c r="RXK74" s="97"/>
      <c r="RXL74" s="97"/>
      <c r="RXM74" s="97"/>
      <c r="RXN74" s="97"/>
      <c r="RXO74" s="97"/>
      <c r="RXP74" s="97"/>
      <c r="RXQ74" s="97"/>
      <c r="RXR74" s="97"/>
      <c r="RXS74" s="97"/>
      <c r="RXT74" s="97"/>
      <c r="RXU74" s="97"/>
      <c r="RXV74" s="97"/>
      <c r="RXW74" s="97"/>
      <c r="RXX74" s="97"/>
      <c r="RXY74" s="97"/>
      <c r="RXZ74" s="97"/>
      <c r="RYA74" s="97"/>
      <c r="RYB74" s="97"/>
      <c r="RYC74" s="97"/>
      <c r="RYD74" s="97"/>
      <c r="RYE74" s="97"/>
      <c r="RYF74" s="97"/>
      <c r="RYG74" s="97"/>
      <c r="RYH74" s="97"/>
      <c r="RYI74" s="97"/>
      <c r="RYJ74" s="97"/>
      <c r="RYK74" s="97"/>
      <c r="RYL74" s="97"/>
      <c r="RYM74" s="97"/>
      <c r="RYN74" s="97"/>
      <c r="RYO74" s="97"/>
      <c r="RYP74" s="97"/>
      <c r="RYQ74" s="97"/>
      <c r="RYR74" s="97"/>
      <c r="RYS74" s="97"/>
      <c r="RYT74" s="97"/>
      <c r="RYU74" s="97"/>
      <c r="RYV74" s="97"/>
      <c r="RYW74" s="97"/>
      <c r="RYX74" s="97"/>
      <c r="RYY74" s="97"/>
      <c r="RYZ74" s="97"/>
      <c r="RZA74" s="97"/>
      <c r="RZB74" s="97"/>
      <c r="RZC74" s="97"/>
      <c r="RZD74" s="97"/>
      <c r="RZE74" s="97"/>
      <c r="RZF74" s="97"/>
      <c r="RZG74" s="97"/>
      <c r="RZH74" s="97"/>
      <c r="RZI74" s="97"/>
      <c r="RZJ74" s="97"/>
      <c r="RZK74" s="97"/>
      <c r="RZL74" s="97"/>
      <c r="RZM74" s="97"/>
      <c r="RZN74" s="97"/>
      <c r="RZO74" s="97"/>
      <c r="RZP74" s="97"/>
      <c r="RZQ74" s="97"/>
      <c r="RZR74" s="97"/>
      <c r="RZS74" s="97"/>
      <c r="RZT74" s="97"/>
      <c r="RZU74" s="97"/>
      <c r="RZV74" s="97"/>
      <c r="RZW74" s="97"/>
      <c r="RZX74" s="97"/>
      <c r="RZY74" s="97"/>
      <c r="RZZ74" s="97"/>
      <c r="SAA74" s="97"/>
      <c r="SAB74" s="97"/>
      <c r="SAC74" s="97"/>
      <c r="SAD74" s="97"/>
      <c r="SAE74" s="97"/>
      <c r="SAF74" s="97"/>
      <c r="SAG74" s="97"/>
      <c r="SAH74" s="97"/>
      <c r="SAI74" s="97"/>
      <c r="SAJ74" s="97"/>
      <c r="SAK74" s="97"/>
      <c r="SAL74" s="97"/>
      <c r="SAM74" s="97"/>
      <c r="SAN74" s="97"/>
      <c r="SAO74" s="97"/>
      <c r="SAP74" s="97"/>
      <c r="SAQ74" s="97"/>
      <c r="SAR74" s="97"/>
      <c r="SAS74" s="97"/>
      <c r="SAT74" s="97"/>
      <c r="SAU74" s="97"/>
      <c r="SAV74" s="97"/>
      <c r="SAW74" s="97"/>
      <c r="SAX74" s="97"/>
      <c r="SAY74" s="97"/>
      <c r="SAZ74" s="97"/>
      <c r="SBA74" s="97"/>
      <c r="SBB74" s="97"/>
      <c r="SBC74" s="97"/>
      <c r="SBD74" s="97"/>
      <c r="SBE74" s="97"/>
      <c r="SBF74" s="97"/>
      <c r="SBG74" s="97"/>
      <c r="SBH74" s="97"/>
      <c r="SBI74" s="97"/>
      <c r="SBJ74" s="97"/>
      <c r="SBK74" s="97"/>
      <c r="SBL74" s="97"/>
      <c r="SBM74" s="97"/>
      <c r="SBN74" s="97"/>
      <c r="SBO74" s="97"/>
      <c r="SBP74" s="97"/>
      <c r="SBQ74" s="97"/>
      <c r="SBR74" s="97"/>
      <c r="SBS74" s="97"/>
      <c r="SBT74" s="97"/>
      <c r="SBU74" s="97"/>
      <c r="SBV74" s="97"/>
      <c r="SBW74" s="97"/>
      <c r="SBX74" s="97"/>
      <c r="SBY74" s="97"/>
      <c r="SBZ74" s="97"/>
      <c r="SCA74" s="97"/>
      <c r="SCB74" s="97"/>
      <c r="SCC74" s="97"/>
      <c r="SCD74" s="97"/>
      <c r="SCE74" s="97"/>
      <c r="SCF74" s="97"/>
      <c r="SCG74" s="97"/>
      <c r="SCH74" s="97"/>
      <c r="SCI74" s="97"/>
      <c r="SCJ74" s="97"/>
      <c r="SCK74" s="97"/>
      <c r="SCL74" s="97"/>
      <c r="SCM74" s="97"/>
      <c r="SCN74" s="97"/>
      <c r="SCO74" s="97"/>
      <c r="SCP74" s="97"/>
      <c r="SCQ74" s="97"/>
      <c r="SCR74" s="97"/>
      <c r="SCS74" s="97"/>
      <c r="SCT74" s="97"/>
      <c r="SCU74" s="97"/>
      <c r="SCV74" s="97"/>
      <c r="SCW74" s="97"/>
      <c r="SCX74" s="97"/>
      <c r="SCY74" s="97"/>
      <c r="SCZ74" s="97"/>
      <c r="SDA74" s="97"/>
      <c r="SDB74" s="97"/>
      <c r="SDC74" s="97"/>
      <c r="SDD74" s="97"/>
      <c r="SDE74" s="97"/>
      <c r="SDF74" s="97"/>
      <c r="SDG74" s="97"/>
      <c r="SDH74" s="97"/>
      <c r="SDI74" s="97"/>
      <c r="SDJ74" s="97"/>
      <c r="SDK74" s="97"/>
      <c r="SDL74" s="97"/>
      <c r="SDM74" s="97"/>
      <c r="SDN74" s="97"/>
      <c r="SDO74" s="97"/>
      <c r="SDP74" s="97"/>
      <c r="SDQ74" s="97"/>
      <c r="SDR74" s="97"/>
      <c r="SDS74" s="97"/>
      <c r="SDT74" s="97"/>
      <c r="SDU74" s="97"/>
      <c r="SDV74" s="97"/>
      <c r="SDW74" s="97"/>
      <c r="SDX74" s="97"/>
      <c r="SDY74" s="97"/>
      <c r="SDZ74" s="97"/>
      <c r="SEA74" s="97"/>
      <c r="SEB74" s="97"/>
      <c r="SEC74" s="97"/>
      <c r="SED74" s="97"/>
      <c r="SEE74" s="97"/>
      <c r="SEF74" s="97"/>
      <c r="SEG74" s="97"/>
      <c r="SEH74" s="97"/>
      <c r="SEI74" s="97"/>
      <c r="SEJ74" s="97"/>
      <c r="SEK74" s="97"/>
      <c r="SEL74" s="97"/>
      <c r="SEM74" s="97"/>
      <c r="SEN74" s="97"/>
      <c r="SEO74" s="97"/>
      <c r="SEP74" s="97"/>
      <c r="SEQ74" s="97"/>
      <c r="SER74" s="97"/>
      <c r="SES74" s="97"/>
      <c r="SET74" s="97"/>
      <c r="SEU74" s="97"/>
      <c r="SEV74" s="97"/>
      <c r="SEW74" s="97"/>
      <c r="SEX74" s="97"/>
      <c r="SEY74" s="97"/>
      <c r="SEZ74" s="97"/>
      <c r="SFA74" s="97"/>
      <c r="SFB74" s="97"/>
      <c r="SFC74" s="97"/>
      <c r="SFD74" s="97"/>
      <c r="SFE74" s="97"/>
      <c r="SFF74" s="97"/>
      <c r="SFG74" s="97"/>
      <c r="SFH74" s="97"/>
      <c r="SFI74" s="97"/>
      <c r="SFJ74" s="97"/>
      <c r="SFK74" s="97"/>
      <c r="SFL74" s="97"/>
      <c r="SFM74" s="97"/>
      <c r="SFN74" s="97"/>
      <c r="SFO74" s="97"/>
      <c r="SFP74" s="97"/>
      <c r="SFQ74" s="97"/>
      <c r="SFR74" s="97"/>
      <c r="SFS74" s="97"/>
      <c r="SFT74" s="97"/>
      <c r="SFU74" s="97"/>
      <c r="SFV74" s="97"/>
      <c r="SFW74" s="97"/>
      <c r="SFX74" s="97"/>
      <c r="SFY74" s="97"/>
      <c r="SFZ74" s="97"/>
      <c r="SGA74" s="97"/>
      <c r="SGB74" s="97"/>
      <c r="SGC74" s="97"/>
      <c r="SGD74" s="97"/>
      <c r="SGE74" s="97"/>
      <c r="SGF74" s="97"/>
      <c r="SGG74" s="97"/>
      <c r="SGH74" s="97"/>
      <c r="SGI74" s="97"/>
      <c r="SGJ74" s="97"/>
      <c r="SGK74" s="97"/>
      <c r="SGL74" s="97"/>
      <c r="SGM74" s="97"/>
      <c r="SGN74" s="97"/>
      <c r="SGO74" s="97"/>
      <c r="SGP74" s="97"/>
      <c r="SGQ74" s="97"/>
      <c r="SGR74" s="97"/>
      <c r="SGS74" s="97"/>
      <c r="SGT74" s="97"/>
      <c r="SGU74" s="97"/>
      <c r="SGV74" s="97"/>
      <c r="SGW74" s="97"/>
      <c r="SGX74" s="97"/>
      <c r="SGY74" s="97"/>
      <c r="SGZ74" s="97"/>
      <c r="SHA74" s="97"/>
      <c r="SHB74" s="97"/>
      <c r="SHC74" s="97"/>
      <c r="SHD74" s="97"/>
      <c r="SHE74" s="97"/>
      <c r="SHF74" s="97"/>
      <c r="SHG74" s="97"/>
      <c r="SHH74" s="97"/>
      <c r="SHI74" s="97"/>
      <c r="SHJ74" s="97"/>
      <c r="SHK74" s="97"/>
      <c r="SHL74" s="97"/>
      <c r="SHM74" s="97"/>
      <c r="SHN74" s="97"/>
      <c r="SHO74" s="97"/>
      <c r="SHP74" s="97"/>
      <c r="SHQ74" s="97"/>
      <c r="SHR74" s="97"/>
      <c r="SHS74" s="97"/>
      <c r="SHT74" s="97"/>
      <c r="SHU74" s="97"/>
      <c r="SHV74" s="97"/>
      <c r="SHW74" s="97"/>
      <c r="SHX74" s="97"/>
      <c r="SHY74" s="97"/>
      <c r="SHZ74" s="97"/>
      <c r="SIA74" s="97"/>
      <c r="SIB74" s="97"/>
      <c r="SIC74" s="97"/>
      <c r="SID74" s="97"/>
      <c r="SIE74" s="97"/>
      <c r="SIF74" s="97"/>
      <c r="SIG74" s="97"/>
      <c r="SIH74" s="97"/>
      <c r="SII74" s="97"/>
      <c r="SIJ74" s="97"/>
      <c r="SIK74" s="97"/>
      <c r="SIL74" s="97"/>
      <c r="SIM74" s="97"/>
      <c r="SIN74" s="97"/>
      <c r="SIO74" s="97"/>
      <c r="SIP74" s="97"/>
      <c r="SIQ74" s="97"/>
      <c r="SIR74" s="97"/>
      <c r="SIS74" s="97"/>
      <c r="SIT74" s="97"/>
      <c r="SIU74" s="97"/>
      <c r="SIV74" s="97"/>
      <c r="SIW74" s="97"/>
      <c r="SIX74" s="97"/>
      <c r="SIY74" s="97"/>
      <c r="SIZ74" s="97"/>
      <c r="SJA74" s="97"/>
      <c r="SJB74" s="97"/>
      <c r="SJC74" s="97"/>
      <c r="SJD74" s="97"/>
      <c r="SJE74" s="97"/>
      <c r="SJF74" s="97"/>
      <c r="SJG74" s="97"/>
      <c r="SJH74" s="97"/>
      <c r="SJI74" s="97"/>
      <c r="SJJ74" s="97"/>
      <c r="SJK74" s="97"/>
      <c r="SJL74" s="97"/>
      <c r="SJM74" s="97"/>
      <c r="SJN74" s="97"/>
      <c r="SJO74" s="97"/>
      <c r="SJP74" s="97"/>
      <c r="SJQ74" s="97"/>
      <c r="SJR74" s="97"/>
      <c r="SJS74" s="97"/>
      <c r="SJT74" s="97"/>
      <c r="SJU74" s="97"/>
      <c r="SJV74" s="97"/>
      <c r="SJW74" s="97"/>
      <c r="SJX74" s="97"/>
      <c r="SJY74" s="97"/>
      <c r="SJZ74" s="97"/>
      <c r="SKA74" s="97"/>
      <c r="SKB74" s="97"/>
      <c r="SKC74" s="97"/>
      <c r="SKD74" s="97"/>
      <c r="SKE74" s="97"/>
      <c r="SKF74" s="97"/>
      <c r="SKG74" s="97"/>
      <c r="SKH74" s="97"/>
      <c r="SKI74" s="97"/>
      <c r="SKJ74" s="97"/>
      <c r="SKK74" s="97"/>
      <c r="SKL74" s="97"/>
      <c r="SKM74" s="97"/>
      <c r="SKN74" s="97"/>
      <c r="SKO74" s="97"/>
      <c r="SKP74" s="97"/>
      <c r="SKQ74" s="97"/>
      <c r="SKR74" s="97"/>
      <c r="SKS74" s="97"/>
      <c r="SKT74" s="97"/>
      <c r="SKU74" s="97"/>
      <c r="SKV74" s="97"/>
      <c r="SKW74" s="97"/>
      <c r="SKX74" s="97"/>
      <c r="SKY74" s="97"/>
      <c r="SKZ74" s="97"/>
      <c r="SLA74" s="97"/>
      <c r="SLB74" s="97"/>
      <c r="SLC74" s="97"/>
      <c r="SLD74" s="97"/>
      <c r="SLE74" s="97"/>
      <c r="SLF74" s="97"/>
      <c r="SLG74" s="97"/>
      <c r="SLH74" s="97"/>
      <c r="SLI74" s="97"/>
      <c r="SLJ74" s="97"/>
      <c r="SLK74" s="97"/>
      <c r="SLL74" s="97"/>
      <c r="SLM74" s="97"/>
      <c r="SLN74" s="97"/>
      <c r="SLO74" s="97"/>
      <c r="SLP74" s="97"/>
      <c r="SLQ74" s="97"/>
      <c r="SLR74" s="97"/>
      <c r="SLS74" s="97"/>
      <c r="SLT74" s="97"/>
      <c r="SLU74" s="97"/>
      <c r="SLV74" s="97"/>
      <c r="SLW74" s="97"/>
      <c r="SLX74" s="97"/>
      <c r="SLY74" s="97"/>
      <c r="SLZ74" s="97"/>
      <c r="SMA74" s="97"/>
      <c r="SMB74" s="97"/>
      <c r="SMC74" s="97"/>
      <c r="SMD74" s="97"/>
      <c r="SME74" s="97"/>
      <c r="SMF74" s="97"/>
      <c r="SMG74" s="97"/>
      <c r="SMH74" s="97"/>
      <c r="SMI74" s="97"/>
      <c r="SMJ74" s="97"/>
      <c r="SMK74" s="97"/>
      <c r="SML74" s="97"/>
      <c r="SMM74" s="97"/>
      <c r="SMN74" s="97"/>
      <c r="SMO74" s="97"/>
      <c r="SMP74" s="97"/>
      <c r="SMQ74" s="97"/>
      <c r="SMR74" s="97"/>
      <c r="SMS74" s="97"/>
      <c r="SMT74" s="97"/>
      <c r="SMU74" s="97"/>
      <c r="SMV74" s="97"/>
      <c r="SMW74" s="97"/>
      <c r="SMX74" s="97"/>
      <c r="SMY74" s="97"/>
      <c r="SMZ74" s="97"/>
      <c r="SNA74" s="97"/>
      <c r="SNB74" s="97"/>
      <c r="SNC74" s="97"/>
      <c r="SND74" s="97"/>
      <c r="SNE74" s="97"/>
      <c r="SNF74" s="97"/>
      <c r="SNG74" s="97"/>
      <c r="SNH74" s="97"/>
      <c r="SNI74" s="97"/>
      <c r="SNJ74" s="97"/>
      <c r="SNK74" s="97"/>
      <c r="SNL74" s="97"/>
      <c r="SNM74" s="97"/>
      <c r="SNN74" s="97"/>
      <c r="SNO74" s="97"/>
      <c r="SNP74" s="97"/>
      <c r="SNQ74" s="97"/>
      <c r="SNR74" s="97"/>
      <c r="SNS74" s="97"/>
      <c r="SNT74" s="97"/>
      <c r="SNU74" s="97"/>
      <c r="SNV74" s="97"/>
      <c r="SNW74" s="97"/>
      <c r="SNX74" s="97"/>
      <c r="SNY74" s="97"/>
      <c r="SNZ74" s="97"/>
      <c r="SOA74" s="97"/>
      <c r="SOB74" s="97"/>
      <c r="SOC74" s="97"/>
      <c r="SOD74" s="97"/>
      <c r="SOE74" s="97"/>
      <c r="SOF74" s="97"/>
      <c r="SOG74" s="97"/>
      <c r="SOH74" s="97"/>
      <c r="SOI74" s="97"/>
      <c r="SOJ74" s="97"/>
      <c r="SOK74" s="97"/>
      <c r="SOL74" s="97"/>
      <c r="SOM74" s="97"/>
      <c r="SON74" s="97"/>
      <c r="SOO74" s="97"/>
      <c r="SOP74" s="97"/>
      <c r="SOQ74" s="97"/>
      <c r="SOR74" s="97"/>
      <c r="SOS74" s="97"/>
      <c r="SOT74" s="97"/>
      <c r="SOU74" s="97"/>
      <c r="SOV74" s="97"/>
      <c r="SOW74" s="97"/>
      <c r="SOX74" s="97"/>
      <c r="SOY74" s="97"/>
      <c r="SOZ74" s="97"/>
      <c r="SPA74" s="97"/>
      <c r="SPB74" s="97"/>
      <c r="SPC74" s="97"/>
      <c r="SPD74" s="97"/>
      <c r="SPE74" s="97"/>
      <c r="SPF74" s="97"/>
      <c r="SPG74" s="97"/>
      <c r="SPH74" s="97"/>
      <c r="SPI74" s="97"/>
      <c r="SPJ74" s="97"/>
      <c r="SPK74" s="97"/>
      <c r="SPL74" s="97"/>
      <c r="SPM74" s="97"/>
      <c r="SPN74" s="97"/>
      <c r="SPO74" s="97"/>
      <c r="SPP74" s="97"/>
      <c r="SPQ74" s="97"/>
      <c r="SPR74" s="97"/>
      <c r="SPS74" s="97"/>
      <c r="SPT74" s="97"/>
      <c r="SPU74" s="97"/>
      <c r="SPV74" s="97"/>
      <c r="SPW74" s="97"/>
      <c r="SPX74" s="97"/>
      <c r="SPY74" s="97"/>
      <c r="SPZ74" s="97"/>
      <c r="SQA74" s="97"/>
      <c r="SQB74" s="97"/>
      <c r="SQC74" s="97"/>
      <c r="SQD74" s="97"/>
      <c r="SQE74" s="97"/>
      <c r="SQF74" s="97"/>
      <c r="SQG74" s="97"/>
      <c r="SQH74" s="97"/>
      <c r="SQI74" s="97"/>
      <c r="SQJ74" s="97"/>
      <c r="SQK74" s="97"/>
      <c r="SQL74" s="97"/>
      <c r="SQM74" s="97"/>
      <c r="SQN74" s="97"/>
      <c r="SQO74" s="97"/>
      <c r="SQP74" s="97"/>
      <c r="SQQ74" s="97"/>
      <c r="SQR74" s="97"/>
      <c r="SQS74" s="97"/>
      <c r="SQT74" s="97"/>
      <c r="SQU74" s="97"/>
      <c r="SQV74" s="97"/>
      <c r="SQW74" s="97"/>
      <c r="SQX74" s="97"/>
      <c r="SQY74" s="97"/>
      <c r="SQZ74" s="97"/>
      <c r="SRA74" s="97"/>
      <c r="SRB74" s="97"/>
      <c r="SRC74" s="97"/>
      <c r="SRD74" s="97"/>
      <c r="SRE74" s="97"/>
      <c r="SRF74" s="97"/>
      <c r="SRG74" s="97"/>
      <c r="SRH74" s="97"/>
      <c r="SRI74" s="97"/>
      <c r="SRJ74" s="97"/>
      <c r="SRK74" s="97"/>
      <c r="SRL74" s="97"/>
      <c r="SRM74" s="97"/>
      <c r="SRN74" s="97"/>
      <c r="SRO74" s="97"/>
      <c r="SRP74" s="97"/>
      <c r="SRQ74" s="97"/>
      <c r="SRR74" s="97"/>
      <c r="SRS74" s="97"/>
      <c r="SRT74" s="97"/>
      <c r="SRU74" s="97"/>
      <c r="SRV74" s="97"/>
      <c r="SRW74" s="97"/>
      <c r="SRX74" s="97"/>
      <c r="SRY74" s="97"/>
      <c r="SRZ74" s="97"/>
      <c r="SSA74" s="97"/>
      <c r="SSB74" s="97"/>
      <c r="SSC74" s="97"/>
      <c r="SSD74" s="97"/>
      <c r="SSE74" s="97"/>
      <c r="SSF74" s="97"/>
      <c r="SSG74" s="97"/>
      <c r="SSH74" s="97"/>
      <c r="SSI74" s="97"/>
      <c r="SSJ74" s="97"/>
      <c r="SSK74" s="97"/>
      <c r="SSL74" s="97"/>
      <c r="SSM74" s="97"/>
      <c r="SSN74" s="97"/>
      <c r="SSO74" s="97"/>
      <c r="SSP74" s="97"/>
      <c r="SSQ74" s="97"/>
      <c r="SSR74" s="97"/>
      <c r="SSS74" s="97"/>
      <c r="SST74" s="97"/>
      <c r="SSU74" s="97"/>
      <c r="SSV74" s="97"/>
      <c r="SSW74" s="97"/>
      <c r="SSX74" s="97"/>
      <c r="SSY74" s="97"/>
      <c r="SSZ74" s="97"/>
      <c r="STA74" s="97"/>
      <c r="STB74" s="97"/>
      <c r="STC74" s="97"/>
      <c r="STD74" s="97"/>
      <c r="STE74" s="97"/>
      <c r="STF74" s="97"/>
      <c r="STG74" s="97"/>
      <c r="STH74" s="97"/>
      <c r="STI74" s="97"/>
      <c r="STJ74" s="97"/>
      <c r="STK74" s="97"/>
      <c r="STL74" s="97"/>
      <c r="STM74" s="97"/>
      <c r="STN74" s="97"/>
      <c r="STO74" s="97"/>
      <c r="STP74" s="97"/>
      <c r="STQ74" s="97"/>
      <c r="STR74" s="97"/>
      <c r="STS74" s="97"/>
      <c r="STT74" s="97"/>
      <c r="STU74" s="97"/>
      <c r="STV74" s="97"/>
      <c r="STW74" s="97"/>
      <c r="STX74" s="97"/>
      <c r="STY74" s="97"/>
      <c r="STZ74" s="97"/>
      <c r="SUA74" s="97"/>
      <c r="SUB74" s="97"/>
      <c r="SUC74" s="97"/>
      <c r="SUD74" s="97"/>
      <c r="SUE74" s="97"/>
      <c r="SUF74" s="97"/>
      <c r="SUG74" s="97"/>
      <c r="SUH74" s="97"/>
      <c r="SUI74" s="97"/>
      <c r="SUJ74" s="97"/>
      <c r="SUK74" s="97"/>
      <c r="SUL74" s="97"/>
      <c r="SUM74" s="97"/>
      <c r="SUN74" s="97"/>
      <c r="SUO74" s="97"/>
      <c r="SUP74" s="97"/>
      <c r="SUQ74" s="97"/>
      <c r="SUR74" s="97"/>
      <c r="SUS74" s="97"/>
      <c r="SUT74" s="97"/>
      <c r="SUU74" s="97"/>
      <c r="SUV74" s="97"/>
      <c r="SUW74" s="97"/>
      <c r="SUX74" s="97"/>
      <c r="SUY74" s="97"/>
      <c r="SUZ74" s="97"/>
      <c r="SVA74" s="97"/>
      <c r="SVB74" s="97"/>
      <c r="SVC74" s="97"/>
      <c r="SVD74" s="97"/>
      <c r="SVE74" s="97"/>
      <c r="SVF74" s="97"/>
      <c r="SVG74" s="97"/>
      <c r="SVH74" s="97"/>
      <c r="SVI74" s="97"/>
      <c r="SVJ74" s="97"/>
      <c r="SVK74" s="97"/>
      <c r="SVL74" s="97"/>
      <c r="SVM74" s="97"/>
      <c r="SVN74" s="97"/>
      <c r="SVO74" s="97"/>
      <c r="SVP74" s="97"/>
      <c r="SVQ74" s="97"/>
      <c r="SVR74" s="97"/>
      <c r="SVS74" s="97"/>
      <c r="SVT74" s="97"/>
      <c r="SVU74" s="97"/>
      <c r="SVV74" s="97"/>
      <c r="SVW74" s="97"/>
      <c r="SVX74" s="97"/>
      <c r="SVY74" s="97"/>
      <c r="SVZ74" s="97"/>
      <c r="SWA74" s="97"/>
      <c r="SWB74" s="97"/>
      <c r="SWC74" s="97"/>
      <c r="SWD74" s="97"/>
      <c r="SWE74" s="97"/>
      <c r="SWF74" s="97"/>
      <c r="SWG74" s="97"/>
      <c r="SWH74" s="97"/>
      <c r="SWI74" s="97"/>
      <c r="SWJ74" s="97"/>
      <c r="SWK74" s="97"/>
      <c r="SWL74" s="97"/>
      <c r="SWM74" s="97"/>
      <c r="SWN74" s="97"/>
      <c r="SWO74" s="97"/>
      <c r="SWP74" s="97"/>
      <c r="SWQ74" s="97"/>
      <c r="SWR74" s="97"/>
      <c r="SWS74" s="97"/>
      <c r="SWT74" s="97"/>
      <c r="SWU74" s="97"/>
      <c r="SWV74" s="97"/>
      <c r="SWW74" s="97"/>
      <c r="SWX74" s="97"/>
      <c r="SWY74" s="97"/>
      <c r="SWZ74" s="97"/>
      <c r="SXA74" s="97"/>
      <c r="SXB74" s="97"/>
      <c r="SXC74" s="97"/>
      <c r="SXD74" s="97"/>
      <c r="SXE74" s="97"/>
      <c r="SXF74" s="97"/>
      <c r="SXG74" s="97"/>
      <c r="SXH74" s="97"/>
      <c r="SXI74" s="97"/>
      <c r="SXJ74" s="97"/>
      <c r="SXK74" s="97"/>
      <c r="SXL74" s="97"/>
      <c r="SXM74" s="97"/>
      <c r="SXN74" s="97"/>
      <c r="SXO74" s="97"/>
      <c r="SXP74" s="97"/>
      <c r="SXQ74" s="97"/>
      <c r="SXR74" s="97"/>
      <c r="SXS74" s="97"/>
      <c r="SXT74" s="97"/>
      <c r="SXU74" s="97"/>
      <c r="SXV74" s="97"/>
      <c r="SXW74" s="97"/>
      <c r="SXX74" s="97"/>
      <c r="SXY74" s="97"/>
      <c r="SXZ74" s="97"/>
      <c r="SYA74" s="97"/>
      <c r="SYB74" s="97"/>
      <c r="SYC74" s="97"/>
      <c r="SYD74" s="97"/>
      <c r="SYE74" s="97"/>
      <c r="SYF74" s="97"/>
      <c r="SYG74" s="97"/>
      <c r="SYH74" s="97"/>
      <c r="SYI74" s="97"/>
      <c r="SYJ74" s="97"/>
      <c r="SYK74" s="97"/>
      <c r="SYL74" s="97"/>
      <c r="SYM74" s="97"/>
      <c r="SYN74" s="97"/>
      <c r="SYO74" s="97"/>
      <c r="SYP74" s="97"/>
      <c r="SYQ74" s="97"/>
      <c r="SYR74" s="97"/>
      <c r="SYS74" s="97"/>
      <c r="SYT74" s="97"/>
      <c r="SYU74" s="97"/>
      <c r="SYV74" s="97"/>
      <c r="SYW74" s="97"/>
      <c r="SYX74" s="97"/>
      <c r="SYY74" s="97"/>
      <c r="SYZ74" s="97"/>
      <c r="SZA74" s="97"/>
      <c r="SZB74" s="97"/>
      <c r="SZC74" s="97"/>
      <c r="SZD74" s="97"/>
      <c r="SZE74" s="97"/>
      <c r="SZF74" s="97"/>
      <c r="SZG74" s="97"/>
      <c r="SZH74" s="97"/>
      <c r="SZI74" s="97"/>
      <c r="SZJ74" s="97"/>
      <c r="SZK74" s="97"/>
      <c r="SZL74" s="97"/>
      <c r="SZM74" s="97"/>
      <c r="SZN74" s="97"/>
      <c r="SZO74" s="97"/>
      <c r="SZP74" s="97"/>
      <c r="SZQ74" s="97"/>
      <c r="SZR74" s="97"/>
      <c r="SZS74" s="97"/>
      <c r="SZT74" s="97"/>
      <c r="SZU74" s="97"/>
      <c r="SZV74" s="97"/>
      <c r="SZW74" s="97"/>
      <c r="SZX74" s="97"/>
      <c r="SZY74" s="97"/>
      <c r="SZZ74" s="97"/>
      <c r="TAA74" s="97"/>
      <c r="TAB74" s="97"/>
      <c r="TAC74" s="97"/>
      <c r="TAD74" s="97"/>
      <c r="TAE74" s="97"/>
      <c r="TAF74" s="97"/>
      <c r="TAG74" s="97"/>
      <c r="TAH74" s="97"/>
      <c r="TAI74" s="97"/>
      <c r="TAJ74" s="97"/>
      <c r="TAK74" s="97"/>
      <c r="TAL74" s="97"/>
      <c r="TAM74" s="97"/>
      <c r="TAN74" s="97"/>
      <c r="TAO74" s="97"/>
      <c r="TAP74" s="97"/>
      <c r="TAQ74" s="97"/>
      <c r="TAR74" s="97"/>
      <c r="TAS74" s="97"/>
      <c r="TAT74" s="97"/>
      <c r="TAU74" s="97"/>
      <c r="TAV74" s="97"/>
      <c r="TAW74" s="97"/>
      <c r="TAX74" s="97"/>
      <c r="TAY74" s="97"/>
      <c r="TAZ74" s="97"/>
      <c r="TBA74" s="97"/>
      <c r="TBB74" s="97"/>
      <c r="TBC74" s="97"/>
      <c r="TBD74" s="97"/>
      <c r="TBE74" s="97"/>
      <c r="TBF74" s="97"/>
      <c r="TBG74" s="97"/>
      <c r="TBH74" s="97"/>
      <c r="TBI74" s="97"/>
      <c r="TBJ74" s="97"/>
      <c r="TBK74" s="97"/>
      <c r="TBL74" s="97"/>
      <c r="TBM74" s="97"/>
      <c r="TBN74" s="97"/>
      <c r="TBO74" s="97"/>
      <c r="TBP74" s="97"/>
      <c r="TBQ74" s="97"/>
      <c r="TBR74" s="97"/>
      <c r="TBS74" s="97"/>
      <c r="TBT74" s="97"/>
      <c r="TBU74" s="97"/>
      <c r="TBV74" s="97"/>
      <c r="TBW74" s="97"/>
      <c r="TBX74" s="97"/>
      <c r="TBY74" s="97"/>
      <c r="TBZ74" s="97"/>
      <c r="TCA74" s="97"/>
      <c r="TCB74" s="97"/>
      <c r="TCC74" s="97"/>
      <c r="TCD74" s="97"/>
      <c r="TCE74" s="97"/>
      <c r="TCF74" s="97"/>
      <c r="TCG74" s="97"/>
      <c r="TCH74" s="97"/>
      <c r="TCI74" s="97"/>
      <c r="TCJ74" s="97"/>
      <c r="TCK74" s="97"/>
      <c r="TCL74" s="97"/>
      <c r="TCM74" s="97"/>
      <c r="TCN74" s="97"/>
      <c r="TCO74" s="97"/>
      <c r="TCP74" s="97"/>
      <c r="TCQ74" s="97"/>
      <c r="TCR74" s="97"/>
      <c r="TCS74" s="97"/>
      <c r="TCT74" s="97"/>
      <c r="TCU74" s="97"/>
      <c r="TCV74" s="97"/>
      <c r="TCW74" s="97"/>
      <c r="TCX74" s="97"/>
      <c r="TCY74" s="97"/>
      <c r="TCZ74" s="97"/>
      <c r="TDA74" s="97"/>
      <c r="TDB74" s="97"/>
      <c r="TDC74" s="97"/>
      <c r="TDD74" s="97"/>
      <c r="TDE74" s="97"/>
      <c r="TDF74" s="97"/>
      <c r="TDG74" s="97"/>
      <c r="TDH74" s="97"/>
      <c r="TDI74" s="97"/>
      <c r="TDJ74" s="97"/>
      <c r="TDK74" s="97"/>
      <c r="TDL74" s="97"/>
      <c r="TDM74" s="97"/>
      <c r="TDN74" s="97"/>
      <c r="TDO74" s="97"/>
      <c r="TDP74" s="97"/>
      <c r="TDQ74" s="97"/>
      <c r="TDR74" s="97"/>
      <c r="TDS74" s="97"/>
      <c r="TDT74" s="97"/>
      <c r="TDU74" s="97"/>
      <c r="TDV74" s="97"/>
      <c r="TDW74" s="97"/>
      <c r="TDX74" s="97"/>
      <c r="TDY74" s="97"/>
      <c r="TDZ74" s="97"/>
      <c r="TEA74" s="97"/>
      <c r="TEB74" s="97"/>
      <c r="TEC74" s="97"/>
      <c r="TED74" s="97"/>
      <c r="TEE74" s="97"/>
      <c r="TEF74" s="97"/>
      <c r="TEG74" s="97"/>
      <c r="TEH74" s="97"/>
      <c r="TEI74" s="97"/>
      <c r="TEJ74" s="97"/>
      <c r="TEK74" s="97"/>
      <c r="TEL74" s="97"/>
      <c r="TEM74" s="97"/>
      <c r="TEN74" s="97"/>
      <c r="TEO74" s="97"/>
      <c r="TEP74" s="97"/>
      <c r="TEQ74" s="97"/>
      <c r="TER74" s="97"/>
      <c r="TES74" s="97"/>
      <c r="TET74" s="97"/>
      <c r="TEU74" s="97"/>
      <c r="TEV74" s="97"/>
      <c r="TEW74" s="97"/>
      <c r="TEX74" s="97"/>
      <c r="TEY74" s="97"/>
      <c r="TEZ74" s="97"/>
      <c r="TFA74" s="97"/>
      <c r="TFB74" s="97"/>
      <c r="TFC74" s="97"/>
      <c r="TFD74" s="97"/>
      <c r="TFE74" s="97"/>
      <c r="TFF74" s="97"/>
      <c r="TFG74" s="97"/>
      <c r="TFH74" s="97"/>
      <c r="TFI74" s="97"/>
      <c r="TFJ74" s="97"/>
      <c r="TFK74" s="97"/>
      <c r="TFL74" s="97"/>
      <c r="TFM74" s="97"/>
      <c r="TFN74" s="97"/>
      <c r="TFO74" s="97"/>
      <c r="TFP74" s="97"/>
      <c r="TFQ74" s="97"/>
      <c r="TFR74" s="97"/>
      <c r="TFS74" s="97"/>
      <c r="TFT74" s="97"/>
      <c r="TFU74" s="97"/>
      <c r="TFV74" s="97"/>
      <c r="TFW74" s="97"/>
      <c r="TFX74" s="97"/>
      <c r="TFY74" s="97"/>
      <c r="TFZ74" s="97"/>
      <c r="TGA74" s="97"/>
      <c r="TGB74" s="97"/>
      <c r="TGC74" s="97"/>
      <c r="TGD74" s="97"/>
      <c r="TGE74" s="97"/>
      <c r="TGF74" s="97"/>
      <c r="TGG74" s="97"/>
      <c r="TGH74" s="97"/>
      <c r="TGI74" s="97"/>
      <c r="TGJ74" s="97"/>
      <c r="TGK74" s="97"/>
      <c r="TGL74" s="97"/>
      <c r="TGM74" s="97"/>
      <c r="TGN74" s="97"/>
      <c r="TGO74" s="97"/>
      <c r="TGP74" s="97"/>
      <c r="TGQ74" s="97"/>
      <c r="TGR74" s="97"/>
      <c r="TGS74" s="97"/>
      <c r="TGT74" s="97"/>
      <c r="TGU74" s="97"/>
      <c r="TGV74" s="97"/>
      <c r="TGW74" s="97"/>
      <c r="TGX74" s="97"/>
      <c r="TGY74" s="97"/>
      <c r="TGZ74" s="97"/>
      <c r="THA74" s="97"/>
      <c r="THB74" s="97"/>
      <c r="THC74" s="97"/>
      <c r="THD74" s="97"/>
      <c r="THE74" s="97"/>
      <c r="THF74" s="97"/>
      <c r="THG74" s="97"/>
      <c r="THH74" s="97"/>
      <c r="THI74" s="97"/>
      <c r="THJ74" s="97"/>
      <c r="THK74" s="97"/>
      <c r="THL74" s="97"/>
      <c r="THM74" s="97"/>
      <c r="THN74" s="97"/>
      <c r="THO74" s="97"/>
      <c r="THP74" s="97"/>
      <c r="THQ74" s="97"/>
      <c r="THR74" s="97"/>
      <c r="THS74" s="97"/>
      <c r="THT74" s="97"/>
      <c r="THU74" s="97"/>
      <c r="THV74" s="97"/>
      <c r="THW74" s="97"/>
      <c r="THX74" s="97"/>
      <c r="THY74" s="97"/>
      <c r="THZ74" s="97"/>
      <c r="TIA74" s="97"/>
      <c r="TIB74" s="97"/>
      <c r="TIC74" s="97"/>
      <c r="TID74" s="97"/>
      <c r="TIE74" s="97"/>
      <c r="TIF74" s="97"/>
      <c r="TIG74" s="97"/>
      <c r="TIH74" s="97"/>
      <c r="TII74" s="97"/>
      <c r="TIJ74" s="97"/>
      <c r="TIK74" s="97"/>
      <c r="TIL74" s="97"/>
      <c r="TIM74" s="97"/>
      <c r="TIN74" s="97"/>
      <c r="TIO74" s="97"/>
      <c r="TIP74" s="97"/>
      <c r="TIQ74" s="97"/>
      <c r="TIR74" s="97"/>
      <c r="TIS74" s="97"/>
      <c r="TIT74" s="97"/>
      <c r="TIU74" s="97"/>
      <c r="TIV74" s="97"/>
      <c r="TIW74" s="97"/>
      <c r="TIX74" s="97"/>
      <c r="TIY74" s="97"/>
      <c r="TIZ74" s="97"/>
      <c r="TJA74" s="97"/>
      <c r="TJB74" s="97"/>
      <c r="TJC74" s="97"/>
      <c r="TJD74" s="97"/>
      <c r="TJE74" s="97"/>
      <c r="TJF74" s="97"/>
      <c r="TJG74" s="97"/>
      <c r="TJH74" s="97"/>
      <c r="TJI74" s="97"/>
      <c r="TJJ74" s="97"/>
      <c r="TJK74" s="97"/>
      <c r="TJL74" s="97"/>
      <c r="TJM74" s="97"/>
      <c r="TJN74" s="97"/>
      <c r="TJO74" s="97"/>
      <c r="TJP74" s="97"/>
      <c r="TJQ74" s="97"/>
      <c r="TJR74" s="97"/>
      <c r="TJS74" s="97"/>
      <c r="TJT74" s="97"/>
      <c r="TJU74" s="97"/>
      <c r="TJV74" s="97"/>
      <c r="TJW74" s="97"/>
      <c r="TJX74" s="97"/>
      <c r="TJY74" s="97"/>
      <c r="TJZ74" s="97"/>
      <c r="TKA74" s="97"/>
      <c r="TKB74" s="97"/>
      <c r="TKC74" s="97"/>
      <c r="TKD74" s="97"/>
      <c r="TKE74" s="97"/>
      <c r="TKF74" s="97"/>
      <c r="TKG74" s="97"/>
      <c r="TKH74" s="97"/>
      <c r="TKI74" s="97"/>
      <c r="TKJ74" s="97"/>
      <c r="TKK74" s="97"/>
      <c r="TKL74" s="97"/>
      <c r="TKM74" s="97"/>
      <c r="TKN74" s="97"/>
      <c r="TKO74" s="97"/>
      <c r="TKP74" s="97"/>
      <c r="TKQ74" s="97"/>
      <c r="TKR74" s="97"/>
      <c r="TKS74" s="97"/>
      <c r="TKT74" s="97"/>
      <c r="TKU74" s="97"/>
      <c r="TKV74" s="97"/>
      <c r="TKW74" s="97"/>
      <c r="TKX74" s="97"/>
      <c r="TKY74" s="97"/>
      <c r="TKZ74" s="97"/>
      <c r="TLA74" s="97"/>
      <c r="TLB74" s="97"/>
      <c r="TLC74" s="97"/>
      <c r="TLD74" s="97"/>
      <c r="TLE74" s="97"/>
      <c r="TLF74" s="97"/>
      <c r="TLG74" s="97"/>
      <c r="TLH74" s="97"/>
      <c r="TLI74" s="97"/>
      <c r="TLJ74" s="97"/>
      <c r="TLK74" s="97"/>
      <c r="TLL74" s="97"/>
      <c r="TLM74" s="97"/>
      <c r="TLN74" s="97"/>
      <c r="TLO74" s="97"/>
      <c r="TLP74" s="97"/>
      <c r="TLQ74" s="97"/>
      <c r="TLR74" s="97"/>
      <c r="TLS74" s="97"/>
      <c r="TLT74" s="97"/>
      <c r="TLU74" s="97"/>
      <c r="TLV74" s="97"/>
      <c r="TLW74" s="97"/>
      <c r="TLX74" s="97"/>
      <c r="TLY74" s="97"/>
      <c r="TLZ74" s="97"/>
      <c r="TMA74" s="97"/>
      <c r="TMB74" s="97"/>
      <c r="TMC74" s="97"/>
      <c r="TMD74" s="97"/>
      <c r="TME74" s="97"/>
      <c r="TMF74" s="97"/>
      <c r="TMG74" s="97"/>
      <c r="TMH74" s="97"/>
      <c r="TMI74" s="97"/>
      <c r="TMJ74" s="97"/>
      <c r="TMK74" s="97"/>
      <c r="TML74" s="97"/>
      <c r="TMM74" s="97"/>
      <c r="TMN74" s="97"/>
      <c r="TMO74" s="97"/>
      <c r="TMP74" s="97"/>
      <c r="TMQ74" s="97"/>
      <c r="TMR74" s="97"/>
      <c r="TMS74" s="97"/>
      <c r="TMT74" s="97"/>
      <c r="TMU74" s="97"/>
      <c r="TMV74" s="97"/>
      <c r="TMW74" s="97"/>
      <c r="TMX74" s="97"/>
      <c r="TMY74" s="97"/>
      <c r="TMZ74" s="97"/>
      <c r="TNA74" s="97"/>
      <c r="TNB74" s="97"/>
      <c r="TNC74" s="97"/>
      <c r="TND74" s="97"/>
      <c r="TNE74" s="97"/>
      <c r="TNF74" s="97"/>
      <c r="TNG74" s="97"/>
      <c r="TNH74" s="97"/>
      <c r="TNI74" s="97"/>
      <c r="TNJ74" s="97"/>
      <c r="TNK74" s="97"/>
      <c r="TNL74" s="97"/>
      <c r="TNM74" s="97"/>
      <c r="TNN74" s="97"/>
      <c r="TNO74" s="97"/>
      <c r="TNP74" s="97"/>
      <c r="TNQ74" s="97"/>
      <c r="TNR74" s="97"/>
      <c r="TNS74" s="97"/>
      <c r="TNT74" s="97"/>
      <c r="TNU74" s="97"/>
      <c r="TNV74" s="97"/>
      <c r="TNW74" s="97"/>
      <c r="TNX74" s="97"/>
      <c r="TNY74" s="97"/>
      <c r="TNZ74" s="97"/>
      <c r="TOA74" s="97"/>
      <c r="TOB74" s="97"/>
      <c r="TOC74" s="97"/>
      <c r="TOD74" s="97"/>
      <c r="TOE74" s="97"/>
      <c r="TOF74" s="97"/>
      <c r="TOG74" s="97"/>
      <c r="TOH74" s="97"/>
      <c r="TOI74" s="97"/>
      <c r="TOJ74" s="97"/>
      <c r="TOK74" s="97"/>
      <c r="TOL74" s="97"/>
      <c r="TOM74" s="97"/>
      <c r="TON74" s="97"/>
      <c r="TOO74" s="97"/>
      <c r="TOP74" s="97"/>
      <c r="TOQ74" s="97"/>
      <c r="TOR74" s="97"/>
      <c r="TOS74" s="97"/>
      <c r="TOT74" s="97"/>
      <c r="TOU74" s="97"/>
      <c r="TOV74" s="97"/>
      <c r="TOW74" s="97"/>
      <c r="TOX74" s="97"/>
      <c r="TOY74" s="97"/>
      <c r="TOZ74" s="97"/>
      <c r="TPA74" s="97"/>
      <c r="TPB74" s="97"/>
      <c r="TPC74" s="97"/>
      <c r="TPD74" s="97"/>
      <c r="TPE74" s="97"/>
      <c r="TPF74" s="97"/>
      <c r="TPG74" s="97"/>
      <c r="TPH74" s="97"/>
      <c r="TPI74" s="97"/>
      <c r="TPJ74" s="97"/>
      <c r="TPK74" s="97"/>
      <c r="TPL74" s="97"/>
      <c r="TPM74" s="97"/>
      <c r="TPN74" s="97"/>
      <c r="TPO74" s="97"/>
      <c r="TPP74" s="97"/>
      <c r="TPQ74" s="97"/>
      <c r="TPR74" s="97"/>
      <c r="TPS74" s="97"/>
      <c r="TPT74" s="97"/>
      <c r="TPU74" s="97"/>
      <c r="TPV74" s="97"/>
      <c r="TPW74" s="97"/>
      <c r="TPX74" s="97"/>
      <c r="TPY74" s="97"/>
      <c r="TPZ74" s="97"/>
      <c r="TQA74" s="97"/>
      <c r="TQB74" s="97"/>
      <c r="TQC74" s="97"/>
      <c r="TQD74" s="97"/>
      <c r="TQE74" s="97"/>
      <c r="TQF74" s="97"/>
      <c r="TQG74" s="97"/>
      <c r="TQH74" s="97"/>
      <c r="TQI74" s="97"/>
      <c r="TQJ74" s="97"/>
      <c r="TQK74" s="97"/>
      <c r="TQL74" s="97"/>
      <c r="TQM74" s="97"/>
      <c r="TQN74" s="97"/>
      <c r="TQO74" s="97"/>
      <c r="TQP74" s="97"/>
      <c r="TQQ74" s="97"/>
      <c r="TQR74" s="97"/>
      <c r="TQS74" s="97"/>
      <c r="TQT74" s="97"/>
      <c r="TQU74" s="97"/>
      <c r="TQV74" s="97"/>
      <c r="TQW74" s="97"/>
      <c r="TQX74" s="97"/>
      <c r="TQY74" s="97"/>
      <c r="TQZ74" s="97"/>
      <c r="TRA74" s="97"/>
      <c r="TRB74" s="97"/>
      <c r="TRC74" s="97"/>
      <c r="TRD74" s="97"/>
      <c r="TRE74" s="97"/>
      <c r="TRF74" s="97"/>
      <c r="TRG74" s="97"/>
      <c r="TRH74" s="97"/>
      <c r="TRI74" s="97"/>
      <c r="TRJ74" s="97"/>
      <c r="TRK74" s="97"/>
      <c r="TRL74" s="97"/>
      <c r="TRM74" s="97"/>
      <c r="TRN74" s="97"/>
      <c r="TRO74" s="97"/>
      <c r="TRP74" s="97"/>
      <c r="TRQ74" s="97"/>
      <c r="TRR74" s="97"/>
      <c r="TRS74" s="97"/>
      <c r="TRT74" s="97"/>
      <c r="TRU74" s="97"/>
      <c r="TRV74" s="97"/>
      <c r="TRW74" s="97"/>
      <c r="TRX74" s="97"/>
      <c r="TRY74" s="97"/>
      <c r="TRZ74" s="97"/>
      <c r="TSA74" s="97"/>
      <c r="TSB74" s="97"/>
      <c r="TSC74" s="97"/>
      <c r="TSD74" s="97"/>
      <c r="TSE74" s="97"/>
      <c r="TSF74" s="97"/>
      <c r="TSG74" s="97"/>
      <c r="TSH74" s="97"/>
      <c r="TSI74" s="97"/>
      <c r="TSJ74" s="97"/>
      <c r="TSK74" s="97"/>
      <c r="TSL74" s="97"/>
      <c r="TSM74" s="97"/>
      <c r="TSN74" s="97"/>
      <c r="TSO74" s="97"/>
      <c r="TSP74" s="97"/>
      <c r="TSQ74" s="97"/>
      <c r="TSR74" s="97"/>
      <c r="TSS74" s="97"/>
      <c r="TST74" s="97"/>
      <c r="TSU74" s="97"/>
      <c r="TSV74" s="97"/>
      <c r="TSW74" s="97"/>
      <c r="TSX74" s="97"/>
      <c r="TSY74" s="97"/>
      <c r="TSZ74" s="97"/>
      <c r="TTA74" s="97"/>
      <c r="TTB74" s="97"/>
      <c r="TTC74" s="97"/>
      <c r="TTD74" s="97"/>
      <c r="TTE74" s="97"/>
      <c r="TTF74" s="97"/>
      <c r="TTG74" s="97"/>
      <c r="TTH74" s="97"/>
      <c r="TTI74" s="97"/>
      <c r="TTJ74" s="97"/>
      <c r="TTK74" s="97"/>
      <c r="TTL74" s="97"/>
      <c r="TTM74" s="97"/>
      <c r="TTN74" s="97"/>
      <c r="TTO74" s="97"/>
      <c r="TTP74" s="97"/>
      <c r="TTQ74" s="97"/>
      <c r="TTR74" s="97"/>
      <c r="TTS74" s="97"/>
      <c r="TTT74" s="97"/>
      <c r="TTU74" s="97"/>
      <c r="TTV74" s="97"/>
      <c r="TTW74" s="97"/>
      <c r="TTX74" s="97"/>
      <c r="TTY74" s="97"/>
      <c r="TTZ74" s="97"/>
      <c r="TUA74" s="97"/>
      <c r="TUB74" s="97"/>
      <c r="TUC74" s="97"/>
      <c r="TUD74" s="97"/>
      <c r="TUE74" s="97"/>
      <c r="TUF74" s="97"/>
      <c r="TUG74" s="97"/>
      <c r="TUH74" s="97"/>
      <c r="TUI74" s="97"/>
      <c r="TUJ74" s="97"/>
      <c r="TUK74" s="97"/>
      <c r="TUL74" s="97"/>
      <c r="TUM74" s="97"/>
      <c r="TUN74" s="97"/>
      <c r="TUO74" s="97"/>
      <c r="TUP74" s="97"/>
      <c r="TUQ74" s="97"/>
      <c r="TUR74" s="97"/>
      <c r="TUS74" s="97"/>
      <c r="TUT74" s="97"/>
      <c r="TUU74" s="97"/>
      <c r="TUV74" s="97"/>
      <c r="TUW74" s="97"/>
      <c r="TUX74" s="97"/>
      <c r="TUY74" s="97"/>
      <c r="TUZ74" s="97"/>
      <c r="TVA74" s="97"/>
      <c r="TVB74" s="97"/>
      <c r="TVC74" s="97"/>
      <c r="TVD74" s="97"/>
      <c r="TVE74" s="97"/>
      <c r="TVF74" s="97"/>
      <c r="TVG74" s="97"/>
      <c r="TVH74" s="97"/>
      <c r="TVI74" s="97"/>
      <c r="TVJ74" s="97"/>
      <c r="TVK74" s="97"/>
      <c r="TVL74" s="97"/>
      <c r="TVM74" s="97"/>
      <c r="TVN74" s="97"/>
      <c r="TVO74" s="97"/>
      <c r="TVP74" s="97"/>
      <c r="TVQ74" s="97"/>
      <c r="TVR74" s="97"/>
      <c r="TVS74" s="97"/>
      <c r="TVT74" s="97"/>
      <c r="TVU74" s="97"/>
      <c r="TVV74" s="97"/>
      <c r="TVW74" s="97"/>
      <c r="TVX74" s="97"/>
      <c r="TVY74" s="97"/>
      <c r="TVZ74" s="97"/>
      <c r="TWA74" s="97"/>
      <c r="TWB74" s="97"/>
      <c r="TWC74" s="97"/>
      <c r="TWD74" s="97"/>
      <c r="TWE74" s="97"/>
      <c r="TWF74" s="97"/>
      <c r="TWG74" s="97"/>
      <c r="TWH74" s="97"/>
      <c r="TWI74" s="97"/>
      <c r="TWJ74" s="97"/>
      <c r="TWK74" s="97"/>
      <c r="TWL74" s="97"/>
      <c r="TWM74" s="97"/>
      <c r="TWN74" s="97"/>
      <c r="TWO74" s="97"/>
      <c r="TWP74" s="97"/>
      <c r="TWQ74" s="97"/>
      <c r="TWR74" s="97"/>
      <c r="TWS74" s="97"/>
      <c r="TWT74" s="97"/>
      <c r="TWU74" s="97"/>
      <c r="TWV74" s="97"/>
      <c r="TWW74" s="97"/>
      <c r="TWX74" s="97"/>
      <c r="TWY74" s="97"/>
      <c r="TWZ74" s="97"/>
      <c r="TXA74" s="97"/>
      <c r="TXB74" s="97"/>
      <c r="TXC74" s="97"/>
      <c r="TXD74" s="97"/>
      <c r="TXE74" s="97"/>
      <c r="TXF74" s="97"/>
      <c r="TXG74" s="97"/>
      <c r="TXH74" s="97"/>
      <c r="TXI74" s="97"/>
      <c r="TXJ74" s="97"/>
      <c r="TXK74" s="97"/>
      <c r="TXL74" s="97"/>
      <c r="TXM74" s="97"/>
      <c r="TXN74" s="97"/>
      <c r="TXO74" s="97"/>
      <c r="TXP74" s="97"/>
      <c r="TXQ74" s="97"/>
      <c r="TXR74" s="97"/>
      <c r="TXS74" s="97"/>
      <c r="TXT74" s="97"/>
      <c r="TXU74" s="97"/>
      <c r="TXV74" s="97"/>
      <c r="TXW74" s="97"/>
      <c r="TXX74" s="97"/>
      <c r="TXY74" s="97"/>
      <c r="TXZ74" s="97"/>
      <c r="TYA74" s="97"/>
      <c r="TYB74" s="97"/>
      <c r="TYC74" s="97"/>
      <c r="TYD74" s="97"/>
      <c r="TYE74" s="97"/>
      <c r="TYF74" s="97"/>
      <c r="TYG74" s="97"/>
      <c r="TYH74" s="97"/>
      <c r="TYI74" s="97"/>
      <c r="TYJ74" s="97"/>
      <c r="TYK74" s="97"/>
      <c r="TYL74" s="97"/>
      <c r="TYM74" s="97"/>
      <c r="TYN74" s="97"/>
      <c r="TYO74" s="97"/>
      <c r="TYP74" s="97"/>
      <c r="TYQ74" s="97"/>
      <c r="TYR74" s="97"/>
      <c r="TYS74" s="97"/>
      <c r="TYT74" s="97"/>
      <c r="TYU74" s="97"/>
      <c r="TYV74" s="97"/>
      <c r="TYW74" s="97"/>
      <c r="TYX74" s="97"/>
      <c r="TYY74" s="97"/>
      <c r="TYZ74" s="97"/>
      <c r="TZA74" s="97"/>
      <c r="TZB74" s="97"/>
      <c r="TZC74" s="97"/>
      <c r="TZD74" s="97"/>
      <c r="TZE74" s="97"/>
      <c r="TZF74" s="97"/>
      <c r="TZG74" s="97"/>
      <c r="TZH74" s="97"/>
      <c r="TZI74" s="97"/>
      <c r="TZJ74" s="97"/>
      <c r="TZK74" s="97"/>
      <c r="TZL74" s="97"/>
      <c r="TZM74" s="97"/>
      <c r="TZN74" s="97"/>
      <c r="TZO74" s="97"/>
      <c r="TZP74" s="97"/>
      <c r="TZQ74" s="97"/>
      <c r="TZR74" s="97"/>
      <c r="TZS74" s="97"/>
      <c r="TZT74" s="97"/>
      <c r="TZU74" s="97"/>
      <c r="TZV74" s="97"/>
      <c r="TZW74" s="97"/>
      <c r="TZX74" s="97"/>
      <c r="TZY74" s="97"/>
      <c r="TZZ74" s="97"/>
      <c r="UAA74" s="97"/>
      <c r="UAB74" s="97"/>
      <c r="UAC74" s="97"/>
      <c r="UAD74" s="97"/>
      <c r="UAE74" s="97"/>
      <c r="UAF74" s="97"/>
      <c r="UAG74" s="97"/>
      <c r="UAH74" s="97"/>
      <c r="UAI74" s="97"/>
      <c r="UAJ74" s="97"/>
      <c r="UAK74" s="97"/>
      <c r="UAL74" s="97"/>
      <c r="UAM74" s="97"/>
      <c r="UAN74" s="97"/>
      <c r="UAO74" s="97"/>
      <c r="UAP74" s="97"/>
      <c r="UAQ74" s="97"/>
      <c r="UAR74" s="97"/>
      <c r="UAS74" s="97"/>
      <c r="UAT74" s="97"/>
      <c r="UAU74" s="97"/>
      <c r="UAV74" s="97"/>
      <c r="UAW74" s="97"/>
      <c r="UAX74" s="97"/>
      <c r="UAY74" s="97"/>
      <c r="UAZ74" s="97"/>
      <c r="UBA74" s="97"/>
      <c r="UBB74" s="97"/>
      <c r="UBC74" s="97"/>
      <c r="UBD74" s="97"/>
      <c r="UBE74" s="97"/>
      <c r="UBF74" s="97"/>
      <c r="UBG74" s="97"/>
      <c r="UBH74" s="97"/>
      <c r="UBI74" s="97"/>
      <c r="UBJ74" s="97"/>
      <c r="UBK74" s="97"/>
      <c r="UBL74" s="97"/>
      <c r="UBM74" s="97"/>
      <c r="UBN74" s="97"/>
      <c r="UBO74" s="97"/>
      <c r="UBP74" s="97"/>
      <c r="UBQ74" s="97"/>
      <c r="UBR74" s="97"/>
      <c r="UBS74" s="97"/>
      <c r="UBT74" s="97"/>
      <c r="UBU74" s="97"/>
      <c r="UBV74" s="97"/>
      <c r="UBW74" s="97"/>
      <c r="UBX74" s="97"/>
      <c r="UBY74" s="97"/>
      <c r="UBZ74" s="97"/>
      <c r="UCA74" s="97"/>
      <c r="UCB74" s="97"/>
      <c r="UCC74" s="97"/>
      <c r="UCD74" s="97"/>
      <c r="UCE74" s="97"/>
      <c r="UCF74" s="97"/>
      <c r="UCG74" s="97"/>
      <c r="UCH74" s="97"/>
      <c r="UCI74" s="97"/>
      <c r="UCJ74" s="97"/>
      <c r="UCK74" s="97"/>
      <c r="UCL74" s="97"/>
      <c r="UCM74" s="97"/>
      <c r="UCN74" s="97"/>
      <c r="UCO74" s="97"/>
      <c r="UCP74" s="97"/>
      <c r="UCQ74" s="97"/>
      <c r="UCR74" s="97"/>
      <c r="UCS74" s="97"/>
      <c r="UCT74" s="97"/>
      <c r="UCU74" s="97"/>
      <c r="UCV74" s="97"/>
      <c r="UCW74" s="97"/>
      <c r="UCX74" s="97"/>
      <c r="UCY74" s="97"/>
      <c r="UCZ74" s="97"/>
      <c r="UDA74" s="97"/>
      <c r="UDB74" s="97"/>
      <c r="UDC74" s="97"/>
      <c r="UDD74" s="97"/>
      <c r="UDE74" s="97"/>
      <c r="UDF74" s="97"/>
      <c r="UDG74" s="97"/>
      <c r="UDH74" s="97"/>
      <c r="UDI74" s="97"/>
      <c r="UDJ74" s="97"/>
      <c r="UDK74" s="97"/>
      <c r="UDL74" s="97"/>
      <c r="UDM74" s="97"/>
      <c r="UDN74" s="97"/>
      <c r="UDO74" s="97"/>
      <c r="UDP74" s="97"/>
      <c r="UDQ74" s="97"/>
      <c r="UDR74" s="97"/>
      <c r="UDS74" s="97"/>
      <c r="UDT74" s="97"/>
      <c r="UDU74" s="97"/>
      <c r="UDV74" s="97"/>
      <c r="UDW74" s="97"/>
      <c r="UDX74" s="97"/>
      <c r="UDY74" s="97"/>
      <c r="UDZ74" s="97"/>
      <c r="UEA74" s="97"/>
      <c r="UEB74" s="97"/>
      <c r="UEC74" s="97"/>
      <c r="UED74" s="97"/>
      <c r="UEE74" s="97"/>
      <c r="UEF74" s="97"/>
      <c r="UEG74" s="97"/>
      <c r="UEH74" s="97"/>
      <c r="UEI74" s="97"/>
      <c r="UEJ74" s="97"/>
      <c r="UEK74" s="97"/>
      <c r="UEL74" s="97"/>
      <c r="UEM74" s="97"/>
      <c r="UEN74" s="97"/>
      <c r="UEO74" s="97"/>
      <c r="UEP74" s="97"/>
      <c r="UEQ74" s="97"/>
      <c r="UER74" s="97"/>
      <c r="UES74" s="97"/>
      <c r="UET74" s="97"/>
      <c r="UEU74" s="97"/>
      <c r="UEV74" s="97"/>
      <c r="UEW74" s="97"/>
      <c r="UEX74" s="97"/>
      <c r="UEY74" s="97"/>
      <c r="UEZ74" s="97"/>
      <c r="UFA74" s="97"/>
      <c r="UFB74" s="97"/>
      <c r="UFC74" s="97"/>
      <c r="UFD74" s="97"/>
      <c r="UFE74" s="97"/>
      <c r="UFF74" s="97"/>
      <c r="UFG74" s="97"/>
      <c r="UFH74" s="97"/>
      <c r="UFI74" s="97"/>
      <c r="UFJ74" s="97"/>
      <c r="UFK74" s="97"/>
      <c r="UFL74" s="97"/>
      <c r="UFM74" s="97"/>
      <c r="UFN74" s="97"/>
      <c r="UFO74" s="97"/>
      <c r="UFP74" s="97"/>
      <c r="UFQ74" s="97"/>
      <c r="UFR74" s="97"/>
      <c r="UFS74" s="97"/>
      <c r="UFT74" s="97"/>
      <c r="UFU74" s="97"/>
      <c r="UFV74" s="97"/>
      <c r="UFW74" s="97"/>
      <c r="UFX74" s="97"/>
      <c r="UFY74" s="97"/>
      <c r="UFZ74" s="97"/>
      <c r="UGA74" s="97"/>
      <c r="UGB74" s="97"/>
      <c r="UGC74" s="97"/>
      <c r="UGD74" s="97"/>
      <c r="UGE74" s="97"/>
      <c r="UGF74" s="97"/>
      <c r="UGG74" s="97"/>
      <c r="UGH74" s="97"/>
      <c r="UGI74" s="97"/>
      <c r="UGJ74" s="97"/>
      <c r="UGK74" s="97"/>
      <c r="UGL74" s="97"/>
      <c r="UGM74" s="97"/>
      <c r="UGN74" s="97"/>
      <c r="UGO74" s="97"/>
      <c r="UGP74" s="97"/>
      <c r="UGQ74" s="97"/>
      <c r="UGR74" s="97"/>
      <c r="UGS74" s="97"/>
      <c r="UGT74" s="97"/>
      <c r="UGU74" s="97"/>
      <c r="UGV74" s="97"/>
      <c r="UGW74" s="97"/>
      <c r="UGX74" s="97"/>
      <c r="UGY74" s="97"/>
      <c r="UGZ74" s="97"/>
      <c r="UHA74" s="97"/>
      <c r="UHB74" s="97"/>
      <c r="UHC74" s="97"/>
      <c r="UHD74" s="97"/>
      <c r="UHE74" s="97"/>
      <c r="UHF74" s="97"/>
      <c r="UHG74" s="97"/>
      <c r="UHH74" s="97"/>
      <c r="UHI74" s="97"/>
      <c r="UHJ74" s="97"/>
      <c r="UHK74" s="97"/>
      <c r="UHL74" s="97"/>
      <c r="UHM74" s="97"/>
      <c r="UHN74" s="97"/>
      <c r="UHO74" s="97"/>
      <c r="UHP74" s="97"/>
      <c r="UHQ74" s="97"/>
      <c r="UHR74" s="97"/>
      <c r="UHS74" s="97"/>
      <c r="UHT74" s="97"/>
      <c r="UHU74" s="97"/>
      <c r="UHV74" s="97"/>
      <c r="UHW74" s="97"/>
      <c r="UHX74" s="97"/>
      <c r="UHY74" s="97"/>
      <c r="UHZ74" s="97"/>
      <c r="UIA74" s="97"/>
      <c r="UIB74" s="97"/>
      <c r="UIC74" s="97"/>
      <c r="UID74" s="97"/>
      <c r="UIE74" s="97"/>
      <c r="UIF74" s="97"/>
      <c r="UIG74" s="97"/>
      <c r="UIH74" s="97"/>
      <c r="UII74" s="97"/>
      <c r="UIJ74" s="97"/>
      <c r="UIK74" s="97"/>
      <c r="UIL74" s="97"/>
      <c r="UIM74" s="97"/>
      <c r="UIN74" s="97"/>
      <c r="UIO74" s="97"/>
      <c r="UIP74" s="97"/>
      <c r="UIQ74" s="97"/>
      <c r="UIR74" s="97"/>
      <c r="UIS74" s="97"/>
      <c r="UIT74" s="97"/>
      <c r="UIU74" s="97"/>
      <c r="UIV74" s="97"/>
      <c r="UIW74" s="97"/>
      <c r="UIX74" s="97"/>
      <c r="UIY74" s="97"/>
      <c r="UIZ74" s="97"/>
      <c r="UJA74" s="97"/>
      <c r="UJB74" s="97"/>
      <c r="UJC74" s="97"/>
      <c r="UJD74" s="97"/>
      <c r="UJE74" s="97"/>
      <c r="UJF74" s="97"/>
      <c r="UJG74" s="97"/>
      <c r="UJH74" s="97"/>
      <c r="UJI74" s="97"/>
      <c r="UJJ74" s="97"/>
      <c r="UJK74" s="97"/>
      <c r="UJL74" s="97"/>
      <c r="UJM74" s="97"/>
      <c r="UJN74" s="97"/>
      <c r="UJO74" s="97"/>
      <c r="UJP74" s="97"/>
      <c r="UJQ74" s="97"/>
      <c r="UJR74" s="97"/>
      <c r="UJS74" s="97"/>
      <c r="UJT74" s="97"/>
      <c r="UJU74" s="97"/>
      <c r="UJV74" s="97"/>
      <c r="UJW74" s="97"/>
      <c r="UJX74" s="97"/>
      <c r="UJY74" s="97"/>
      <c r="UJZ74" s="97"/>
      <c r="UKA74" s="97"/>
      <c r="UKB74" s="97"/>
      <c r="UKC74" s="97"/>
      <c r="UKD74" s="97"/>
      <c r="UKE74" s="97"/>
      <c r="UKF74" s="97"/>
      <c r="UKG74" s="97"/>
      <c r="UKH74" s="97"/>
      <c r="UKI74" s="97"/>
      <c r="UKJ74" s="97"/>
      <c r="UKK74" s="97"/>
      <c r="UKL74" s="97"/>
      <c r="UKM74" s="97"/>
      <c r="UKN74" s="97"/>
      <c r="UKO74" s="97"/>
      <c r="UKP74" s="97"/>
      <c r="UKQ74" s="97"/>
      <c r="UKR74" s="97"/>
      <c r="UKS74" s="97"/>
      <c r="UKT74" s="97"/>
      <c r="UKU74" s="97"/>
      <c r="UKV74" s="97"/>
      <c r="UKW74" s="97"/>
      <c r="UKX74" s="97"/>
      <c r="UKY74" s="97"/>
      <c r="UKZ74" s="97"/>
      <c r="ULA74" s="97"/>
      <c r="ULB74" s="97"/>
      <c r="ULC74" s="97"/>
      <c r="ULD74" s="97"/>
      <c r="ULE74" s="97"/>
      <c r="ULF74" s="97"/>
      <c r="ULG74" s="97"/>
      <c r="ULH74" s="97"/>
      <c r="ULI74" s="97"/>
      <c r="ULJ74" s="97"/>
      <c r="ULK74" s="97"/>
      <c r="ULL74" s="97"/>
      <c r="ULM74" s="97"/>
      <c r="ULN74" s="97"/>
      <c r="ULO74" s="97"/>
      <c r="ULP74" s="97"/>
      <c r="ULQ74" s="97"/>
      <c r="ULR74" s="97"/>
      <c r="ULS74" s="97"/>
      <c r="ULT74" s="97"/>
      <c r="ULU74" s="97"/>
      <c r="ULV74" s="97"/>
      <c r="ULW74" s="97"/>
      <c r="ULX74" s="97"/>
      <c r="ULY74" s="97"/>
      <c r="ULZ74" s="97"/>
      <c r="UMA74" s="97"/>
      <c r="UMB74" s="97"/>
      <c r="UMC74" s="97"/>
      <c r="UMD74" s="97"/>
      <c r="UME74" s="97"/>
      <c r="UMF74" s="97"/>
      <c r="UMG74" s="97"/>
      <c r="UMH74" s="97"/>
      <c r="UMI74" s="97"/>
      <c r="UMJ74" s="97"/>
      <c r="UMK74" s="97"/>
      <c r="UML74" s="97"/>
      <c r="UMM74" s="97"/>
      <c r="UMN74" s="97"/>
      <c r="UMO74" s="97"/>
      <c r="UMP74" s="97"/>
      <c r="UMQ74" s="97"/>
      <c r="UMR74" s="97"/>
      <c r="UMS74" s="97"/>
      <c r="UMT74" s="97"/>
      <c r="UMU74" s="97"/>
      <c r="UMV74" s="97"/>
      <c r="UMW74" s="97"/>
      <c r="UMX74" s="97"/>
      <c r="UMY74" s="97"/>
      <c r="UMZ74" s="97"/>
      <c r="UNA74" s="97"/>
      <c r="UNB74" s="97"/>
      <c r="UNC74" s="97"/>
      <c r="UND74" s="97"/>
      <c r="UNE74" s="97"/>
      <c r="UNF74" s="97"/>
      <c r="UNG74" s="97"/>
      <c r="UNH74" s="97"/>
      <c r="UNI74" s="97"/>
      <c r="UNJ74" s="97"/>
      <c r="UNK74" s="97"/>
      <c r="UNL74" s="97"/>
      <c r="UNM74" s="97"/>
      <c r="UNN74" s="97"/>
      <c r="UNO74" s="97"/>
      <c r="UNP74" s="97"/>
      <c r="UNQ74" s="97"/>
      <c r="UNR74" s="97"/>
      <c r="UNS74" s="97"/>
      <c r="UNT74" s="97"/>
      <c r="UNU74" s="97"/>
      <c r="UNV74" s="97"/>
      <c r="UNW74" s="97"/>
      <c r="UNX74" s="97"/>
      <c r="UNY74" s="97"/>
      <c r="UNZ74" s="97"/>
      <c r="UOA74" s="97"/>
      <c r="UOB74" s="97"/>
      <c r="UOC74" s="97"/>
      <c r="UOD74" s="97"/>
      <c r="UOE74" s="97"/>
      <c r="UOF74" s="97"/>
      <c r="UOG74" s="97"/>
      <c r="UOH74" s="97"/>
      <c r="UOI74" s="97"/>
      <c r="UOJ74" s="97"/>
      <c r="UOK74" s="97"/>
      <c r="UOL74" s="97"/>
      <c r="UOM74" s="97"/>
      <c r="UON74" s="97"/>
      <c r="UOO74" s="97"/>
      <c r="UOP74" s="97"/>
      <c r="UOQ74" s="97"/>
      <c r="UOR74" s="97"/>
      <c r="UOS74" s="97"/>
      <c r="UOT74" s="97"/>
      <c r="UOU74" s="97"/>
      <c r="UOV74" s="97"/>
      <c r="UOW74" s="97"/>
      <c r="UOX74" s="97"/>
      <c r="UOY74" s="97"/>
      <c r="UOZ74" s="97"/>
      <c r="UPA74" s="97"/>
      <c r="UPB74" s="97"/>
      <c r="UPC74" s="97"/>
      <c r="UPD74" s="97"/>
      <c r="UPE74" s="97"/>
      <c r="UPF74" s="97"/>
      <c r="UPG74" s="97"/>
      <c r="UPH74" s="97"/>
      <c r="UPI74" s="97"/>
      <c r="UPJ74" s="97"/>
      <c r="UPK74" s="97"/>
      <c r="UPL74" s="97"/>
      <c r="UPM74" s="97"/>
      <c r="UPN74" s="97"/>
      <c r="UPO74" s="97"/>
      <c r="UPP74" s="97"/>
      <c r="UPQ74" s="97"/>
      <c r="UPR74" s="97"/>
      <c r="UPS74" s="97"/>
      <c r="UPT74" s="97"/>
      <c r="UPU74" s="97"/>
      <c r="UPV74" s="97"/>
      <c r="UPW74" s="97"/>
      <c r="UPX74" s="97"/>
      <c r="UPY74" s="97"/>
      <c r="UPZ74" s="97"/>
      <c r="UQA74" s="97"/>
      <c r="UQB74" s="97"/>
      <c r="UQC74" s="97"/>
      <c r="UQD74" s="97"/>
      <c r="UQE74" s="97"/>
      <c r="UQF74" s="97"/>
      <c r="UQG74" s="97"/>
      <c r="UQH74" s="97"/>
      <c r="UQI74" s="97"/>
      <c r="UQJ74" s="97"/>
      <c r="UQK74" s="97"/>
      <c r="UQL74" s="97"/>
      <c r="UQM74" s="97"/>
      <c r="UQN74" s="97"/>
      <c r="UQO74" s="97"/>
      <c r="UQP74" s="97"/>
      <c r="UQQ74" s="97"/>
      <c r="UQR74" s="97"/>
      <c r="UQS74" s="97"/>
      <c r="UQT74" s="97"/>
      <c r="UQU74" s="97"/>
      <c r="UQV74" s="97"/>
      <c r="UQW74" s="97"/>
      <c r="UQX74" s="97"/>
      <c r="UQY74" s="97"/>
      <c r="UQZ74" s="97"/>
      <c r="URA74" s="97"/>
      <c r="URB74" s="97"/>
      <c r="URC74" s="97"/>
      <c r="URD74" s="97"/>
      <c r="URE74" s="97"/>
      <c r="URF74" s="97"/>
      <c r="URG74" s="97"/>
      <c r="URH74" s="97"/>
      <c r="URI74" s="97"/>
      <c r="URJ74" s="97"/>
      <c r="URK74" s="97"/>
      <c r="URL74" s="97"/>
      <c r="URM74" s="97"/>
      <c r="URN74" s="97"/>
      <c r="URO74" s="97"/>
      <c r="URP74" s="97"/>
      <c r="URQ74" s="97"/>
      <c r="URR74" s="97"/>
      <c r="URS74" s="97"/>
      <c r="URT74" s="97"/>
      <c r="URU74" s="97"/>
      <c r="URV74" s="97"/>
      <c r="URW74" s="97"/>
      <c r="URX74" s="97"/>
      <c r="URY74" s="97"/>
      <c r="URZ74" s="97"/>
      <c r="USA74" s="97"/>
      <c r="USB74" s="97"/>
      <c r="USC74" s="97"/>
      <c r="USD74" s="97"/>
      <c r="USE74" s="97"/>
      <c r="USF74" s="97"/>
      <c r="USG74" s="97"/>
      <c r="USH74" s="97"/>
      <c r="USI74" s="97"/>
      <c r="USJ74" s="97"/>
      <c r="USK74" s="97"/>
      <c r="USL74" s="97"/>
      <c r="USM74" s="97"/>
      <c r="USN74" s="97"/>
      <c r="USO74" s="97"/>
      <c r="USP74" s="97"/>
      <c r="USQ74" s="97"/>
      <c r="USR74" s="97"/>
      <c r="USS74" s="97"/>
      <c r="UST74" s="97"/>
      <c r="USU74" s="97"/>
      <c r="USV74" s="97"/>
      <c r="USW74" s="97"/>
      <c r="USX74" s="97"/>
      <c r="USY74" s="97"/>
      <c r="USZ74" s="97"/>
      <c r="UTA74" s="97"/>
      <c r="UTB74" s="97"/>
      <c r="UTC74" s="97"/>
      <c r="UTD74" s="97"/>
      <c r="UTE74" s="97"/>
      <c r="UTF74" s="97"/>
      <c r="UTG74" s="97"/>
      <c r="UTH74" s="97"/>
      <c r="UTI74" s="97"/>
      <c r="UTJ74" s="97"/>
      <c r="UTK74" s="97"/>
      <c r="UTL74" s="97"/>
      <c r="UTM74" s="97"/>
      <c r="UTN74" s="97"/>
      <c r="UTO74" s="97"/>
      <c r="UTP74" s="97"/>
      <c r="UTQ74" s="97"/>
      <c r="UTR74" s="97"/>
      <c r="UTS74" s="97"/>
      <c r="UTT74" s="97"/>
      <c r="UTU74" s="97"/>
      <c r="UTV74" s="97"/>
      <c r="UTW74" s="97"/>
      <c r="UTX74" s="97"/>
      <c r="UTY74" s="97"/>
      <c r="UTZ74" s="97"/>
      <c r="UUA74" s="97"/>
      <c r="UUB74" s="97"/>
      <c r="UUC74" s="97"/>
      <c r="UUD74" s="97"/>
      <c r="UUE74" s="97"/>
      <c r="UUF74" s="97"/>
      <c r="UUG74" s="97"/>
      <c r="UUH74" s="97"/>
      <c r="UUI74" s="97"/>
      <c r="UUJ74" s="97"/>
      <c r="UUK74" s="97"/>
      <c r="UUL74" s="97"/>
      <c r="UUM74" s="97"/>
      <c r="UUN74" s="97"/>
      <c r="UUO74" s="97"/>
      <c r="UUP74" s="97"/>
      <c r="UUQ74" s="97"/>
      <c r="UUR74" s="97"/>
      <c r="UUS74" s="97"/>
      <c r="UUT74" s="97"/>
      <c r="UUU74" s="97"/>
      <c r="UUV74" s="97"/>
      <c r="UUW74" s="97"/>
      <c r="UUX74" s="97"/>
      <c r="UUY74" s="97"/>
      <c r="UUZ74" s="97"/>
      <c r="UVA74" s="97"/>
      <c r="UVB74" s="97"/>
      <c r="UVC74" s="97"/>
      <c r="UVD74" s="97"/>
      <c r="UVE74" s="97"/>
      <c r="UVF74" s="97"/>
      <c r="UVG74" s="97"/>
      <c r="UVH74" s="97"/>
      <c r="UVI74" s="97"/>
      <c r="UVJ74" s="97"/>
      <c r="UVK74" s="97"/>
      <c r="UVL74" s="97"/>
      <c r="UVM74" s="97"/>
      <c r="UVN74" s="97"/>
      <c r="UVO74" s="97"/>
      <c r="UVP74" s="97"/>
      <c r="UVQ74" s="97"/>
      <c r="UVR74" s="97"/>
      <c r="UVS74" s="97"/>
      <c r="UVT74" s="97"/>
      <c r="UVU74" s="97"/>
      <c r="UVV74" s="97"/>
      <c r="UVW74" s="97"/>
      <c r="UVX74" s="97"/>
      <c r="UVY74" s="97"/>
      <c r="UVZ74" s="97"/>
      <c r="UWA74" s="97"/>
      <c r="UWB74" s="97"/>
      <c r="UWC74" s="97"/>
      <c r="UWD74" s="97"/>
      <c r="UWE74" s="97"/>
      <c r="UWF74" s="97"/>
      <c r="UWG74" s="97"/>
      <c r="UWH74" s="97"/>
      <c r="UWI74" s="97"/>
      <c r="UWJ74" s="97"/>
      <c r="UWK74" s="97"/>
      <c r="UWL74" s="97"/>
      <c r="UWM74" s="97"/>
      <c r="UWN74" s="97"/>
      <c r="UWO74" s="97"/>
      <c r="UWP74" s="97"/>
      <c r="UWQ74" s="97"/>
      <c r="UWR74" s="97"/>
      <c r="UWS74" s="97"/>
      <c r="UWT74" s="97"/>
      <c r="UWU74" s="97"/>
      <c r="UWV74" s="97"/>
      <c r="UWW74" s="97"/>
      <c r="UWX74" s="97"/>
      <c r="UWY74" s="97"/>
      <c r="UWZ74" s="97"/>
      <c r="UXA74" s="97"/>
      <c r="UXB74" s="97"/>
      <c r="UXC74" s="97"/>
      <c r="UXD74" s="97"/>
      <c r="UXE74" s="97"/>
      <c r="UXF74" s="97"/>
      <c r="UXG74" s="97"/>
      <c r="UXH74" s="97"/>
      <c r="UXI74" s="97"/>
      <c r="UXJ74" s="97"/>
      <c r="UXK74" s="97"/>
      <c r="UXL74" s="97"/>
      <c r="UXM74" s="97"/>
      <c r="UXN74" s="97"/>
      <c r="UXO74" s="97"/>
      <c r="UXP74" s="97"/>
      <c r="UXQ74" s="97"/>
      <c r="UXR74" s="97"/>
      <c r="UXS74" s="97"/>
      <c r="UXT74" s="97"/>
      <c r="UXU74" s="97"/>
      <c r="UXV74" s="97"/>
      <c r="UXW74" s="97"/>
      <c r="UXX74" s="97"/>
      <c r="UXY74" s="97"/>
      <c r="UXZ74" s="97"/>
      <c r="UYA74" s="97"/>
      <c r="UYB74" s="97"/>
      <c r="UYC74" s="97"/>
      <c r="UYD74" s="97"/>
      <c r="UYE74" s="97"/>
      <c r="UYF74" s="97"/>
      <c r="UYG74" s="97"/>
      <c r="UYH74" s="97"/>
      <c r="UYI74" s="97"/>
      <c r="UYJ74" s="97"/>
      <c r="UYK74" s="97"/>
      <c r="UYL74" s="97"/>
      <c r="UYM74" s="97"/>
      <c r="UYN74" s="97"/>
      <c r="UYO74" s="97"/>
      <c r="UYP74" s="97"/>
      <c r="UYQ74" s="97"/>
      <c r="UYR74" s="97"/>
      <c r="UYS74" s="97"/>
      <c r="UYT74" s="97"/>
      <c r="UYU74" s="97"/>
      <c r="UYV74" s="97"/>
      <c r="UYW74" s="97"/>
      <c r="UYX74" s="97"/>
      <c r="UYY74" s="97"/>
      <c r="UYZ74" s="97"/>
      <c r="UZA74" s="97"/>
      <c r="UZB74" s="97"/>
      <c r="UZC74" s="97"/>
      <c r="UZD74" s="97"/>
      <c r="UZE74" s="97"/>
      <c r="UZF74" s="97"/>
      <c r="UZG74" s="97"/>
      <c r="UZH74" s="97"/>
      <c r="UZI74" s="97"/>
      <c r="UZJ74" s="97"/>
      <c r="UZK74" s="97"/>
      <c r="UZL74" s="97"/>
      <c r="UZM74" s="97"/>
      <c r="UZN74" s="97"/>
      <c r="UZO74" s="97"/>
      <c r="UZP74" s="97"/>
      <c r="UZQ74" s="97"/>
      <c r="UZR74" s="97"/>
      <c r="UZS74" s="97"/>
      <c r="UZT74" s="97"/>
      <c r="UZU74" s="97"/>
      <c r="UZV74" s="97"/>
      <c r="UZW74" s="97"/>
      <c r="UZX74" s="97"/>
      <c r="UZY74" s="97"/>
      <c r="UZZ74" s="97"/>
      <c r="VAA74" s="97"/>
      <c r="VAB74" s="97"/>
      <c r="VAC74" s="97"/>
      <c r="VAD74" s="97"/>
      <c r="VAE74" s="97"/>
      <c r="VAF74" s="97"/>
      <c r="VAG74" s="97"/>
      <c r="VAH74" s="97"/>
      <c r="VAI74" s="97"/>
      <c r="VAJ74" s="97"/>
      <c r="VAK74" s="97"/>
      <c r="VAL74" s="97"/>
      <c r="VAM74" s="97"/>
      <c r="VAN74" s="97"/>
      <c r="VAO74" s="97"/>
      <c r="VAP74" s="97"/>
      <c r="VAQ74" s="97"/>
      <c r="VAR74" s="97"/>
      <c r="VAS74" s="97"/>
      <c r="VAT74" s="97"/>
      <c r="VAU74" s="97"/>
      <c r="VAV74" s="97"/>
      <c r="VAW74" s="97"/>
      <c r="VAX74" s="97"/>
      <c r="VAY74" s="97"/>
      <c r="VAZ74" s="97"/>
      <c r="VBA74" s="97"/>
      <c r="VBB74" s="97"/>
      <c r="VBC74" s="97"/>
      <c r="VBD74" s="97"/>
      <c r="VBE74" s="97"/>
      <c r="VBF74" s="97"/>
      <c r="VBG74" s="97"/>
      <c r="VBH74" s="97"/>
      <c r="VBI74" s="97"/>
      <c r="VBJ74" s="97"/>
      <c r="VBK74" s="97"/>
      <c r="VBL74" s="97"/>
      <c r="VBM74" s="97"/>
      <c r="VBN74" s="97"/>
      <c r="VBO74" s="97"/>
      <c r="VBP74" s="97"/>
      <c r="VBQ74" s="97"/>
      <c r="VBR74" s="97"/>
      <c r="VBS74" s="97"/>
      <c r="VBT74" s="97"/>
      <c r="VBU74" s="97"/>
      <c r="VBV74" s="97"/>
      <c r="VBW74" s="97"/>
      <c r="VBX74" s="97"/>
      <c r="VBY74" s="97"/>
      <c r="VBZ74" s="97"/>
      <c r="VCA74" s="97"/>
      <c r="VCB74" s="97"/>
      <c r="VCC74" s="97"/>
      <c r="VCD74" s="97"/>
      <c r="VCE74" s="97"/>
      <c r="VCF74" s="97"/>
      <c r="VCG74" s="97"/>
      <c r="VCH74" s="97"/>
      <c r="VCI74" s="97"/>
      <c r="VCJ74" s="97"/>
      <c r="VCK74" s="97"/>
      <c r="VCL74" s="97"/>
      <c r="VCM74" s="97"/>
      <c r="VCN74" s="97"/>
      <c r="VCO74" s="97"/>
      <c r="VCP74" s="97"/>
      <c r="VCQ74" s="97"/>
      <c r="VCR74" s="97"/>
      <c r="VCS74" s="97"/>
      <c r="VCT74" s="97"/>
      <c r="VCU74" s="97"/>
      <c r="VCV74" s="97"/>
      <c r="VCW74" s="97"/>
      <c r="VCX74" s="97"/>
      <c r="VCY74" s="97"/>
      <c r="VCZ74" s="97"/>
      <c r="VDA74" s="97"/>
      <c r="VDB74" s="97"/>
      <c r="VDC74" s="97"/>
      <c r="VDD74" s="97"/>
      <c r="VDE74" s="97"/>
      <c r="VDF74" s="97"/>
      <c r="VDG74" s="97"/>
      <c r="VDH74" s="97"/>
      <c r="VDI74" s="97"/>
      <c r="VDJ74" s="97"/>
      <c r="VDK74" s="97"/>
      <c r="VDL74" s="97"/>
      <c r="VDM74" s="97"/>
      <c r="VDN74" s="97"/>
      <c r="VDO74" s="97"/>
      <c r="VDP74" s="97"/>
      <c r="VDQ74" s="97"/>
      <c r="VDR74" s="97"/>
      <c r="VDS74" s="97"/>
      <c r="VDT74" s="97"/>
      <c r="VDU74" s="97"/>
      <c r="VDV74" s="97"/>
      <c r="VDW74" s="97"/>
      <c r="VDX74" s="97"/>
      <c r="VDY74" s="97"/>
      <c r="VDZ74" s="97"/>
      <c r="VEA74" s="97"/>
      <c r="VEB74" s="97"/>
      <c r="VEC74" s="97"/>
      <c r="VED74" s="97"/>
      <c r="VEE74" s="97"/>
      <c r="VEF74" s="97"/>
      <c r="VEG74" s="97"/>
      <c r="VEH74" s="97"/>
      <c r="VEI74" s="97"/>
      <c r="VEJ74" s="97"/>
      <c r="VEK74" s="97"/>
      <c r="VEL74" s="97"/>
      <c r="VEM74" s="97"/>
      <c r="VEN74" s="97"/>
      <c r="VEO74" s="97"/>
      <c r="VEP74" s="97"/>
      <c r="VEQ74" s="97"/>
      <c r="VER74" s="97"/>
      <c r="VES74" s="97"/>
      <c r="VET74" s="97"/>
      <c r="VEU74" s="97"/>
      <c r="VEV74" s="97"/>
      <c r="VEW74" s="97"/>
      <c r="VEX74" s="97"/>
      <c r="VEY74" s="97"/>
      <c r="VEZ74" s="97"/>
      <c r="VFA74" s="97"/>
      <c r="VFB74" s="97"/>
      <c r="VFC74" s="97"/>
      <c r="VFD74" s="97"/>
      <c r="VFE74" s="97"/>
      <c r="VFF74" s="97"/>
      <c r="VFG74" s="97"/>
      <c r="VFH74" s="97"/>
      <c r="VFI74" s="97"/>
      <c r="VFJ74" s="97"/>
      <c r="VFK74" s="97"/>
      <c r="VFL74" s="97"/>
      <c r="VFM74" s="97"/>
      <c r="VFN74" s="97"/>
      <c r="VFO74" s="97"/>
      <c r="VFP74" s="97"/>
      <c r="VFQ74" s="97"/>
      <c r="VFR74" s="97"/>
      <c r="VFS74" s="97"/>
      <c r="VFT74" s="97"/>
      <c r="VFU74" s="97"/>
      <c r="VFV74" s="97"/>
      <c r="VFW74" s="97"/>
      <c r="VFX74" s="97"/>
      <c r="VFY74" s="97"/>
      <c r="VFZ74" s="97"/>
      <c r="VGA74" s="97"/>
      <c r="VGB74" s="97"/>
      <c r="VGC74" s="97"/>
      <c r="VGD74" s="97"/>
      <c r="VGE74" s="97"/>
      <c r="VGF74" s="97"/>
      <c r="VGG74" s="97"/>
      <c r="VGH74" s="97"/>
      <c r="VGI74" s="97"/>
      <c r="VGJ74" s="97"/>
      <c r="VGK74" s="97"/>
      <c r="VGL74" s="97"/>
      <c r="VGM74" s="97"/>
      <c r="VGN74" s="97"/>
      <c r="VGO74" s="97"/>
      <c r="VGP74" s="97"/>
      <c r="VGQ74" s="97"/>
      <c r="VGR74" s="97"/>
      <c r="VGS74" s="97"/>
      <c r="VGT74" s="97"/>
      <c r="VGU74" s="97"/>
      <c r="VGV74" s="97"/>
      <c r="VGW74" s="97"/>
      <c r="VGX74" s="97"/>
      <c r="VGY74" s="97"/>
      <c r="VGZ74" s="97"/>
      <c r="VHA74" s="97"/>
      <c r="VHB74" s="97"/>
      <c r="VHC74" s="97"/>
      <c r="VHD74" s="97"/>
      <c r="VHE74" s="97"/>
      <c r="VHF74" s="97"/>
      <c r="VHG74" s="97"/>
      <c r="VHH74" s="97"/>
      <c r="VHI74" s="97"/>
      <c r="VHJ74" s="97"/>
      <c r="VHK74" s="97"/>
      <c r="VHL74" s="97"/>
      <c r="VHM74" s="97"/>
      <c r="VHN74" s="97"/>
      <c r="VHO74" s="97"/>
      <c r="VHP74" s="97"/>
      <c r="VHQ74" s="97"/>
      <c r="VHR74" s="97"/>
      <c r="VHS74" s="97"/>
      <c r="VHT74" s="97"/>
      <c r="VHU74" s="97"/>
      <c r="VHV74" s="97"/>
      <c r="VHW74" s="97"/>
      <c r="VHX74" s="97"/>
      <c r="VHY74" s="97"/>
      <c r="VHZ74" s="97"/>
      <c r="VIA74" s="97"/>
      <c r="VIB74" s="97"/>
      <c r="VIC74" s="97"/>
      <c r="VID74" s="97"/>
      <c r="VIE74" s="97"/>
      <c r="VIF74" s="97"/>
      <c r="VIG74" s="97"/>
      <c r="VIH74" s="97"/>
      <c r="VII74" s="97"/>
      <c r="VIJ74" s="97"/>
      <c r="VIK74" s="97"/>
      <c r="VIL74" s="97"/>
      <c r="VIM74" s="97"/>
      <c r="VIN74" s="97"/>
      <c r="VIO74" s="97"/>
      <c r="VIP74" s="97"/>
      <c r="VIQ74" s="97"/>
      <c r="VIR74" s="97"/>
      <c r="VIS74" s="97"/>
      <c r="VIT74" s="97"/>
      <c r="VIU74" s="97"/>
      <c r="VIV74" s="97"/>
      <c r="VIW74" s="97"/>
      <c r="VIX74" s="97"/>
      <c r="VIY74" s="97"/>
      <c r="VIZ74" s="97"/>
      <c r="VJA74" s="97"/>
      <c r="VJB74" s="97"/>
      <c r="VJC74" s="97"/>
      <c r="VJD74" s="97"/>
      <c r="VJE74" s="97"/>
      <c r="VJF74" s="97"/>
      <c r="VJG74" s="97"/>
      <c r="VJH74" s="97"/>
      <c r="VJI74" s="97"/>
      <c r="VJJ74" s="97"/>
      <c r="VJK74" s="97"/>
      <c r="VJL74" s="97"/>
      <c r="VJM74" s="97"/>
      <c r="VJN74" s="97"/>
      <c r="VJO74" s="97"/>
      <c r="VJP74" s="97"/>
      <c r="VJQ74" s="97"/>
      <c r="VJR74" s="97"/>
      <c r="VJS74" s="97"/>
      <c r="VJT74" s="97"/>
      <c r="VJU74" s="97"/>
      <c r="VJV74" s="97"/>
      <c r="VJW74" s="97"/>
      <c r="VJX74" s="97"/>
      <c r="VJY74" s="97"/>
      <c r="VJZ74" s="97"/>
      <c r="VKA74" s="97"/>
      <c r="VKB74" s="97"/>
      <c r="VKC74" s="97"/>
      <c r="VKD74" s="97"/>
      <c r="VKE74" s="97"/>
      <c r="VKF74" s="97"/>
      <c r="VKG74" s="97"/>
      <c r="VKH74" s="97"/>
      <c r="VKI74" s="97"/>
      <c r="VKJ74" s="97"/>
      <c r="VKK74" s="97"/>
      <c r="VKL74" s="97"/>
      <c r="VKM74" s="97"/>
      <c r="VKN74" s="97"/>
      <c r="VKO74" s="97"/>
      <c r="VKP74" s="97"/>
      <c r="VKQ74" s="97"/>
      <c r="VKR74" s="97"/>
      <c r="VKS74" s="97"/>
      <c r="VKT74" s="97"/>
      <c r="VKU74" s="97"/>
      <c r="VKV74" s="97"/>
      <c r="VKW74" s="97"/>
      <c r="VKX74" s="97"/>
      <c r="VKY74" s="97"/>
      <c r="VKZ74" s="97"/>
      <c r="VLA74" s="97"/>
      <c r="VLB74" s="97"/>
      <c r="VLC74" s="97"/>
      <c r="VLD74" s="97"/>
      <c r="VLE74" s="97"/>
      <c r="VLF74" s="97"/>
      <c r="VLG74" s="97"/>
      <c r="VLH74" s="97"/>
      <c r="VLI74" s="97"/>
      <c r="VLJ74" s="97"/>
      <c r="VLK74" s="97"/>
      <c r="VLL74" s="97"/>
      <c r="VLM74" s="97"/>
      <c r="VLN74" s="97"/>
      <c r="VLO74" s="97"/>
      <c r="VLP74" s="97"/>
      <c r="VLQ74" s="97"/>
      <c r="VLR74" s="97"/>
      <c r="VLS74" s="97"/>
      <c r="VLT74" s="97"/>
      <c r="VLU74" s="97"/>
      <c r="VLV74" s="97"/>
      <c r="VLW74" s="97"/>
      <c r="VLX74" s="97"/>
      <c r="VLY74" s="97"/>
      <c r="VLZ74" s="97"/>
      <c r="VMA74" s="97"/>
      <c r="VMB74" s="97"/>
      <c r="VMC74" s="97"/>
      <c r="VMD74" s="97"/>
      <c r="VME74" s="97"/>
      <c r="VMF74" s="97"/>
      <c r="VMG74" s="97"/>
      <c r="VMH74" s="97"/>
      <c r="VMI74" s="97"/>
      <c r="VMJ74" s="97"/>
      <c r="VMK74" s="97"/>
      <c r="VML74" s="97"/>
      <c r="VMM74" s="97"/>
      <c r="VMN74" s="97"/>
      <c r="VMO74" s="97"/>
      <c r="VMP74" s="97"/>
      <c r="VMQ74" s="97"/>
      <c r="VMR74" s="97"/>
      <c r="VMS74" s="97"/>
      <c r="VMT74" s="97"/>
      <c r="VMU74" s="97"/>
      <c r="VMV74" s="97"/>
      <c r="VMW74" s="97"/>
      <c r="VMX74" s="97"/>
      <c r="VMY74" s="97"/>
      <c r="VMZ74" s="97"/>
      <c r="VNA74" s="97"/>
      <c r="VNB74" s="97"/>
      <c r="VNC74" s="97"/>
      <c r="VND74" s="97"/>
      <c r="VNE74" s="97"/>
      <c r="VNF74" s="97"/>
      <c r="VNG74" s="97"/>
      <c r="VNH74" s="97"/>
      <c r="VNI74" s="97"/>
      <c r="VNJ74" s="97"/>
      <c r="VNK74" s="97"/>
      <c r="VNL74" s="97"/>
      <c r="VNM74" s="97"/>
      <c r="VNN74" s="97"/>
      <c r="VNO74" s="97"/>
      <c r="VNP74" s="97"/>
      <c r="VNQ74" s="97"/>
      <c r="VNR74" s="97"/>
      <c r="VNS74" s="97"/>
      <c r="VNT74" s="97"/>
      <c r="VNU74" s="97"/>
      <c r="VNV74" s="97"/>
      <c r="VNW74" s="97"/>
      <c r="VNX74" s="97"/>
      <c r="VNY74" s="97"/>
      <c r="VNZ74" s="97"/>
      <c r="VOA74" s="97"/>
      <c r="VOB74" s="97"/>
      <c r="VOC74" s="97"/>
      <c r="VOD74" s="97"/>
      <c r="VOE74" s="97"/>
      <c r="VOF74" s="97"/>
      <c r="VOG74" s="97"/>
      <c r="VOH74" s="97"/>
      <c r="VOI74" s="97"/>
      <c r="VOJ74" s="97"/>
      <c r="VOK74" s="97"/>
      <c r="VOL74" s="97"/>
      <c r="VOM74" s="97"/>
      <c r="VON74" s="97"/>
      <c r="VOO74" s="97"/>
      <c r="VOP74" s="97"/>
      <c r="VOQ74" s="97"/>
      <c r="VOR74" s="97"/>
      <c r="VOS74" s="97"/>
      <c r="VOT74" s="97"/>
      <c r="VOU74" s="97"/>
      <c r="VOV74" s="97"/>
      <c r="VOW74" s="97"/>
      <c r="VOX74" s="97"/>
      <c r="VOY74" s="97"/>
      <c r="VOZ74" s="97"/>
      <c r="VPA74" s="97"/>
      <c r="VPB74" s="97"/>
      <c r="VPC74" s="97"/>
      <c r="VPD74" s="97"/>
      <c r="VPE74" s="97"/>
      <c r="VPF74" s="97"/>
      <c r="VPG74" s="97"/>
      <c r="VPH74" s="97"/>
      <c r="VPI74" s="97"/>
      <c r="VPJ74" s="97"/>
      <c r="VPK74" s="97"/>
      <c r="VPL74" s="97"/>
      <c r="VPM74" s="97"/>
      <c r="VPN74" s="97"/>
      <c r="VPO74" s="97"/>
      <c r="VPP74" s="97"/>
      <c r="VPQ74" s="97"/>
      <c r="VPR74" s="97"/>
      <c r="VPS74" s="97"/>
      <c r="VPT74" s="97"/>
      <c r="VPU74" s="97"/>
      <c r="VPV74" s="97"/>
      <c r="VPW74" s="97"/>
      <c r="VPX74" s="97"/>
      <c r="VPY74" s="97"/>
      <c r="VPZ74" s="97"/>
      <c r="VQA74" s="97"/>
      <c r="VQB74" s="97"/>
      <c r="VQC74" s="97"/>
      <c r="VQD74" s="97"/>
      <c r="VQE74" s="97"/>
      <c r="VQF74" s="97"/>
      <c r="VQG74" s="97"/>
      <c r="VQH74" s="97"/>
      <c r="VQI74" s="97"/>
      <c r="VQJ74" s="97"/>
      <c r="VQK74" s="97"/>
      <c r="VQL74" s="97"/>
      <c r="VQM74" s="97"/>
      <c r="VQN74" s="97"/>
      <c r="VQO74" s="97"/>
      <c r="VQP74" s="97"/>
      <c r="VQQ74" s="97"/>
      <c r="VQR74" s="97"/>
      <c r="VQS74" s="97"/>
      <c r="VQT74" s="97"/>
      <c r="VQU74" s="97"/>
      <c r="VQV74" s="97"/>
      <c r="VQW74" s="97"/>
      <c r="VQX74" s="97"/>
      <c r="VQY74" s="97"/>
      <c r="VQZ74" s="97"/>
      <c r="VRA74" s="97"/>
      <c r="VRB74" s="97"/>
      <c r="VRC74" s="97"/>
      <c r="VRD74" s="97"/>
      <c r="VRE74" s="97"/>
      <c r="VRF74" s="97"/>
      <c r="VRG74" s="97"/>
      <c r="VRH74" s="97"/>
      <c r="VRI74" s="97"/>
      <c r="VRJ74" s="97"/>
      <c r="VRK74" s="97"/>
      <c r="VRL74" s="97"/>
      <c r="VRM74" s="97"/>
      <c r="VRN74" s="97"/>
      <c r="VRO74" s="97"/>
      <c r="VRP74" s="97"/>
      <c r="VRQ74" s="97"/>
      <c r="VRR74" s="97"/>
      <c r="VRS74" s="97"/>
      <c r="VRT74" s="97"/>
      <c r="VRU74" s="97"/>
      <c r="VRV74" s="97"/>
      <c r="VRW74" s="97"/>
      <c r="VRX74" s="97"/>
      <c r="VRY74" s="97"/>
      <c r="VRZ74" s="97"/>
      <c r="VSA74" s="97"/>
      <c r="VSB74" s="97"/>
      <c r="VSC74" s="97"/>
      <c r="VSD74" s="97"/>
      <c r="VSE74" s="97"/>
      <c r="VSF74" s="97"/>
      <c r="VSG74" s="97"/>
      <c r="VSH74" s="97"/>
      <c r="VSI74" s="97"/>
      <c r="VSJ74" s="97"/>
      <c r="VSK74" s="97"/>
      <c r="VSL74" s="97"/>
      <c r="VSM74" s="97"/>
      <c r="VSN74" s="97"/>
      <c r="VSO74" s="97"/>
      <c r="VSP74" s="97"/>
      <c r="VSQ74" s="97"/>
      <c r="VSR74" s="97"/>
      <c r="VSS74" s="97"/>
      <c r="VST74" s="97"/>
      <c r="VSU74" s="97"/>
      <c r="VSV74" s="97"/>
      <c r="VSW74" s="97"/>
      <c r="VSX74" s="97"/>
      <c r="VSY74" s="97"/>
      <c r="VSZ74" s="97"/>
      <c r="VTA74" s="97"/>
      <c r="VTB74" s="97"/>
      <c r="VTC74" s="97"/>
      <c r="VTD74" s="97"/>
      <c r="VTE74" s="97"/>
      <c r="VTF74" s="97"/>
      <c r="VTG74" s="97"/>
      <c r="VTH74" s="97"/>
      <c r="VTI74" s="97"/>
      <c r="VTJ74" s="97"/>
      <c r="VTK74" s="97"/>
      <c r="VTL74" s="97"/>
      <c r="VTM74" s="97"/>
      <c r="VTN74" s="97"/>
      <c r="VTO74" s="97"/>
      <c r="VTP74" s="97"/>
      <c r="VTQ74" s="97"/>
      <c r="VTR74" s="97"/>
      <c r="VTS74" s="97"/>
      <c r="VTT74" s="97"/>
      <c r="VTU74" s="97"/>
      <c r="VTV74" s="97"/>
      <c r="VTW74" s="97"/>
      <c r="VTX74" s="97"/>
      <c r="VTY74" s="97"/>
      <c r="VTZ74" s="97"/>
      <c r="VUA74" s="97"/>
      <c r="VUB74" s="97"/>
      <c r="VUC74" s="97"/>
      <c r="VUD74" s="97"/>
      <c r="VUE74" s="97"/>
      <c r="VUF74" s="97"/>
      <c r="VUG74" s="97"/>
      <c r="VUH74" s="97"/>
      <c r="VUI74" s="97"/>
      <c r="VUJ74" s="97"/>
      <c r="VUK74" s="97"/>
      <c r="VUL74" s="97"/>
      <c r="VUM74" s="97"/>
      <c r="VUN74" s="97"/>
      <c r="VUO74" s="97"/>
      <c r="VUP74" s="97"/>
      <c r="VUQ74" s="97"/>
      <c r="VUR74" s="97"/>
      <c r="VUS74" s="97"/>
      <c r="VUT74" s="97"/>
      <c r="VUU74" s="97"/>
      <c r="VUV74" s="97"/>
      <c r="VUW74" s="97"/>
      <c r="VUX74" s="97"/>
      <c r="VUY74" s="97"/>
      <c r="VUZ74" s="97"/>
      <c r="VVA74" s="97"/>
      <c r="VVB74" s="97"/>
      <c r="VVC74" s="97"/>
      <c r="VVD74" s="97"/>
      <c r="VVE74" s="97"/>
      <c r="VVF74" s="97"/>
      <c r="VVG74" s="97"/>
      <c r="VVH74" s="97"/>
      <c r="VVI74" s="97"/>
      <c r="VVJ74" s="97"/>
      <c r="VVK74" s="97"/>
      <c r="VVL74" s="97"/>
      <c r="VVM74" s="97"/>
      <c r="VVN74" s="97"/>
      <c r="VVO74" s="97"/>
      <c r="VVP74" s="97"/>
      <c r="VVQ74" s="97"/>
      <c r="VVR74" s="97"/>
      <c r="VVS74" s="97"/>
      <c r="VVT74" s="97"/>
      <c r="VVU74" s="97"/>
      <c r="VVV74" s="97"/>
      <c r="VVW74" s="97"/>
      <c r="VVX74" s="97"/>
      <c r="VVY74" s="97"/>
      <c r="VVZ74" s="97"/>
      <c r="VWA74" s="97"/>
      <c r="VWB74" s="97"/>
      <c r="VWC74" s="97"/>
      <c r="VWD74" s="97"/>
      <c r="VWE74" s="97"/>
      <c r="VWF74" s="97"/>
      <c r="VWG74" s="97"/>
      <c r="VWH74" s="97"/>
      <c r="VWI74" s="97"/>
      <c r="VWJ74" s="97"/>
      <c r="VWK74" s="97"/>
      <c r="VWL74" s="97"/>
      <c r="VWM74" s="97"/>
      <c r="VWN74" s="97"/>
      <c r="VWO74" s="97"/>
      <c r="VWP74" s="97"/>
      <c r="VWQ74" s="97"/>
      <c r="VWR74" s="97"/>
      <c r="VWS74" s="97"/>
      <c r="VWT74" s="97"/>
      <c r="VWU74" s="97"/>
      <c r="VWV74" s="97"/>
      <c r="VWW74" s="97"/>
      <c r="VWX74" s="97"/>
      <c r="VWY74" s="97"/>
      <c r="VWZ74" s="97"/>
      <c r="VXA74" s="97"/>
      <c r="VXB74" s="97"/>
      <c r="VXC74" s="97"/>
      <c r="VXD74" s="97"/>
      <c r="VXE74" s="97"/>
      <c r="VXF74" s="97"/>
      <c r="VXG74" s="97"/>
      <c r="VXH74" s="97"/>
      <c r="VXI74" s="97"/>
      <c r="VXJ74" s="97"/>
      <c r="VXK74" s="97"/>
      <c r="VXL74" s="97"/>
      <c r="VXM74" s="97"/>
      <c r="VXN74" s="97"/>
      <c r="VXO74" s="97"/>
      <c r="VXP74" s="97"/>
      <c r="VXQ74" s="97"/>
      <c r="VXR74" s="97"/>
      <c r="VXS74" s="97"/>
      <c r="VXT74" s="97"/>
      <c r="VXU74" s="97"/>
      <c r="VXV74" s="97"/>
      <c r="VXW74" s="97"/>
      <c r="VXX74" s="97"/>
      <c r="VXY74" s="97"/>
      <c r="VXZ74" s="97"/>
      <c r="VYA74" s="97"/>
      <c r="VYB74" s="97"/>
      <c r="VYC74" s="97"/>
      <c r="VYD74" s="97"/>
      <c r="VYE74" s="97"/>
      <c r="VYF74" s="97"/>
      <c r="VYG74" s="97"/>
      <c r="VYH74" s="97"/>
      <c r="VYI74" s="97"/>
      <c r="VYJ74" s="97"/>
      <c r="VYK74" s="97"/>
      <c r="VYL74" s="97"/>
      <c r="VYM74" s="97"/>
      <c r="VYN74" s="97"/>
      <c r="VYO74" s="97"/>
      <c r="VYP74" s="97"/>
      <c r="VYQ74" s="97"/>
      <c r="VYR74" s="97"/>
      <c r="VYS74" s="97"/>
      <c r="VYT74" s="97"/>
      <c r="VYU74" s="97"/>
      <c r="VYV74" s="97"/>
      <c r="VYW74" s="97"/>
      <c r="VYX74" s="97"/>
      <c r="VYY74" s="97"/>
      <c r="VYZ74" s="97"/>
      <c r="VZA74" s="97"/>
      <c r="VZB74" s="97"/>
      <c r="VZC74" s="97"/>
      <c r="VZD74" s="97"/>
      <c r="VZE74" s="97"/>
      <c r="VZF74" s="97"/>
      <c r="VZG74" s="97"/>
      <c r="VZH74" s="97"/>
      <c r="VZI74" s="97"/>
      <c r="VZJ74" s="97"/>
      <c r="VZK74" s="97"/>
      <c r="VZL74" s="97"/>
      <c r="VZM74" s="97"/>
      <c r="VZN74" s="97"/>
      <c r="VZO74" s="97"/>
      <c r="VZP74" s="97"/>
      <c r="VZQ74" s="97"/>
      <c r="VZR74" s="97"/>
      <c r="VZS74" s="97"/>
      <c r="VZT74" s="97"/>
      <c r="VZU74" s="97"/>
      <c r="VZV74" s="97"/>
      <c r="VZW74" s="97"/>
      <c r="VZX74" s="97"/>
      <c r="VZY74" s="97"/>
      <c r="VZZ74" s="97"/>
      <c r="WAA74" s="97"/>
      <c r="WAB74" s="97"/>
      <c r="WAC74" s="97"/>
      <c r="WAD74" s="97"/>
      <c r="WAE74" s="97"/>
      <c r="WAF74" s="97"/>
      <c r="WAG74" s="97"/>
      <c r="WAH74" s="97"/>
      <c r="WAI74" s="97"/>
      <c r="WAJ74" s="97"/>
      <c r="WAK74" s="97"/>
      <c r="WAL74" s="97"/>
      <c r="WAM74" s="97"/>
      <c r="WAN74" s="97"/>
      <c r="WAO74" s="97"/>
      <c r="WAP74" s="97"/>
      <c r="WAQ74" s="97"/>
      <c r="WAR74" s="97"/>
      <c r="WAS74" s="97"/>
      <c r="WAT74" s="97"/>
      <c r="WAU74" s="97"/>
      <c r="WAV74" s="97"/>
      <c r="WAW74" s="97"/>
      <c r="WAX74" s="97"/>
      <c r="WAY74" s="97"/>
      <c r="WAZ74" s="97"/>
      <c r="WBA74" s="97"/>
      <c r="WBB74" s="97"/>
      <c r="WBC74" s="97"/>
      <c r="WBD74" s="97"/>
      <c r="WBE74" s="97"/>
      <c r="WBF74" s="97"/>
      <c r="WBG74" s="97"/>
      <c r="WBH74" s="97"/>
      <c r="WBI74" s="97"/>
      <c r="WBJ74" s="97"/>
      <c r="WBK74" s="97"/>
      <c r="WBL74" s="97"/>
      <c r="WBM74" s="97"/>
      <c r="WBN74" s="97"/>
      <c r="WBO74" s="97"/>
      <c r="WBP74" s="97"/>
      <c r="WBQ74" s="97"/>
      <c r="WBR74" s="97"/>
      <c r="WBS74" s="97"/>
      <c r="WBT74" s="97"/>
      <c r="WBU74" s="97"/>
      <c r="WBV74" s="97"/>
      <c r="WBW74" s="97"/>
      <c r="WBX74" s="97"/>
      <c r="WBY74" s="97"/>
      <c r="WBZ74" s="97"/>
      <c r="WCA74" s="97"/>
      <c r="WCB74" s="97"/>
      <c r="WCC74" s="97"/>
      <c r="WCD74" s="97"/>
      <c r="WCE74" s="97"/>
      <c r="WCF74" s="97"/>
      <c r="WCG74" s="97"/>
      <c r="WCH74" s="97"/>
      <c r="WCI74" s="97"/>
      <c r="WCJ74" s="97"/>
      <c r="WCK74" s="97"/>
      <c r="WCL74" s="97"/>
      <c r="WCM74" s="97"/>
      <c r="WCN74" s="97"/>
      <c r="WCO74" s="97"/>
      <c r="WCP74" s="97"/>
      <c r="WCQ74" s="97"/>
      <c r="WCR74" s="97"/>
      <c r="WCS74" s="97"/>
      <c r="WCT74" s="97"/>
      <c r="WCU74" s="97"/>
      <c r="WCV74" s="97"/>
      <c r="WCW74" s="97"/>
      <c r="WCX74" s="97"/>
      <c r="WCY74" s="97"/>
      <c r="WCZ74" s="97"/>
      <c r="WDA74" s="97"/>
      <c r="WDB74" s="97"/>
      <c r="WDC74" s="97"/>
      <c r="WDD74" s="97"/>
      <c r="WDE74" s="97"/>
      <c r="WDF74" s="97"/>
      <c r="WDG74" s="97"/>
      <c r="WDH74" s="97"/>
      <c r="WDI74" s="97"/>
      <c r="WDJ74" s="97"/>
      <c r="WDK74" s="97"/>
      <c r="WDL74" s="97"/>
      <c r="WDM74" s="97"/>
      <c r="WDN74" s="97"/>
      <c r="WDO74" s="97"/>
      <c r="WDP74" s="97"/>
      <c r="WDQ74" s="97"/>
      <c r="WDR74" s="97"/>
      <c r="WDS74" s="97"/>
      <c r="WDT74" s="97"/>
      <c r="WDU74" s="97"/>
      <c r="WDV74" s="97"/>
      <c r="WDW74" s="97"/>
      <c r="WDX74" s="97"/>
      <c r="WDY74" s="97"/>
      <c r="WDZ74" s="97"/>
      <c r="WEA74" s="97"/>
      <c r="WEB74" s="97"/>
      <c r="WEC74" s="97"/>
      <c r="WED74" s="97"/>
      <c r="WEE74" s="97"/>
      <c r="WEF74" s="97"/>
      <c r="WEG74" s="97"/>
      <c r="WEH74" s="97"/>
      <c r="WEI74" s="97"/>
      <c r="WEJ74" s="97"/>
      <c r="WEK74" s="97"/>
      <c r="WEL74" s="97"/>
      <c r="WEM74" s="97"/>
      <c r="WEN74" s="97"/>
      <c r="WEO74" s="97"/>
      <c r="WEP74" s="97"/>
      <c r="WEQ74" s="97"/>
      <c r="WER74" s="97"/>
      <c r="WES74" s="97"/>
      <c r="WET74" s="97"/>
      <c r="WEU74" s="97"/>
      <c r="WEV74" s="97"/>
      <c r="WEW74" s="97"/>
      <c r="WEX74" s="97"/>
      <c r="WEY74" s="97"/>
      <c r="WEZ74" s="97"/>
      <c r="WFA74" s="97"/>
      <c r="WFB74" s="97"/>
      <c r="WFC74" s="97"/>
      <c r="WFD74" s="97"/>
      <c r="WFE74" s="97"/>
      <c r="WFF74" s="97"/>
      <c r="WFG74" s="97"/>
      <c r="WFH74" s="97"/>
      <c r="WFI74" s="97"/>
      <c r="WFJ74" s="97"/>
      <c r="WFK74" s="97"/>
      <c r="WFL74" s="97"/>
      <c r="WFM74" s="97"/>
      <c r="WFN74" s="97"/>
      <c r="WFO74" s="97"/>
      <c r="WFP74" s="97"/>
      <c r="WFQ74" s="97"/>
      <c r="WFR74" s="97"/>
      <c r="WFS74" s="97"/>
      <c r="WFT74" s="97"/>
      <c r="WFU74" s="97"/>
      <c r="WFV74" s="97"/>
      <c r="WFW74" s="97"/>
      <c r="WFX74" s="97"/>
      <c r="WFY74" s="97"/>
      <c r="WFZ74" s="97"/>
      <c r="WGA74" s="97"/>
      <c r="WGB74" s="97"/>
      <c r="WGC74" s="97"/>
      <c r="WGD74" s="97"/>
      <c r="WGE74" s="97"/>
      <c r="WGF74" s="97"/>
      <c r="WGG74" s="97"/>
      <c r="WGH74" s="97"/>
      <c r="WGI74" s="97"/>
      <c r="WGJ74" s="97"/>
      <c r="WGK74" s="97"/>
      <c r="WGL74" s="97"/>
      <c r="WGM74" s="97"/>
      <c r="WGN74" s="97"/>
      <c r="WGO74" s="97"/>
      <c r="WGP74" s="97"/>
      <c r="WGQ74" s="97"/>
      <c r="WGR74" s="97"/>
      <c r="WGS74" s="97"/>
      <c r="WGT74" s="97"/>
      <c r="WGU74" s="97"/>
      <c r="WGV74" s="97"/>
      <c r="WGW74" s="97"/>
      <c r="WGX74" s="97"/>
      <c r="WGY74" s="97"/>
      <c r="WGZ74" s="97"/>
      <c r="WHA74" s="97"/>
      <c r="WHB74" s="97"/>
      <c r="WHC74" s="97"/>
      <c r="WHD74" s="97"/>
      <c r="WHE74" s="97"/>
      <c r="WHF74" s="97"/>
      <c r="WHG74" s="97"/>
      <c r="WHH74" s="97"/>
      <c r="WHI74" s="97"/>
      <c r="WHJ74" s="97"/>
      <c r="WHK74" s="97"/>
      <c r="WHL74" s="97"/>
      <c r="WHM74" s="97"/>
      <c r="WHN74" s="97"/>
      <c r="WHO74" s="97"/>
      <c r="WHP74" s="97"/>
      <c r="WHQ74" s="97"/>
      <c r="WHR74" s="97"/>
      <c r="WHS74" s="97"/>
      <c r="WHT74" s="97"/>
      <c r="WHU74" s="97"/>
      <c r="WHV74" s="97"/>
      <c r="WHW74" s="97"/>
      <c r="WHX74" s="97"/>
      <c r="WHY74" s="97"/>
      <c r="WHZ74" s="97"/>
      <c r="WIA74" s="97"/>
      <c r="WIB74" s="97"/>
      <c r="WIC74" s="97"/>
      <c r="WID74" s="97"/>
      <c r="WIE74" s="97"/>
      <c r="WIF74" s="97"/>
      <c r="WIG74" s="97"/>
      <c r="WIH74" s="97"/>
      <c r="WII74" s="97"/>
      <c r="WIJ74" s="97"/>
      <c r="WIK74" s="97"/>
      <c r="WIL74" s="97"/>
      <c r="WIM74" s="97"/>
      <c r="WIN74" s="97"/>
      <c r="WIO74" s="97"/>
      <c r="WIP74" s="97"/>
      <c r="WIQ74" s="97"/>
      <c r="WIR74" s="97"/>
      <c r="WIS74" s="97"/>
      <c r="WIT74" s="97"/>
      <c r="WIU74" s="97"/>
      <c r="WIV74" s="97"/>
      <c r="WIW74" s="97"/>
      <c r="WIX74" s="97"/>
      <c r="WIY74" s="97"/>
      <c r="WIZ74" s="97"/>
      <c r="WJA74" s="97"/>
      <c r="WJB74" s="97"/>
      <c r="WJC74" s="97"/>
      <c r="WJD74" s="97"/>
      <c r="WJE74" s="97"/>
      <c r="WJF74" s="97"/>
      <c r="WJG74" s="97"/>
      <c r="WJH74" s="97"/>
      <c r="WJI74" s="97"/>
      <c r="WJJ74" s="97"/>
      <c r="WJK74" s="97"/>
      <c r="WJL74" s="97"/>
      <c r="WJM74" s="97"/>
      <c r="WJN74" s="97"/>
      <c r="WJO74" s="97"/>
      <c r="WJP74" s="97"/>
      <c r="WJQ74" s="97"/>
      <c r="WJR74" s="97"/>
      <c r="WJS74" s="97"/>
      <c r="WJT74" s="97"/>
      <c r="WJU74" s="97"/>
      <c r="WJV74" s="97"/>
      <c r="WJW74" s="97"/>
      <c r="WJX74" s="97"/>
      <c r="WJY74" s="97"/>
      <c r="WJZ74" s="97"/>
      <c r="WKA74" s="97"/>
      <c r="WKB74" s="97"/>
      <c r="WKC74" s="97"/>
      <c r="WKD74" s="97"/>
      <c r="WKE74" s="97"/>
      <c r="WKF74" s="97"/>
      <c r="WKG74" s="97"/>
      <c r="WKH74" s="97"/>
      <c r="WKI74" s="97"/>
      <c r="WKJ74" s="97"/>
      <c r="WKK74" s="97"/>
      <c r="WKL74" s="97"/>
      <c r="WKM74" s="97"/>
      <c r="WKN74" s="97"/>
      <c r="WKO74" s="97"/>
      <c r="WKP74" s="97"/>
      <c r="WKQ74" s="97"/>
      <c r="WKR74" s="97"/>
      <c r="WKS74" s="97"/>
      <c r="WKT74" s="97"/>
      <c r="WKU74" s="97"/>
      <c r="WKV74" s="97"/>
      <c r="WKW74" s="97"/>
      <c r="WKX74" s="97"/>
      <c r="WKY74" s="97"/>
      <c r="WKZ74" s="97"/>
      <c r="WLA74" s="97"/>
      <c r="WLB74" s="97"/>
      <c r="WLC74" s="97"/>
      <c r="WLD74" s="97"/>
      <c r="WLE74" s="97"/>
      <c r="WLF74" s="97"/>
      <c r="WLG74" s="97"/>
      <c r="WLH74" s="97"/>
      <c r="WLI74" s="97"/>
      <c r="WLJ74" s="97"/>
      <c r="WLK74" s="97"/>
      <c r="WLL74" s="97"/>
      <c r="WLM74" s="97"/>
      <c r="WLN74" s="97"/>
      <c r="WLO74" s="97"/>
      <c r="WLP74" s="97"/>
      <c r="WLQ74" s="97"/>
      <c r="WLR74" s="97"/>
      <c r="WLS74" s="97"/>
      <c r="WLT74" s="97"/>
      <c r="WLU74" s="97"/>
      <c r="WLV74" s="97"/>
      <c r="WLW74" s="97"/>
      <c r="WLX74" s="97"/>
      <c r="WLY74" s="97"/>
      <c r="WLZ74" s="97"/>
      <c r="WMA74" s="97"/>
      <c r="WMB74" s="97"/>
      <c r="WMC74" s="97"/>
      <c r="WMD74" s="97"/>
      <c r="WME74" s="97"/>
      <c r="WMF74" s="97"/>
      <c r="WMG74" s="97"/>
      <c r="WMH74" s="97"/>
      <c r="WMI74" s="97"/>
      <c r="WMJ74" s="97"/>
      <c r="WMK74" s="97"/>
      <c r="WML74" s="97"/>
      <c r="WMM74" s="97"/>
      <c r="WMN74" s="97"/>
      <c r="WMO74" s="97"/>
      <c r="WMP74" s="97"/>
      <c r="WMQ74" s="97"/>
      <c r="WMR74" s="97"/>
      <c r="WMS74" s="97"/>
      <c r="WMT74" s="97"/>
      <c r="WMU74" s="97"/>
      <c r="WMV74" s="97"/>
      <c r="WMW74" s="97"/>
      <c r="WMX74" s="97"/>
      <c r="WMY74" s="97"/>
      <c r="WMZ74" s="97"/>
      <c r="WNA74" s="97"/>
      <c r="WNB74" s="97"/>
      <c r="WNC74" s="97"/>
      <c r="WND74" s="97"/>
      <c r="WNE74" s="97"/>
      <c r="WNF74" s="97"/>
      <c r="WNG74" s="97"/>
      <c r="WNH74" s="97"/>
      <c r="WNI74" s="97"/>
      <c r="WNJ74" s="97"/>
      <c r="WNK74" s="97"/>
      <c r="WNL74" s="97"/>
      <c r="WNM74" s="97"/>
      <c r="WNN74" s="97"/>
      <c r="WNO74" s="97"/>
      <c r="WNP74" s="97"/>
      <c r="WNQ74" s="97"/>
      <c r="WNR74" s="97"/>
      <c r="WNS74" s="97"/>
      <c r="WNT74" s="97"/>
      <c r="WNU74" s="97"/>
      <c r="WNV74" s="97"/>
      <c r="WNW74" s="97"/>
      <c r="WNX74" s="97"/>
      <c r="WNY74" s="97"/>
      <c r="WNZ74" s="97"/>
      <c r="WOA74" s="97"/>
      <c r="WOB74" s="97"/>
      <c r="WOC74" s="97"/>
      <c r="WOD74" s="97"/>
      <c r="WOE74" s="97"/>
      <c r="WOF74" s="97"/>
      <c r="WOG74" s="97"/>
      <c r="WOH74" s="97"/>
      <c r="WOI74" s="97"/>
      <c r="WOJ74" s="97"/>
      <c r="WOK74" s="97"/>
      <c r="WOL74" s="97"/>
      <c r="WOM74" s="97"/>
      <c r="WON74" s="97"/>
      <c r="WOO74" s="97"/>
      <c r="WOP74" s="97"/>
      <c r="WOQ74" s="97"/>
      <c r="WOR74" s="97"/>
      <c r="WOS74" s="97"/>
      <c r="WOT74" s="97"/>
      <c r="WOU74" s="97"/>
      <c r="WOV74" s="97"/>
      <c r="WOW74" s="97"/>
      <c r="WOX74" s="97"/>
      <c r="WOY74" s="97"/>
      <c r="WOZ74" s="97"/>
      <c r="WPA74" s="97"/>
      <c r="WPB74" s="97"/>
      <c r="WPC74" s="97"/>
      <c r="WPD74" s="97"/>
      <c r="WPE74" s="97"/>
      <c r="WPF74" s="97"/>
      <c r="WPG74" s="97"/>
      <c r="WPH74" s="97"/>
      <c r="WPI74" s="97"/>
      <c r="WPJ74" s="97"/>
      <c r="WPK74" s="97"/>
      <c r="WPL74" s="97"/>
      <c r="WPM74" s="97"/>
      <c r="WPN74" s="97"/>
      <c r="WPO74" s="97"/>
      <c r="WPP74" s="97"/>
      <c r="WPQ74" s="97"/>
      <c r="WPR74" s="97"/>
      <c r="WPS74" s="97"/>
    </row>
    <row r="75" spans="1:15983" x14ac:dyDescent="0.25">
      <c r="A75" s="109"/>
      <c r="B75" s="4"/>
      <c r="C75" s="4"/>
      <c r="D75" s="3"/>
      <c r="E75" s="4"/>
      <c r="F75" s="4"/>
      <c r="G75" s="4"/>
      <c r="H75" s="4"/>
      <c r="I75" s="4"/>
      <c r="J75" s="4"/>
      <c r="K75" s="4"/>
      <c r="L75" s="4"/>
      <c r="M75" s="4"/>
      <c r="N75" s="4"/>
      <c r="O75" s="5"/>
      <c r="P75" s="5"/>
      <c r="Q75" s="5"/>
      <c r="R75" s="5"/>
      <c r="S75" s="5"/>
      <c r="T75" s="5"/>
      <c r="U75" s="5"/>
      <c r="V75" s="5"/>
      <c r="W75" s="5"/>
      <c r="X75" s="4"/>
      <c r="Y75" s="4"/>
    </row>
    <row r="76" spans="1:15983" ht="15.75" x14ac:dyDescent="0.25">
      <c r="A76" s="211" t="s">
        <v>375</v>
      </c>
      <c r="B76" s="54"/>
      <c r="C76" s="54"/>
      <c r="D76" s="3"/>
      <c r="E76" s="22"/>
      <c r="F76" s="22"/>
      <c r="G76" s="22"/>
      <c r="H76" s="4"/>
      <c r="I76" s="4"/>
      <c r="J76" s="4"/>
      <c r="K76" s="4"/>
      <c r="L76" s="4"/>
      <c r="M76" s="4"/>
      <c r="N76" s="4"/>
      <c r="O76" s="5"/>
      <c r="P76" s="5"/>
      <c r="Q76" s="5"/>
      <c r="R76" s="5"/>
      <c r="S76" s="5"/>
      <c r="T76" s="5"/>
      <c r="U76" s="5"/>
      <c r="V76" s="5"/>
      <c r="W76" s="5"/>
      <c r="X76" s="4"/>
      <c r="Y76" s="4"/>
    </row>
    <row r="77" spans="1:15983" ht="25.5" x14ac:dyDescent="0.25">
      <c r="A77" s="111" t="s">
        <v>372</v>
      </c>
      <c r="B77" s="105">
        <v>2007</v>
      </c>
      <c r="C77" s="105">
        <v>2008</v>
      </c>
      <c r="D77" s="105">
        <v>2009</v>
      </c>
      <c r="E77" s="105">
        <v>2010</v>
      </c>
      <c r="F77" s="105">
        <v>2011</v>
      </c>
      <c r="G77" s="105">
        <v>2012</v>
      </c>
      <c r="H77" s="105">
        <v>2013</v>
      </c>
      <c r="I77" s="105">
        <v>2014</v>
      </c>
      <c r="J77" s="105">
        <v>2015</v>
      </c>
      <c r="K77" s="105">
        <v>2016</v>
      </c>
      <c r="L77" s="105">
        <v>2017</v>
      </c>
      <c r="M77" s="132">
        <v>2018</v>
      </c>
      <c r="N77" s="105">
        <v>2019</v>
      </c>
      <c r="O77" s="105">
        <v>2020</v>
      </c>
      <c r="P77" s="105">
        <v>2021</v>
      </c>
      <c r="Q77" s="105">
        <v>2022</v>
      </c>
      <c r="R77" s="105">
        <v>2023</v>
      </c>
      <c r="S77" s="105">
        <v>2024</v>
      </c>
      <c r="T77" s="105">
        <v>2025</v>
      </c>
      <c r="U77" s="106" t="s">
        <v>546</v>
      </c>
      <c r="V77" s="106" t="s">
        <v>547</v>
      </c>
      <c r="W77" s="106" t="s">
        <v>548</v>
      </c>
      <c r="X77" s="106" t="s">
        <v>549</v>
      </c>
      <c r="Y77" s="216" t="s">
        <v>563</v>
      </c>
    </row>
    <row r="78" spans="1:15983" x14ac:dyDescent="0.25">
      <c r="A78" s="67" t="s">
        <v>138</v>
      </c>
      <c r="B78" s="20">
        <v>385462</v>
      </c>
      <c r="C78" s="20">
        <v>409957</v>
      </c>
      <c r="D78" s="20">
        <v>452854</v>
      </c>
      <c r="E78" s="20">
        <v>503230</v>
      </c>
      <c r="F78" s="20">
        <v>552034</v>
      </c>
      <c r="G78" s="20">
        <v>586814</v>
      </c>
      <c r="H78" s="20">
        <v>615021</v>
      </c>
      <c r="I78" s="20">
        <v>631870</v>
      </c>
      <c r="J78" s="20">
        <v>640345</v>
      </c>
      <c r="K78" s="20">
        <v>651591</v>
      </c>
      <c r="L78" s="20">
        <v>657111</v>
      </c>
      <c r="M78" s="32">
        <v>669094</v>
      </c>
      <c r="N78" s="20">
        <v>672846</v>
      </c>
      <c r="O78" s="20">
        <v>651985</v>
      </c>
      <c r="P78" s="20">
        <v>701154</v>
      </c>
      <c r="Q78" s="20">
        <v>701837</v>
      </c>
      <c r="R78" s="20">
        <v>717883</v>
      </c>
      <c r="S78" s="32">
        <v>738799</v>
      </c>
      <c r="T78" s="32">
        <v>775623</v>
      </c>
      <c r="U78" s="149">
        <f t="shared" ref="U78:U81" si="15">(T78-K78)/K78</f>
        <v>0.1903525370976579</v>
      </c>
      <c r="V78" s="149">
        <f t="shared" ref="V78:V81" si="16">(T78-P78)/P78</f>
        <v>0.1062091922744504</v>
      </c>
      <c r="W78" s="149">
        <f t="shared" ref="W78:W81" si="17">(T78-S78)/S78</f>
        <v>4.984305609509488E-2</v>
      </c>
      <c r="X78" s="218">
        <f t="shared" ref="X78:X81" si="18">T78/T$9</f>
        <v>0.53284021656468394</v>
      </c>
      <c r="Y78" s="219">
        <f t="shared" ref="Y78:Y81" si="19">T78-S78</f>
        <v>36824</v>
      </c>
    </row>
    <row r="79" spans="1:15983" x14ac:dyDescent="0.25">
      <c r="A79" s="67" t="s">
        <v>139</v>
      </c>
      <c r="B79" s="20">
        <v>391376</v>
      </c>
      <c r="C79" s="20">
        <v>409840</v>
      </c>
      <c r="D79" s="20">
        <v>438865</v>
      </c>
      <c r="E79" s="20">
        <v>482388</v>
      </c>
      <c r="F79" s="20">
        <v>517065</v>
      </c>
      <c r="G79" s="20">
        <v>540106</v>
      </c>
      <c r="H79" s="20">
        <v>569350</v>
      </c>
      <c r="I79" s="20">
        <v>583260</v>
      </c>
      <c r="J79" s="20">
        <v>592698</v>
      </c>
      <c r="K79" s="20">
        <v>595587</v>
      </c>
      <c r="L79" s="20">
        <v>591182</v>
      </c>
      <c r="M79" s="32">
        <v>593240</v>
      </c>
      <c r="N79" s="20">
        <v>595637</v>
      </c>
      <c r="O79" s="20">
        <v>568913</v>
      </c>
      <c r="P79" s="20">
        <v>593547</v>
      </c>
      <c r="Q79" s="20">
        <v>602310</v>
      </c>
      <c r="R79" s="20">
        <v>623563</v>
      </c>
      <c r="S79" s="32">
        <v>647286</v>
      </c>
      <c r="T79" s="32">
        <v>679989</v>
      </c>
      <c r="U79" s="149">
        <f t="shared" si="15"/>
        <v>0.1417122939217948</v>
      </c>
      <c r="V79" s="149">
        <f t="shared" si="16"/>
        <v>0.14563631860661413</v>
      </c>
      <c r="W79" s="149">
        <f t="shared" si="17"/>
        <v>5.0523261742104725E-2</v>
      </c>
      <c r="X79" s="218">
        <f t="shared" si="18"/>
        <v>0.46714123488035153</v>
      </c>
      <c r="Y79" s="219">
        <f t="shared" si="19"/>
        <v>32703</v>
      </c>
    </row>
    <row r="80" spans="1:15983" x14ac:dyDescent="0.25">
      <c r="A80" s="91" t="s">
        <v>604</v>
      </c>
      <c r="B80" s="20">
        <v>0</v>
      </c>
      <c r="C80" s="20">
        <v>0</v>
      </c>
      <c r="D80" s="20">
        <v>0</v>
      </c>
      <c r="E80" s="20">
        <v>0</v>
      </c>
      <c r="F80" s="20">
        <v>0</v>
      </c>
      <c r="G80" s="20">
        <v>0</v>
      </c>
      <c r="H80" s="20">
        <v>0</v>
      </c>
      <c r="I80" s="20">
        <v>0</v>
      </c>
      <c r="J80" s="20">
        <v>0</v>
      </c>
      <c r="K80" s="20">
        <v>0</v>
      </c>
      <c r="L80" s="20">
        <v>0</v>
      </c>
      <c r="M80" s="32">
        <v>0</v>
      </c>
      <c r="N80" s="20">
        <v>0</v>
      </c>
      <c r="O80" s="20">
        <v>0</v>
      </c>
      <c r="P80" s="20">
        <v>0</v>
      </c>
      <c r="Q80" s="20">
        <v>0</v>
      </c>
      <c r="R80" s="32">
        <v>2</v>
      </c>
      <c r="S80" s="32">
        <v>14</v>
      </c>
      <c r="T80" s="32">
        <v>27</v>
      </c>
      <c r="U80" s="149" t="s">
        <v>130</v>
      </c>
      <c r="V80" s="149" t="s">
        <v>130</v>
      </c>
      <c r="W80" s="149">
        <f t="shared" si="17"/>
        <v>0.9285714285714286</v>
      </c>
      <c r="X80" s="218">
        <f t="shared" si="18"/>
        <v>1.8548554964520735E-5</v>
      </c>
      <c r="Y80" s="219">
        <f t="shared" si="19"/>
        <v>13</v>
      </c>
    </row>
    <row r="81" spans="1:25" x14ac:dyDescent="0.25">
      <c r="A81" s="71" t="s">
        <v>0</v>
      </c>
      <c r="B81" s="21">
        <v>776838</v>
      </c>
      <c r="C81" s="21">
        <v>819797</v>
      </c>
      <c r="D81" s="21">
        <v>891719</v>
      </c>
      <c r="E81" s="21">
        <v>985618</v>
      </c>
      <c r="F81" s="21">
        <v>1069099</v>
      </c>
      <c r="G81" s="21">
        <v>1126920</v>
      </c>
      <c r="H81" s="21">
        <v>1184371</v>
      </c>
      <c r="I81" s="21">
        <v>1215130</v>
      </c>
      <c r="J81" s="21">
        <v>1233043</v>
      </c>
      <c r="K81" s="21">
        <v>1247178</v>
      </c>
      <c r="L81" s="21">
        <v>1248293</v>
      </c>
      <c r="M81" s="90">
        <v>1262334</v>
      </c>
      <c r="N81" s="21">
        <v>1268483</v>
      </c>
      <c r="O81" s="21">
        <v>1220898</v>
      </c>
      <c r="P81" s="21">
        <v>1294701</v>
      </c>
      <c r="Q81" s="21">
        <v>1304147</v>
      </c>
      <c r="R81" s="21">
        <v>1341448</v>
      </c>
      <c r="S81" s="90">
        <v>1386099</v>
      </c>
      <c r="T81" s="90">
        <v>1455639</v>
      </c>
      <c r="U81" s="149">
        <f t="shared" si="15"/>
        <v>0.16714614914631271</v>
      </c>
      <c r="V81" s="149">
        <f t="shared" si="16"/>
        <v>0.12430514844740215</v>
      </c>
      <c r="W81" s="149">
        <f t="shared" si="17"/>
        <v>5.0169576631972176E-2</v>
      </c>
      <c r="X81" s="150">
        <f t="shared" si="18"/>
        <v>1</v>
      </c>
      <c r="Y81" s="219">
        <f t="shared" si="19"/>
        <v>69540</v>
      </c>
    </row>
    <row r="82" spans="1:25" x14ac:dyDescent="0.25">
      <c r="A82" s="109"/>
      <c r="B82" s="5"/>
      <c r="C82" s="5"/>
      <c r="D82" s="5"/>
      <c r="E82" s="5"/>
      <c r="F82" s="5"/>
      <c r="G82" s="5"/>
      <c r="H82" s="5"/>
      <c r="I82" s="5"/>
      <c r="J82" s="5"/>
      <c r="K82" s="5"/>
      <c r="L82" s="5"/>
      <c r="M82" s="5"/>
      <c r="N82" s="5"/>
      <c r="O82" s="5"/>
      <c r="P82" s="5"/>
      <c r="Q82" s="5"/>
      <c r="R82" s="5"/>
      <c r="S82" s="5"/>
      <c r="T82" s="5"/>
      <c r="U82" s="5"/>
      <c r="V82" s="5"/>
      <c r="W82" s="5"/>
      <c r="X82" s="4"/>
      <c r="Y82" s="4"/>
    </row>
    <row r="83" spans="1:25" ht="15.75" x14ac:dyDescent="0.25">
      <c r="A83" s="35" t="s">
        <v>114</v>
      </c>
      <c r="B83" s="22"/>
      <c r="C83" s="22"/>
      <c r="D83" s="22"/>
      <c r="E83" s="22"/>
      <c r="F83" s="22"/>
      <c r="G83" s="22"/>
      <c r="H83" s="4"/>
      <c r="I83" s="4"/>
      <c r="J83" s="4"/>
      <c r="K83" s="4"/>
      <c r="L83" s="4"/>
      <c r="M83" s="4"/>
      <c r="N83" s="4"/>
      <c r="O83" s="5"/>
      <c r="P83" s="5"/>
      <c r="Q83" s="5"/>
      <c r="R83" s="5"/>
      <c r="S83" s="5"/>
      <c r="T83" s="5"/>
      <c r="U83" s="5"/>
      <c r="V83" s="5"/>
      <c r="W83" s="5"/>
      <c r="X83" s="4"/>
      <c r="Y83" s="4"/>
    </row>
    <row r="84" spans="1:25" ht="25.5" x14ac:dyDescent="0.25">
      <c r="A84" s="111" t="s">
        <v>93</v>
      </c>
      <c r="B84" s="105">
        <v>2007</v>
      </c>
      <c r="C84" s="105">
        <v>2008</v>
      </c>
      <c r="D84" s="105">
        <v>2009</v>
      </c>
      <c r="E84" s="105">
        <v>2010</v>
      </c>
      <c r="F84" s="105">
        <v>2011</v>
      </c>
      <c r="G84" s="105">
        <v>2012</v>
      </c>
      <c r="H84" s="105">
        <v>2013</v>
      </c>
      <c r="I84" s="105">
        <v>2014</v>
      </c>
      <c r="J84" s="105">
        <v>2015</v>
      </c>
      <c r="K84" s="105">
        <v>2016</v>
      </c>
      <c r="L84" s="105">
        <v>2017</v>
      </c>
      <c r="M84" s="132">
        <v>2018</v>
      </c>
      <c r="N84" s="105">
        <v>2019</v>
      </c>
      <c r="O84" s="105">
        <v>2020</v>
      </c>
      <c r="P84" s="105">
        <v>2021</v>
      </c>
      <c r="Q84" s="105">
        <v>2022</v>
      </c>
      <c r="R84" s="105">
        <v>2023</v>
      </c>
      <c r="S84" s="105">
        <v>2024</v>
      </c>
      <c r="T84" s="105">
        <v>2025</v>
      </c>
      <c r="U84" s="106" t="s">
        <v>546</v>
      </c>
      <c r="V84" s="106" t="s">
        <v>547</v>
      </c>
      <c r="W84" s="106" t="s">
        <v>548</v>
      </c>
      <c r="X84" s="106" t="s">
        <v>549</v>
      </c>
      <c r="Y84" s="216" t="s">
        <v>563</v>
      </c>
    </row>
    <row r="85" spans="1:25" x14ac:dyDescent="0.25">
      <c r="A85" s="116" t="s">
        <v>36</v>
      </c>
      <c r="B85" s="101">
        <v>166324</v>
      </c>
      <c r="C85" s="101">
        <v>172701</v>
      </c>
      <c r="D85" s="20">
        <v>186104</v>
      </c>
      <c r="E85" s="20">
        <v>195416</v>
      </c>
      <c r="F85" s="20">
        <v>201129</v>
      </c>
      <c r="G85" s="20">
        <v>202644</v>
      </c>
      <c r="H85" s="20">
        <v>209205</v>
      </c>
      <c r="I85" s="20">
        <v>209456</v>
      </c>
      <c r="J85" s="20">
        <v>208774</v>
      </c>
      <c r="K85" s="20">
        <v>210768</v>
      </c>
      <c r="L85" s="20">
        <v>209521</v>
      </c>
      <c r="M85" s="32">
        <v>213403</v>
      </c>
      <c r="N85" s="20">
        <v>215260</v>
      </c>
      <c r="O85" s="20">
        <v>215842</v>
      </c>
      <c r="P85" s="20">
        <v>207248</v>
      </c>
      <c r="Q85" s="20">
        <v>208669</v>
      </c>
      <c r="R85" s="20">
        <v>220921</v>
      </c>
      <c r="S85" s="32">
        <v>229718</v>
      </c>
      <c r="T85" s="32">
        <v>240337</v>
      </c>
      <c r="U85" s="149">
        <f t="shared" ref="U85:U92" si="20">(T85-K85)/K85</f>
        <v>0.14029169513398618</v>
      </c>
      <c r="V85" s="149">
        <f t="shared" ref="V85:V92" si="21">(T85-P85)/P85</f>
        <v>0.15965895931444454</v>
      </c>
      <c r="W85" s="149">
        <f t="shared" ref="W85:W92" si="22">(T85-S85)/S85</f>
        <v>4.6226242610505057E-2</v>
      </c>
      <c r="X85" s="218">
        <f t="shared" ref="X85:X92" si="23">T85/T$9</f>
        <v>0.16510755757437112</v>
      </c>
      <c r="Y85" s="219">
        <f t="shared" ref="Y85:Y92" si="24">T85-S85</f>
        <v>10619</v>
      </c>
    </row>
    <row r="86" spans="1:25" x14ac:dyDescent="0.25">
      <c r="A86" s="116" t="s">
        <v>37</v>
      </c>
      <c r="B86" s="101">
        <v>392501</v>
      </c>
      <c r="C86" s="101">
        <v>413600</v>
      </c>
      <c r="D86" s="20">
        <v>452192</v>
      </c>
      <c r="E86" s="20">
        <v>504223</v>
      </c>
      <c r="F86" s="20">
        <v>549178</v>
      </c>
      <c r="G86" s="20">
        <v>571167</v>
      </c>
      <c r="H86" s="20">
        <v>586035</v>
      </c>
      <c r="I86" s="20">
        <v>589506</v>
      </c>
      <c r="J86" s="20">
        <v>590733</v>
      </c>
      <c r="K86" s="20">
        <v>590298</v>
      </c>
      <c r="L86" s="20">
        <v>591040</v>
      </c>
      <c r="M86" s="32">
        <v>595594</v>
      </c>
      <c r="N86" s="20">
        <v>598688</v>
      </c>
      <c r="O86" s="20">
        <v>578106</v>
      </c>
      <c r="P86" s="20">
        <v>590656</v>
      </c>
      <c r="Q86" s="20">
        <v>584528</v>
      </c>
      <c r="R86" s="20">
        <v>597906</v>
      </c>
      <c r="S86" s="32">
        <v>610800</v>
      </c>
      <c r="T86" s="32">
        <v>628155</v>
      </c>
      <c r="U86" s="149">
        <f t="shared" si="20"/>
        <v>6.4132014677332469E-2</v>
      </c>
      <c r="V86" s="149">
        <f t="shared" si="21"/>
        <v>6.3487038140643617E-2</v>
      </c>
      <c r="W86" s="149">
        <f t="shared" si="22"/>
        <v>2.8413555992141452E-2</v>
      </c>
      <c r="X86" s="218">
        <f t="shared" si="23"/>
        <v>0.4315321312495749</v>
      </c>
      <c r="Y86" s="219">
        <f t="shared" si="24"/>
        <v>17355</v>
      </c>
    </row>
    <row r="87" spans="1:25" x14ac:dyDescent="0.25">
      <c r="A87" s="116" t="s">
        <v>38</v>
      </c>
      <c r="B87" s="101">
        <v>127643</v>
      </c>
      <c r="C87" s="101">
        <v>134002</v>
      </c>
      <c r="D87" s="20">
        <v>143327</v>
      </c>
      <c r="E87" s="20">
        <v>160201</v>
      </c>
      <c r="F87" s="20">
        <v>177926</v>
      </c>
      <c r="G87" s="20">
        <v>191492</v>
      </c>
      <c r="H87" s="20">
        <v>209368</v>
      </c>
      <c r="I87" s="20">
        <v>221756</v>
      </c>
      <c r="J87" s="20">
        <v>230856</v>
      </c>
      <c r="K87" s="20">
        <v>234858</v>
      </c>
      <c r="L87" s="20">
        <v>233504</v>
      </c>
      <c r="M87" s="32">
        <v>230836</v>
      </c>
      <c r="N87" s="20">
        <v>224206</v>
      </c>
      <c r="O87" s="20">
        <v>204541</v>
      </c>
      <c r="P87" s="20">
        <v>222458</v>
      </c>
      <c r="Q87" s="20">
        <v>214890</v>
      </c>
      <c r="R87" s="20">
        <v>209385</v>
      </c>
      <c r="S87" s="32">
        <v>207763</v>
      </c>
      <c r="T87" s="32">
        <v>214257</v>
      </c>
      <c r="U87" s="149">
        <f t="shared" si="20"/>
        <v>-8.7716833150243978E-2</v>
      </c>
      <c r="V87" s="149">
        <f t="shared" si="21"/>
        <v>-3.6865385825638995E-2</v>
      </c>
      <c r="W87" s="149">
        <f t="shared" si="22"/>
        <v>3.1256768529526434E-2</v>
      </c>
      <c r="X87" s="218">
        <f t="shared" si="23"/>
        <v>0.1471910274456785</v>
      </c>
      <c r="Y87" s="219">
        <f t="shared" si="24"/>
        <v>6494</v>
      </c>
    </row>
    <row r="88" spans="1:25" x14ac:dyDescent="0.25">
      <c r="A88" s="116" t="s">
        <v>39</v>
      </c>
      <c r="B88" s="101">
        <v>43668</v>
      </c>
      <c r="C88" s="101">
        <v>46680</v>
      </c>
      <c r="D88" s="20">
        <v>51218</v>
      </c>
      <c r="E88" s="20">
        <v>59188</v>
      </c>
      <c r="F88" s="20">
        <v>67383</v>
      </c>
      <c r="G88" s="20">
        <v>78086</v>
      </c>
      <c r="H88" s="20">
        <v>88076</v>
      </c>
      <c r="I88" s="20">
        <v>94216</v>
      </c>
      <c r="J88" s="20">
        <v>98083</v>
      </c>
      <c r="K88" s="20">
        <v>99903</v>
      </c>
      <c r="L88" s="20">
        <v>99279</v>
      </c>
      <c r="M88" s="32">
        <v>101718</v>
      </c>
      <c r="N88" s="20">
        <v>103619</v>
      </c>
      <c r="O88" s="20">
        <v>99295</v>
      </c>
      <c r="P88" s="20">
        <v>119292</v>
      </c>
      <c r="Q88" s="20">
        <v>123885</v>
      </c>
      <c r="R88" s="20">
        <v>125626</v>
      </c>
      <c r="S88" s="32">
        <v>128494</v>
      </c>
      <c r="T88" s="32">
        <v>134707</v>
      </c>
      <c r="U88" s="149">
        <f t="shared" si="20"/>
        <v>0.34837792658879113</v>
      </c>
      <c r="V88" s="149">
        <f t="shared" si="21"/>
        <v>0.12922073567380882</v>
      </c>
      <c r="W88" s="149">
        <f t="shared" si="22"/>
        <v>4.8352452254579979E-2</v>
      </c>
      <c r="X88" s="218">
        <f t="shared" si="23"/>
        <v>9.254148865206277E-2</v>
      </c>
      <c r="Y88" s="219">
        <f t="shared" si="24"/>
        <v>6213</v>
      </c>
    </row>
    <row r="89" spans="1:25" x14ac:dyDescent="0.25">
      <c r="A89" s="116" t="s">
        <v>40</v>
      </c>
      <c r="B89" s="101">
        <v>20951</v>
      </c>
      <c r="C89" s="101">
        <v>24040</v>
      </c>
      <c r="D89" s="20">
        <v>27661</v>
      </c>
      <c r="E89" s="20">
        <v>32178</v>
      </c>
      <c r="F89" s="20">
        <v>35690</v>
      </c>
      <c r="G89" s="20">
        <v>39667</v>
      </c>
      <c r="H89" s="20">
        <v>43905</v>
      </c>
      <c r="I89" s="20">
        <v>47175</v>
      </c>
      <c r="J89" s="20">
        <v>49408</v>
      </c>
      <c r="K89" s="20">
        <v>52425</v>
      </c>
      <c r="L89" s="20">
        <v>54552</v>
      </c>
      <c r="M89" s="32">
        <v>56866</v>
      </c>
      <c r="N89" s="20">
        <v>59407</v>
      </c>
      <c r="O89" s="20">
        <v>57286</v>
      </c>
      <c r="P89" s="20">
        <v>71684</v>
      </c>
      <c r="Q89" s="20">
        <v>77117</v>
      </c>
      <c r="R89" s="20">
        <v>81988</v>
      </c>
      <c r="S89" s="32">
        <v>90126</v>
      </c>
      <c r="T89" s="32">
        <v>101418</v>
      </c>
      <c r="U89" s="149">
        <f t="shared" si="20"/>
        <v>0.9345350500715307</v>
      </c>
      <c r="V89" s="149">
        <f t="shared" si="21"/>
        <v>0.41479270130015067</v>
      </c>
      <c r="W89" s="149">
        <f t="shared" si="22"/>
        <v>0.12529125890420079</v>
      </c>
      <c r="X89" s="218">
        <f t="shared" si="23"/>
        <v>6.9672494347843117E-2</v>
      </c>
      <c r="Y89" s="219">
        <f t="shared" si="24"/>
        <v>11292</v>
      </c>
    </row>
    <row r="90" spans="1:25" x14ac:dyDescent="0.25">
      <c r="A90" s="116" t="s">
        <v>1</v>
      </c>
      <c r="B90" s="101">
        <v>23511</v>
      </c>
      <c r="C90" s="101">
        <v>27491</v>
      </c>
      <c r="D90" s="20">
        <v>30563</v>
      </c>
      <c r="E90" s="20">
        <v>33843</v>
      </c>
      <c r="F90" s="20">
        <v>37218</v>
      </c>
      <c r="G90" s="20">
        <v>43334</v>
      </c>
      <c r="H90" s="20">
        <v>47368</v>
      </c>
      <c r="I90" s="20">
        <v>51917</v>
      </c>
      <c r="J90" s="20">
        <v>55060</v>
      </c>
      <c r="K90" s="20">
        <v>58861</v>
      </c>
      <c r="L90" s="20">
        <v>60359</v>
      </c>
      <c r="M90" s="32">
        <v>63085</v>
      </c>
      <c r="N90" s="20">
        <v>66937</v>
      </c>
      <c r="O90" s="20">
        <v>65659</v>
      </c>
      <c r="P90" s="20">
        <v>83070</v>
      </c>
      <c r="Q90" s="20">
        <v>95048</v>
      </c>
      <c r="R90" s="20">
        <v>105607</v>
      </c>
      <c r="S90" s="32">
        <v>119167</v>
      </c>
      <c r="T90" s="32">
        <v>136750</v>
      </c>
      <c r="U90" s="149">
        <f t="shared" si="20"/>
        <v>1.3232700769609758</v>
      </c>
      <c r="V90" s="149">
        <f t="shared" si="21"/>
        <v>0.6462019983146744</v>
      </c>
      <c r="W90" s="149">
        <f t="shared" si="22"/>
        <v>0.14754923762451014</v>
      </c>
      <c r="X90" s="218">
        <f t="shared" si="23"/>
        <v>9.3944995977711512E-2</v>
      </c>
      <c r="Y90" s="219">
        <f t="shared" si="24"/>
        <v>17583</v>
      </c>
    </row>
    <row r="91" spans="1:25" x14ac:dyDescent="0.25">
      <c r="A91" s="116" t="s">
        <v>66</v>
      </c>
      <c r="B91" s="101">
        <v>2240</v>
      </c>
      <c r="C91" s="101">
        <v>1283</v>
      </c>
      <c r="D91" s="20">
        <v>654</v>
      </c>
      <c r="E91" s="20">
        <v>569</v>
      </c>
      <c r="F91" s="20">
        <v>575</v>
      </c>
      <c r="G91" s="20">
        <v>530</v>
      </c>
      <c r="H91" s="20">
        <v>414</v>
      </c>
      <c r="I91" s="20">
        <v>1104</v>
      </c>
      <c r="J91" s="20">
        <v>129</v>
      </c>
      <c r="K91" s="20">
        <v>65</v>
      </c>
      <c r="L91" s="20">
        <v>38</v>
      </c>
      <c r="M91" s="32">
        <v>832</v>
      </c>
      <c r="N91" s="20">
        <v>366</v>
      </c>
      <c r="O91" s="20">
        <v>169</v>
      </c>
      <c r="P91" s="20">
        <v>293</v>
      </c>
      <c r="Q91" s="20">
        <v>10</v>
      </c>
      <c r="R91" s="20">
        <v>15</v>
      </c>
      <c r="S91" s="32">
        <v>31</v>
      </c>
      <c r="T91" s="32">
        <v>15</v>
      </c>
      <c r="U91" s="149">
        <f t="shared" si="20"/>
        <v>-0.76923076923076927</v>
      </c>
      <c r="V91" s="149">
        <f t="shared" si="21"/>
        <v>-0.94880546075085326</v>
      </c>
      <c r="W91" s="149">
        <f t="shared" si="22"/>
        <v>-0.5161290322580645</v>
      </c>
      <c r="X91" s="218">
        <f t="shared" si="23"/>
        <v>1.0304752758067076E-5</v>
      </c>
      <c r="Y91" s="219">
        <f t="shared" si="24"/>
        <v>-16</v>
      </c>
    </row>
    <row r="92" spans="1:25" x14ac:dyDescent="0.25">
      <c r="A92" s="80" t="s">
        <v>0</v>
      </c>
      <c r="B92" s="90">
        <v>776838</v>
      </c>
      <c r="C92" s="90">
        <v>819797</v>
      </c>
      <c r="D92" s="90">
        <v>891719</v>
      </c>
      <c r="E92" s="90">
        <v>985618</v>
      </c>
      <c r="F92" s="90">
        <v>1069099</v>
      </c>
      <c r="G92" s="90">
        <v>1126920</v>
      </c>
      <c r="H92" s="90">
        <v>1184371</v>
      </c>
      <c r="I92" s="90">
        <v>1215130</v>
      </c>
      <c r="J92" s="90">
        <v>1233043</v>
      </c>
      <c r="K92" s="90">
        <v>1247178</v>
      </c>
      <c r="L92" s="90">
        <v>1248293</v>
      </c>
      <c r="M92" s="90">
        <v>1262334</v>
      </c>
      <c r="N92" s="90">
        <v>1268483</v>
      </c>
      <c r="O92" s="90">
        <v>1220898</v>
      </c>
      <c r="P92" s="90">
        <v>1294701</v>
      </c>
      <c r="Q92" s="90">
        <v>1304147</v>
      </c>
      <c r="R92" s="90">
        <v>1341448</v>
      </c>
      <c r="S92" s="90">
        <v>1386099</v>
      </c>
      <c r="T92" s="90">
        <v>1455639</v>
      </c>
      <c r="U92" s="149">
        <f t="shared" si="20"/>
        <v>0.16714614914631271</v>
      </c>
      <c r="V92" s="149">
        <f t="shared" si="21"/>
        <v>0.12430514844740215</v>
      </c>
      <c r="W92" s="149">
        <f t="shared" si="22"/>
        <v>5.0169576631972176E-2</v>
      </c>
      <c r="X92" s="150">
        <f t="shared" si="23"/>
        <v>1</v>
      </c>
      <c r="Y92" s="219">
        <f t="shared" si="24"/>
        <v>69540</v>
      </c>
    </row>
    <row r="93" spans="1:25" x14ac:dyDescent="0.25">
      <c r="A93" s="166" t="s">
        <v>110</v>
      </c>
      <c r="B93" s="165">
        <v>23.533754282866727</v>
      </c>
      <c r="C93" s="165">
        <v>23.659464590709504</v>
      </c>
      <c r="D93" s="165">
        <v>23.69745304775746</v>
      </c>
      <c r="E93" s="165">
        <v>23.795164077048149</v>
      </c>
      <c r="F93" s="165">
        <v>23.909495028343787</v>
      </c>
      <c r="G93" s="165">
        <v>24.150820990955797</v>
      </c>
      <c r="H93" s="165">
        <v>24.327399559274536</v>
      </c>
      <c r="I93" s="165">
        <v>24.494618731394549</v>
      </c>
      <c r="J93" s="165">
        <v>24.602286939721669</v>
      </c>
      <c r="K93" s="165">
        <v>24.712108686221697</v>
      </c>
      <c r="L93" s="165">
        <v>24.756185234587484</v>
      </c>
      <c r="M93" s="165">
        <v>24.805882194400009</v>
      </c>
      <c r="N93" s="165">
        <v>24.875430263926752</v>
      </c>
      <c r="O93" s="157">
        <v>24.820585076622248</v>
      </c>
      <c r="P93" s="157">
        <v>25.396179566257317</v>
      </c>
      <c r="Q93" s="157">
        <v>25.651428492558679</v>
      </c>
      <c r="R93" s="157">
        <v>25.754986644879022</v>
      </c>
      <c r="S93" s="157">
        <v>25.964574609615113</v>
      </c>
      <c r="T93" s="157">
        <v>26.236117294026478</v>
      </c>
      <c r="U93" s="157"/>
      <c r="V93" s="157"/>
      <c r="W93" s="157"/>
      <c r="X93" s="157"/>
      <c r="Y93" s="157"/>
    </row>
    <row r="94" spans="1:25" x14ac:dyDescent="0.25">
      <c r="A94" s="112"/>
      <c r="B94" s="112"/>
      <c r="C94" s="112"/>
      <c r="D94" s="112"/>
      <c r="E94" s="112"/>
      <c r="F94" s="112"/>
      <c r="G94" s="112"/>
      <c r="H94" s="112"/>
      <c r="I94" s="112"/>
      <c r="J94" s="112"/>
      <c r="K94" s="112"/>
      <c r="L94" s="112"/>
      <c r="M94" s="112"/>
      <c r="N94" s="112"/>
      <c r="O94" s="112"/>
      <c r="P94" s="112"/>
      <c r="Q94" s="112"/>
      <c r="R94" s="112"/>
      <c r="S94" s="112"/>
      <c r="T94" s="112"/>
      <c r="U94" s="17"/>
      <c r="V94" s="17"/>
      <c r="W94" s="17"/>
      <c r="X94" s="17"/>
      <c r="Y94" s="17"/>
    </row>
    <row r="95" spans="1:25" ht="15.75" x14ac:dyDescent="0.25">
      <c r="A95" s="35" t="s">
        <v>67</v>
      </c>
      <c r="B95" s="22"/>
      <c r="C95" s="22"/>
      <c r="D95" s="22"/>
      <c r="E95" s="22"/>
      <c r="F95" s="22"/>
      <c r="G95" s="22"/>
      <c r="H95" s="17"/>
      <c r="I95" s="17"/>
      <c r="J95" s="17"/>
      <c r="K95" s="17"/>
      <c r="L95" s="17"/>
      <c r="M95" s="203"/>
      <c r="N95" s="17"/>
      <c r="O95" s="17"/>
      <c r="P95" s="17"/>
      <c r="Q95" s="17"/>
      <c r="R95" s="17"/>
      <c r="S95" s="17"/>
      <c r="T95" s="17"/>
      <c r="U95" s="17"/>
      <c r="V95" s="17"/>
      <c r="W95" s="17"/>
      <c r="X95" s="17"/>
      <c r="Y95" s="17"/>
    </row>
    <row r="96" spans="1:25" ht="25.5" x14ac:dyDescent="0.25">
      <c r="A96" s="111" t="s">
        <v>44</v>
      </c>
      <c r="B96" s="105">
        <v>2007</v>
      </c>
      <c r="C96" s="105">
        <v>2008</v>
      </c>
      <c r="D96" s="105">
        <v>2009</v>
      </c>
      <c r="E96" s="105">
        <v>2010</v>
      </c>
      <c r="F96" s="105">
        <v>2011</v>
      </c>
      <c r="G96" s="105">
        <v>2012</v>
      </c>
      <c r="H96" s="105">
        <v>2013</v>
      </c>
      <c r="I96" s="105">
        <v>2014</v>
      </c>
      <c r="J96" s="105">
        <v>2015</v>
      </c>
      <c r="K96" s="105">
        <v>2016</v>
      </c>
      <c r="L96" s="105">
        <v>2017</v>
      </c>
      <c r="M96" s="132">
        <v>2018</v>
      </c>
      <c r="N96" s="105">
        <v>2019</v>
      </c>
      <c r="O96" s="105">
        <v>2020</v>
      </c>
      <c r="P96" s="105">
        <v>2021</v>
      </c>
      <c r="Q96" s="105">
        <v>2022</v>
      </c>
      <c r="R96" s="105">
        <v>2023</v>
      </c>
      <c r="S96" s="105">
        <v>2024</v>
      </c>
      <c r="T96" s="105">
        <v>2025</v>
      </c>
      <c r="U96" s="106" t="s">
        <v>546</v>
      </c>
      <c r="V96" s="106" t="s">
        <v>547</v>
      </c>
      <c r="W96" s="106" t="s">
        <v>548</v>
      </c>
      <c r="X96" s="106" t="s">
        <v>549</v>
      </c>
      <c r="Y96" s="216" t="s">
        <v>563</v>
      </c>
    </row>
    <row r="97" spans="1:25" x14ac:dyDescent="0.25">
      <c r="A97" s="67" t="s">
        <v>229</v>
      </c>
      <c r="B97" s="20">
        <v>12507</v>
      </c>
      <c r="C97" s="20">
        <v>13429</v>
      </c>
      <c r="D97" s="20">
        <v>13354</v>
      </c>
      <c r="E97" s="20">
        <v>14662</v>
      </c>
      <c r="F97" s="20">
        <v>14833</v>
      </c>
      <c r="G97" s="20">
        <v>15473</v>
      </c>
      <c r="H97" s="20">
        <v>16712</v>
      </c>
      <c r="I97" s="20">
        <v>17001</v>
      </c>
      <c r="J97" s="20">
        <v>16012</v>
      </c>
      <c r="K97" s="20">
        <v>16216</v>
      </c>
      <c r="L97" s="20">
        <v>16450</v>
      </c>
      <c r="M97" s="32">
        <v>17269</v>
      </c>
      <c r="N97" s="20">
        <v>17376</v>
      </c>
      <c r="O97" s="20">
        <v>16788</v>
      </c>
      <c r="P97" s="20">
        <v>17558</v>
      </c>
      <c r="Q97" s="20">
        <v>16910</v>
      </c>
      <c r="R97" s="20">
        <v>17157</v>
      </c>
      <c r="S97" s="20">
        <v>17399</v>
      </c>
      <c r="T97" s="20">
        <v>17553</v>
      </c>
      <c r="U97" s="149">
        <f t="shared" ref="U97:U113" si="25">(T97-K97)/K97</f>
        <v>8.2449432659102123E-2</v>
      </c>
      <c r="V97" s="149">
        <f t="shared" ref="V97:V113" si="26">(T97-P97)/P97</f>
        <v>-2.8477047499715229E-4</v>
      </c>
      <c r="W97" s="149">
        <f t="shared" ref="W97:W113" si="27">(T97-S97)/S97</f>
        <v>8.8510833955974481E-3</v>
      </c>
      <c r="X97" s="218">
        <f t="shared" ref="X97:X113" si="28">T97/T$9</f>
        <v>1.2058621677490092E-2</v>
      </c>
      <c r="Y97" s="219">
        <f t="shared" ref="Y97:Y113" si="29">T97-S97</f>
        <v>154</v>
      </c>
    </row>
    <row r="98" spans="1:25" x14ac:dyDescent="0.25">
      <c r="A98" s="67" t="s">
        <v>230</v>
      </c>
      <c r="B98" s="20">
        <v>12076</v>
      </c>
      <c r="C98" s="20">
        <v>13287</v>
      </c>
      <c r="D98" s="20">
        <v>14305</v>
      </c>
      <c r="E98" s="20">
        <v>15542</v>
      </c>
      <c r="F98" s="20">
        <v>15716</v>
      </c>
      <c r="G98" s="20">
        <v>15696</v>
      </c>
      <c r="H98" s="20">
        <v>16787</v>
      </c>
      <c r="I98" s="20">
        <v>17519</v>
      </c>
      <c r="J98" s="20">
        <v>18120</v>
      </c>
      <c r="K98" s="20">
        <v>17806</v>
      </c>
      <c r="L98" s="20">
        <v>17623</v>
      </c>
      <c r="M98" s="32">
        <v>19069</v>
      </c>
      <c r="N98" s="20">
        <v>19734</v>
      </c>
      <c r="O98" s="20">
        <v>18726</v>
      </c>
      <c r="P98" s="20">
        <v>19274</v>
      </c>
      <c r="Q98" s="20">
        <v>18460</v>
      </c>
      <c r="R98" s="20">
        <v>18806</v>
      </c>
      <c r="S98" s="20">
        <v>19014</v>
      </c>
      <c r="T98" s="20">
        <v>20264</v>
      </c>
      <c r="U98" s="149">
        <f t="shared" si="25"/>
        <v>0.13804335617207683</v>
      </c>
      <c r="V98" s="149">
        <f t="shared" si="26"/>
        <v>5.1364532530870602E-2</v>
      </c>
      <c r="W98" s="149">
        <f t="shared" si="27"/>
        <v>6.5741032923109288E-2</v>
      </c>
      <c r="X98" s="218">
        <f t="shared" si="28"/>
        <v>1.3921033992631416E-2</v>
      </c>
      <c r="Y98" s="219">
        <f t="shared" si="29"/>
        <v>1250</v>
      </c>
    </row>
    <row r="99" spans="1:25" x14ac:dyDescent="0.25">
      <c r="A99" s="67" t="s">
        <v>231</v>
      </c>
      <c r="B99" s="20">
        <v>28714</v>
      </c>
      <c r="C99" s="20">
        <v>30408</v>
      </c>
      <c r="D99" s="20">
        <v>33426</v>
      </c>
      <c r="E99" s="20">
        <v>36254</v>
      </c>
      <c r="F99" s="20">
        <v>37552</v>
      </c>
      <c r="G99" s="20">
        <v>38426</v>
      </c>
      <c r="H99" s="20">
        <v>40705</v>
      </c>
      <c r="I99" s="20">
        <v>41752</v>
      </c>
      <c r="J99" s="20">
        <v>42313</v>
      </c>
      <c r="K99" s="20">
        <v>40548</v>
      </c>
      <c r="L99" s="20">
        <v>40792</v>
      </c>
      <c r="M99" s="32">
        <v>41214</v>
      </c>
      <c r="N99" s="20">
        <v>41038</v>
      </c>
      <c r="O99" s="20">
        <v>39047</v>
      </c>
      <c r="P99" s="20">
        <v>39637</v>
      </c>
      <c r="Q99" s="20">
        <v>38341</v>
      </c>
      <c r="R99" s="20">
        <v>37660</v>
      </c>
      <c r="S99" s="20">
        <v>37191</v>
      </c>
      <c r="T99" s="20">
        <v>38121</v>
      </c>
      <c r="U99" s="149">
        <f t="shared" si="25"/>
        <v>-5.9854986682450428E-2</v>
      </c>
      <c r="V99" s="149">
        <f t="shared" si="26"/>
        <v>-3.8247092363196004E-2</v>
      </c>
      <c r="W99" s="149">
        <f t="shared" si="27"/>
        <v>2.5006049850770349E-2</v>
      </c>
      <c r="X99" s="218">
        <f t="shared" si="28"/>
        <v>2.6188498659351665E-2</v>
      </c>
      <c r="Y99" s="219">
        <f t="shared" si="29"/>
        <v>930</v>
      </c>
    </row>
    <row r="100" spans="1:25" x14ac:dyDescent="0.25">
      <c r="A100" s="67" t="s">
        <v>232</v>
      </c>
      <c r="B100" s="20">
        <v>6828</v>
      </c>
      <c r="C100" s="20">
        <v>7797</v>
      </c>
      <c r="D100" s="20">
        <v>8205</v>
      </c>
      <c r="E100" s="20">
        <v>9108</v>
      </c>
      <c r="F100" s="20">
        <v>10282</v>
      </c>
      <c r="G100" s="20">
        <v>10724</v>
      </c>
      <c r="H100" s="20">
        <v>11079</v>
      </c>
      <c r="I100" s="20">
        <v>12009</v>
      </c>
      <c r="J100" s="20">
        <v>10521</v>
      </c>
      <c r="K100" s="20">
        <v>12128</v>
      </c>
      <c r="L100" s="20">
        <v>12554</v>
      </c>
      <c r="M100" s="32">
        <v>12745</v>
      </c>
      <c r="N100" s="20">
        <v>13084</v>
      </c>
      <c r="O100" s="20">
        <v>12089</v>
      </c>
      <c r="P100" s="20">
        <v>13278</v>
      </c>
      <c r="Q100" s="20">
        <v>12613</v>
      </c>
      <c r="R100" s="20">
        <v>12540</v>
      </c>
      <c r="S100" s="20">
        <v>12651</v>
      </c>
      <c r="T100" s="20">
        <v>12907</v>
      </c>
      <c r="U100" s="149">
        <f t="shared" si="25"/>
        <v>6.4231530343007909E-2</v>
      </c>
      <c r="V100" s="149">
        <f t="shared" si="26"/>
        <v>-2.7940954963096853E-2</v>
      </c>
      <c r="W100" s="149">
        <f t="shared" si="27"/>
        <v>2.0235554501620425E-2</v>
      </c>
      <c r="X100" s="218">
        <f t="shared" si="28"/>
        <v>8.8668962565581159E-3</v>
      </c>
      <c r="Y100" s="219">
        <f t="shared" si="29"/>
        <v>256</v>
      </c>
    </row>
    <row r="101" spans="1:25" x14ac:dyDescent="0.25">
      <c r="A101" s="67" t="s">
        <v>233</v>
      </c>
      <c r="B101" s="20">
        <v>26259</v>
      </c>
      <c r="C101" s="20">
        <v>29175</v>
      </c>
      <c r="D101" s="20">
        <v>32315</v>
      </c>
      <c r="E101" s="20">
        <v>35849</v>
      </c>
      <c r="F101" s="20">
        <v>38145</v>
      </c>
      <c r="G101" s="20">
        <v>40414</v>
      </c>
      <c r="H101" s="20">
        <v>41822</v>
      </c>
      <c r="I101" s="20">
        <v>42277</v>
      </c>
      <c r="J101" s="20">
        <v>42727</v>
      </c>
      <c r="K101" s="20">
        <v>43601</v>
      </c>
      <c r="L101" s="20">
        <v>43899</v>
      </c>
      <c r="M101" s="32">
        <v>44821</v>
      </c>
      <c r="N101" s="20">
        <v>45051</v>
      </c>
      <c r="O101" s="20">
        <v>42658</v>
      </c>
      <c r="P101" s="20">
        <v>45565</v>
      </c>
      <c r="Q101" s="20">
        <v>45218</v>
      </c>
      <c r="R101" s="20">
        <v>45656</v>
      </c>
      <c r="S101" s="20">
        <v>46637</v>
      </c>
      <c r="T101" s="20">
        <v>47508</v>
      </c>
      <c r="U101" s="149">
        <f t="shared" si="25"/>
        <v>8.9608036512924011E-2</v>
      </c>
      <c r="V101" s="149">
        <f t="shared" si="26"/>
        <v>4.2642379018983871E-2</v>
      </c>
      <c r="W101" s="149">
        <f t="shared" si="27"/>
        <v>1.8676158414992389E-2</v>
      </c>
      <c r="X101" s="218">
        <f t="shared" si="28"/>
        <v>3.2637212935350039E-2</v>
      </c>
      <c r="Y101" s="219">
        <f t="shared" si="29"/>
        <v>871</v>
      </c>
    </row>
    <row r="102" spans="1:25" x14ac:dyDescent="0.25">
      <c r="A102" s="67" t="s">
        <v>234</v>
      </c>
      <c r="B102" s="20">
        <v>94265</v>
      </c>
      <c r="C102" s="20">
        <v>100977</v>
      </c>
      <c r="D102" s="20">
        <v>107378</v>
      </c>
      <c r="E102" s="20">
        <v>116170</v>
      </c>
      <c r="F102" s="20">
        <v>123107</v>
      </c>
      <c r="G102" s="20">
        <v>125397</v>
      </c>
      <c r="H102" s="20">
        <v>132435</v>
      </c>
      <c r="I102" s="20">
        <v>134303</v>
      </c>
      <c r="J102" s="20">
        <v>136046</v>
      </c>
      <c r="K102" s="20">
        <v>136793</v>
      </c>
      <c r="L102" s="20">
        <v>135137</v>
      </c>
      <c r="M102" s="32">
        <v>135286</v>
      </c>
      <c r="N102" s="20">
        <v>134749</v>
      </c>
      <c r="O102" s="20">
        <v>130117</v>
      </c>
      <c r="P102" s="20">
        <v>133976</v>
      </c>
      <c r="Q102" s="20">
        <v>131302</v>
      </c>
      <c r="R102" s="20">
        <v>131482</v>
      </c>
      <c r="S102" s="20">
        <v>132613</v>
      </c>
      <c r="T102" s="20">
        <v>135643</v>
      </c>
      <c r="U102" s="149">
        <f t="shared" si="25"/>
        <v>-8.4068629242724409E-3</v>
      </c>
      <c r="V102" s="149">
        <f t="shared" si="26"/>
        <v>1.2442527019764733E-2</v>
      </c>
      <c r="W102" s="149">
        <f t="shared" si="27"/>
        <v>2.284843869002285E-2</v>
      </c>
      <c r="X102" s="218">
        <f t="shared" si="28"/>
        <v>9.3184505224166159E-2</v>
      </c>
      <c r="Y102" s="219">
        <f t="shared" si="29"/>
        <v>3030</v>
      </c>
    </row>
    <row r="103" spans="1:25" x14ac:dyDescent="0.25">
      <c r="A103" s="67" t="s">
        <v>235</v>
      </c>
      <c r="B103" s="20">
        <v>381708</v>
      </c>
      <c r="C103" s="20">
        <v>392715</v>
      </c>
      <c r="D103" s="20">
        <v>422535</v>
      </c>
      <c r="E103" s="20">
        <v>470229</v>
      </c>
      <c r="F103" s="20">
        <v>506869</v>
      </c>
      <c r="G103" s="20">
        <v>535531</v>
      </c>
      <c r="H103" s="20">
        <v>559124</v>
      </c>
      <c r="I103" s="20">
        <v>582281</v>
      </c>
      <c r="J103" s="20">
        <v>590537</v>
      </c>
      <c r="K103" s="20">
        <v>598045</v>
      </c>
      <c r="L103" s="20">
        <v>598212</v>
      </c>
      <c r="M103" s="32">
        <v>607100</v>
      </c>
      <c r="N103" s="20">
        <v>613360</v>
      </c>
      <c r="O103" s="20">
        <v>587891</v>
      </c>
      <c r="P103" s="20">
        <v>643447</v>
      </c>
      <c r="Q103" s="20">
        <v>662600</v>
      </c>
      <c r="R103" s="20">
        <v>692639</v>
      </c>
      <c r="S103" s="20">
        <v>728436</v>
      </c>
      <c r="T103" s="20">
        <v>774986</v>
      </c>
      <c r="U103" s="149">
        <f t="shared" si="25"/>
        <v>0.29586569572523808</v>
      </c>
      <c r="V103" s="149">
        <f t="shared" si="26"/>
        <v>0.20442864758091964</v>
      </c>
      <c r="W103" s="149">
        <f t="shared" si="27"/>
        <v>6.3904035495225386E-2</v>
      </c>
      <c r="X103" s="218">
        <f t="shared" si="28"/>
        <v>0.53240260806422468</v>
      </c>
      <c r="Y103" s="219">
        <f t="shared" si="29"/>
        <v>46550</v>
      </c>
    </row>
    <row r="104" spans="1:25" x14ac:dyDescent="0.25">
      <c r="A104" s="91" t="s">
        <v>325</v>
      </c>
      <c r="B104" s="62">
        <v>11318</v>
      </c>
      <c r="C104" s="62">
        <v>11827</v>
      </c>
      <c r="D104" s="20">
        <v>15757</v>
      </c>
      <c r="E104" s="20">
        <v>18830</v>
      </c>
      <c r="F104" s="20">
        <v>21632</v>
      </c>
      <c r="G104" s="20">
        <v>25134</v>
      </c>
      <c r="H104" s="20">
        <v>26371</v>
      </c>
      <c r="I104" s="20">
        <v>28465</v>
      </c>
      <c r="J104" s="20">
        <v>28893</v>
      </c>
      <c r="K104" s="20">
        <v>28829</v>
      </c>
      <c r="L104" s="20">
        <v>28957</v>
      </c>
      <c r="M104" s="32">
        <v>28827</v>
      </c>
      <c r="N104" s="20">
        <v>28444</v>
      </c>
      <c r="O104" s="20">
        <v>27268</v>
      </c>
      <c r="P104" s="20">
        <v>27088</v>
      </c>
      <c r="Q104" s="20">
        <v>27308</v>
      </c>
      <c r="R104" s="20">
        <v>28640</v>
      </c>
      <c r="S104" s="20">
        <v>29641</v>
      </c>
      <c r="T104" s="20">
        <v>31269</v>
      </c>
      <c r="U104" s="149">
        <f t="shared" si="25"/>
        <v>8.4636997467827532E-2</v>
      </c>
      <c r="V104" s="149">
        <f t="shared" si="26"/>
        <v>0.15434878913171884</v>
      </c>
      <c r="W104" s="149">
        <f t="shared" si="27"/>
        <v>5.4923922944570019E-2</v>
      </c>
      <c r="X104" s="218">
        <f t="shared" si="28"/>
        <v>2.1481287599466627E-2</v>
      </c>
      <c r="Y104" s="219">
        <f t="shared" si="29"/>
        <v>1628</v>
      </c>
    </row>
    <row r="105" spans="1:25" x14ac:dyDescent="0.25">
      <c r="A105" s="67" t="s">
        <v>236</v>
      </c>
      <c r="B105" s="20">
        <v>29034</v>
      </c>
      <c r="C105" s="20">
        <v>34241</v>
      </c>
      <c r="D105" s="20">
        <v>38782</v>
      </c>
      <c r="E105" s="20">
        <v>43720</v>
      </c>
      <c r="F105" s="20">
        <v>54398</v>
      </c>
      <c r="G105" s="20">
        <v>58780</v>
      </c>
      <c r="H105" s="20">
        <v>61057</v>
      </c>
      <c r="I105" s="20">
        <v>51770</v>
      </c>
      <c r="J105" s="20">
        <v>52978</v>
      </c>
      <c r="K105" s="20">
        <v>55349</v>
      </c>
      <c r="L105" s="20">
        <v>55627</v>
      </c>
      <c r="M105" s="32">
        <v>57257</v>
      </c>
      <c r="N105" s="20">
        <v>58716</v>
      </c>
      <c r="O105" s="20">
        <v>58223</v>
      </c>
      <c r="P105" s="20">
        <v>59609</v>
      </c>
      <c r="Q105" s="20">
        <v>58255</v>
      </c>
      <c r="R105" s="20">
        <v>59312</v>
      </c>
      <c r="S105" s="20">
        <v>61037</v>
      </c>
      <c r="T105" s="20">
        <v>63245</v>
      </c>
      <c r="U105" s="149">
        <f t="shared" si="25"/>
        <v>0.14265840394587076</v>
      </c>
      <c r="V105" s="149">
        <f t="shared" si="26"/>
        <v>6.0997500377459782E-2</v>
      </c>
      <c r="W105" s="149">
        <f t="shared" si="27"/>
        <v>3.6174779232268951E-2</v>
      </c>
      <c r="X105" s="218">
        <f t="shared" si="28"/>
        <v>4.3448272545596814E-2</v>
      </c>
      <c r="Y105" s="219">
        <f t="shared" si="29"/>
        <v>2208</v>
      </c>
    </row>
    <row r="106" spans="1:25" x14ac:dyDescent="0.25">
      <c r="A106" s="75" t="s">
        <v>293</v>
      </c>
      <c r="B106" s="32">
        <v>14589</v>
      </c>
      <c r="C106" s="32">
        <v>14579</v>
      </c>
      <c r="D106" s="32">
        <v>16856</v>
      </c>
      <c r="E106" s="32">
        <v>19341</v>
      </c>
      <c r="F106" s="32">
        <v>21054</v>
      </c>
      <c r="G106" s="20">
        <v>22750</v>
      </c>
      <c r="H106" s="20">
        <v>23631</v>
      </c>
      <c r="I106" s="20">
        <v>24617</v>
      </c>
      <c r="J106" s="20">
        <v>25154</v>
      </c>
      <c r="K106" s="20">
        <v>24997</v>
      </c>
      <c r="L106" s="20">
        <v>24887</v>
      </c>
      <c r="M106" s="32">
        <v>24530</v>
      </c>
      <c r="N106" s="20">
        <v>23733</v>
      </c>
      <c r="O106" s="20">
        <v>22907</v>
      </c>
      <c r="P106" s="20">
        <v>22993</v>
      </c>
      <c r="Q106" s="20">
        <v>22453</v>
      </c>
      <c r="R106" s="20">
        <v>22963</v>
      </c>
      <c r="S106" s="20">
        <v>23615</v>
      </c>
      <c r="T106" s="20">
        <v>23608</v>
      </c>
      <c r="U106" s="149">
        <f t="shared" si="25"/>
        <v>-5.5566668000160017E-2</v>
      </c>
      <c r="V106" s="149">
        <f t="shared" si="26"/>
        <v>2.6747270908537381E-2</v>
      </c>
      <c r="W106" s="149">
        <f t="shared" si="27"/>
        <v>-2.9642176582680502E-4</v>
      </c>
      <c r="X106" s="218">
        <f t="shared" si="28"/>
        <v>1.6218306874163167E-2</v>
      </c>
      <c r="Y106" s="219">
        <f t="shared" si="29"/>
        <v>-7</v>
      </c>
    </row>
    <row r="107" spans="1:25" x14ac:dyDescent="0.25">
      <c r="A107" s="75" t="s">
        <v>242</v>
      </c>
      <c r="B107" s="32">
        <v>81988</v>
      </c>
      <c r="C107" s="32">
        <v>90756</v>
      </c>
      <c r="D107" s="32">
        <v>98528</v>
      </c>
      <c r="E107" s="32">
        <v>107115</v>
      </c>
      <c r="F107" s="32">
        <v>117511</v>
      </c>
      <c r="G107" s="20">
        <v>124331</v>
      </c>
      <c r="H107" s="20">
        <v>131784</v>
      </c>
      <c r="I107" s="20">
        <v>134728</v>
      </c>
      <c r="J107" s="20">
        <v>137240</v>
      </c>
      <c r="K107" s="20">
        <v>135760</v>
      </c>
      <c r="L107" s="20">
        <v>134774</v>
      </c>
      <c r="M107" s="32">
        <v>132690</v>
      </c>
      <c r="N107" s="20">
        <v>131574</v>
      </c>
      <c r="O107" s="20">
        <v>127743</v>
      </c>
      <c r="P107" s="20">
        <v>130787</v>
      </c>
      <c r="Q107" s="20">
        <v>130060</v>
      </c>
      <c r="R107" s="20">
        <v>131173</v>
      </c>
      <c r="S107" s="20">
        <v>132477</v>
      </c>
      <c r="T107" s="20">
        <v>133028</v>
      </c>
      <c r="U107" s="149">
        <f t="shared" si="25"/>
        <v>-2.0123747790218031E-2</v>
      </c>
      <c r="V107" s="149">
        <f t="shared" si="26"/>
        <v>1.7134730516029879E-2</v>
      </c>
      <c r="W107" s="149">
        <f t="shared" si="27"/>
        <v>4.1592125425545566E-3</v>
      </c>
      <c r="X107" s="218">
        <f t="shared" si="28"/>
        <v>9.1388043326676466E-2</v>
      </c>
      <c r="Y107" s="219">
        <f t="shared" si="29"/>
        <v>551</v>
      </c>
    </row>
    <row r="108" spans="1:25" x14ac:dyDescent="0.25">
      <c r="A108" s="67" t="s">
        <v>244</v>
      </c>
      <c r="B108" s="20">
        <v>33876</v>
      </c>
      <c r="C108" s="20">
        <v>34453</v>
      </c>
      <c r="D108" s="20">
        <v>38248</v>
      </c>
      <c r="E108" s="20">
        <v>42358</v>
      </c>
      <c r="F108" s="20">
        <v>46636</v>
      </c>
      <c r="G108" s="20">
        <v>50381</v>
      </c>
      <c r="H108" s="20">
        <v>53793</v>
      </c>
      <c r="I108" s="20">
        <v>56535</v>
      </c>
      <c r="J108" s="20">
        <v>57775</v>
      </c>
      <c r="K108" s="20">
        <v>60320</v>
      </c>
      <c r="L108" s="20">
        <v>61262</v>
      </c>
      <c r="M108" s="32">
        <v>60915</v>
      </c>
      <c r="N108" s="20">
        <v>60745</v>
      </c>
      <c r="O108" s="20">
        <v>58684</v>
      </c>
      <c r="P108" s="20">
        <v>61761</v>
      </c>
      <c r="Q108" s="20">
        <v>60920</v>
      </c>
      <c r="R108" s="20">
        <v>61262</v>
      </c>
      <c r="S108" s="20">
        <v>62494</v>
      </c>
      <c r="T108" s="20">
        <v>71511</v>
      </c>
      <c r="U108" s="149">
        <f t="shared" si="25"/>
        <v>0.18552718832891246</v>
      </c>
      <c r="V108" s="149">
        <f t="shared" si="26"/>
        <v>0.15786661485403411</v>
      </c>
      <c r="W108" s="149">
        <f t="shared" si="27"/>
        <v>0.14428585144173842</v>
      </c>
      <c r="X108" s="218">
        <f t="shared" si="28"/>
        <v>4.9126878298808976E-2</v>
      </c>
      <c r="Y108" s="219">
        <f t="shared" si="29"/>
        <v>9017</v>
      </c>
    </row>
    <row r="109" spans="1:25" x14ac:dyDescent="0.25">
      <c r="A109" s="67" t="s">
        <v>238</v>
      </c>
      <c r="B109" s="20">
        <v>14555</v>
      </c>
      <c r="C109" s="20">
        <v>14882</v>
      </c>
      <c r="D109" s="20">
        <v>16894</v>
      </c>
      <c r="E109" s="20">
        <v>17705</v>
      </c>
      <c r="F109" s="20">
        <v>19006</v>
      </c>
      <c r="G109" s="20">
        <v>20396</v>
      </c>
      <c r="H109" s="20">
        <v>21885</v>
      </c>
      <c r="I109" s="20">
        <v>22415</v>
      </c>
      <c r="J109" s="20">
        <v>22620</v>
      </c>
      <c r="K109" s="20">
        <v>23379</v>
      </c>
      <c r="L109" s="20">
        <v>24341</v>
      </c>
      <c r="M109" s="32">
        <v>26097</v>
      </c>
      <c r="N109" s="20">
        <v>26718</v>
      </c>
      <c r="O109" s="20">
        <v>26711</v>
      </c>
      <c r="P109" s="20">
        <v>27571</v>
      </c>
      <c r="Q109" s="20">
        <v>27969</v>
      </c>
      <c r="R109" s="20">
        <v>28868</v>
      </c>
      <c r="S109" s="20">
        <v>28879</v>
      </c>
      <c r="T109" s="20">
        <v>29318</v>
      </c>
      <c r="U109" s="149">
        <f t="shared" si="25"/>
        <v>0.25403139569699301</v>
      </c>
      <c r="V109" s="149">
        <f t="shared" si="26"/>
        <v>6.3363679228174527E-2</v>
      </c>
      <c r="W109" s="149">
        <f t="shared" si="27"/>
        <v>1.5201357387721182E-2</v>
      </c>
      <c r="X109" s="218">
        <f t="shared" si="28"/>
        <v>2.0140982757400703E-2</v>
      </c>
      <c r="Y109" s="219">
        <f t="shared" si="29"/>
        <v>439</v>
      </c>
    </row>
    <row r="110" spans="1:25" x14ac:dyDescent="0.25">
      <c r="A110" s="67" t="s">
        <v>239</v>
      </c>
      <c r="B110" s="20">
        <v>20658</v>
      </c>
      <c r="C110" s="20">
        <v>23517</v>
      </c>
      <c r="D110" s="20">
        <v>26701</v>
      </c>
      <c r="E110" s="20">
        <v>29562</v>
      </c>
      <c r="F110" s="20">
        <v>33109</v>
      </c>
      <c r="G110" s="20">
        <v>34618</v>
      </c>
      <c r="H110" s="20">
        <v>38038</v>
      </c>
      <c r="I110" s="20">
        <v>39883</v>
      </c>
      <c r="J110" s="20">
        <v>41982</v>
      </c>
      <c r="K110" s="20">
        <v>42889</v>
      </c>
      <c r="L110" s="20">
        <v>43156</v>
      </c>
      <c r="M110" s="32">
        <v>43752</v>
      </c>
      <c r="N110" s="20">
        <v>43520</v>
      </c>
      <c r="O110" s="20">
        <v>42124</v>
      </c>
      <c r="P110" s="20">
        <v>42101</v>
      </c>
      <c r="Q110" s="20">
        <v>42363</v>
      </c>
      <c r="R110" s="20">
        <v>43658</v>
      </c>
      <c r="S110" s="20">
        <v>44272</v>
      </c>
      <c r="T110" s="20">
        <v>46071</v>
      </c>
      <c r="U110" s="149">
        <f t="shared" si="25"/>
        <v>7.4191517638555346E-2</v>
      </c>
      <c r="V110" s="149">
        <f t="shared" si="26"/>
        <v>9.4297047576067078E-2</v>
      </c>
      <c r="W110" s="149">
        <f t="shared" si="27"/>
        <v>4.0635164438019518E-2</v>
      </c>
      <c r="X110" s="218">
        <f t="shared" si="28"/>
        <v>3.1650017621127215E-2</v>
      </c>
      <c r="Y110" s="219">
        <f t="shared" si="29"/>
        <v>1799</v>
      </c>
    </row>
    <row r="111" spans="1:25" x14ac:dyDescent="0.25">
      <c r="A111" s="67" t="s">
        <v>240</v>
      </c>
      <c r="B111" s="20">
        <v>867</v>
      </c>
      <c r="C111" s="20">
        <v>964</v>
      </c>
      <c r="D111" s="20">
        <v>1353</v>
      </c>
      <c r="E111" s="20">
        <v>1521</v>
      </c>
      <c r="F111" s="20">
        <v>1671</v>
      </c>
      <c r="G111" s="20">
        <v>1606</v>
      </c>
      <c r="H111" s="20">
        <v>1723</v>
      </c>
      <c r="I111" s="20">
        <v>1987</v>
      </c>
      <c r="J111" s="20">
        <v>2215</v>
      </c>
      <c r="K111" s="20">
        <v>2471</v>
      </c>
      <c r="L111" s="20">
        <v>2620</v>
      </c>
      <c r="M111" s="32">
        <v>2762</v>
      </c>
      <c r="N111" s="20">
        <v>2852</v>
      </c>
      <c r="O111" s="20">
        <v>2888</v>
      </c>
      <c r="P111" s="20">
        <v>2870</v>
      </c>
      <c r="Q111" s="20">
        <v>2565</v>
      </c>
      <c r="R111" s="20">
        <v>2476</v>
      </c>
      <c r="S111" s="20">
        <v>2309</v>
      </c>
      <c r="T111" s="20">
        <v>2799</v>
      </c>
      <c r="U111" s="149">
        <f t="shared" si="25"/>
        <v>0.13273978146499393</v>
      </c>
      <c r="V111" s="149">
        <f t="shared" si="26"/>
        <v>-2.4738675958188152E-2</v>
      </c>
      <c r="W111" s="149">
        <f t="shared" si="27"/>
        <v>0.21221307925508878</v>
      </c>
      <c r="X111" s="218">
        <f t="shared" si="28"/>
        <v>1.9228668646553164E-3</v>
      </c>
      <c r="Y111" s="219">
        <f t="shared" si="29"/>
        <v>490</v>
      </c>
    </row>
    <row r="112" spans="1:25" x14ac:dyDescent="0.25">
      <c r="A112" s="67" t="s">
        <v>241</v>
      </c>
      <c r="B112" s="20">
        <v>7596</v>
      </c>
      <c r="C112" s="20">
        <v>6790</v>
      </c>
      <c r="D112" s="20">
        <v>7082</v>
      </c>
      <c r="E112" s="20">
        <v>7652</v>
      </c>
      <c r="F112" s="20">
        <v>7578</v>
      </c>
      <c r="G112" s="20">
        <v>7263</v>
      </c>
      <c r="H112" s="20">
        <v>7425</v>
      </c>
      <c r="I112" s="20">
        <v>7588</v>
      </c>
      <c r="J112" s="20">
        <v>7910</v>
      </c>
      <c r="K112" s="20">
        <v>8047</v>
      </c>
      <c r="L112" s="20">
        <v>8002</v>
      </c>
      <c r="M112" s="32">
        <v>8000</v>
      </c>
      <c r="N112" s="20">
        <v>7789</v>
      </c>
      <c r="O112" s="20">
        <v>7034</v>
      </c>
      <c r="P112" s="20">
        <v>7186</v>
      </c>
      <c r="Q112" s="20">
        <v>6810</v>
      </c>
      <c r="R112" s="20">
        <v>7156</v>
      </c>
      <c r="S112" s="20">
        <v>7434</v>
      </c>
      <c r="T112" s="20">
        <v>7808</v>
      </c>
      <c r="U112" s="149">
        <f t="shared" si="25"/>
        <v>-2.9700509506648442E-2</v>
      </c>
      <c r="V112" s="149">
        <f t="shared" si="26"/>
        <v>8.6557194544948507E-2</v>
      </c>
      <c r="W112" s="149">
        <f t="shared" si="27"/>
        <v>5.0309389292440138E-2</v>
      </c>
      <c r="X112" s="218">
        <f t="shared" si="28"/>
        <v>5.3639673023325148E-3</v>
      </c>
      <c r="Y112" s="219">
        <f t="shared" si="29"/>
        <v>374</v>
      </c>
    </row>
    <row r="113" spans="1:25" x14ac:dyDescent="0.25">
      <c r="A113" s="71" t="s">
        <v>0</v>
      </c>
      <c r="B113" s="21">
        <v>776838</v>
      </c>
      <c r="C113" s="21">
        <v>819797</v>
      </c>
      <c r="D113" s="21">
        <v>891719</v>
      </c>
      <c r="E113" s="21">
        <v>985618</v>
      </c>
      <c r="F113" s="21">
        <v>1069099</v>
      </c>
      <c r="G113" s="21">
        <v>1126920</v>
      </c>
      <c r="H113" s="21">
        <v>1184371</v>
      </c>
      <c r="I113" s="21">
        <v>1215130</v>
      </c>
      <c r="J113" s="21">
        <v>1233043</v>
      </c>
      <c r="K113" s="21">
        <v>1247178</v>
      </c>
      <c r="L113" s="21">
        <v>1248293</v>
      </c>
      <c r="M113" s="90">
        <v>1262334</v>
      </c>
      <c r="N113" s="21">
        <v>1268483</v>
      </c>
      <c r="O113" s="21">
        <v>1220898</v>
      </c>
      <c r="P113" s="21">
        <v>1294701</v>
      </c>
      <c r="Q113" s="21">
        <v>1304147</v>
      </c>
      <c r="R113" s="21">
        <v>1341448</v>
      </c>
      <c r="S113" s="21">
        <v>1386099</v>
      </c>
      <c r="T113" s="21">
        <v>1455639</v>
      </c>
      <c r="U113" s="150">
        <f t="shared" si="25"/>
        <v>0.16714614914631271</v>
      </c>
      <c r="V113" s="150">
        <f t="shared" si="26"/>
        <v>0.12430514844740215</v>
      </c>
      <c r="W113" s="150">
        <f t="shared" si="27"/>
        <v>5.0169576631972176E-2</v>
      </c>
      <c r="X113" s="150">
        <f t="shared" si="28"/>
        <v>1</v>
      </c>
      <c r="Y113" s="221">
        <f t="shared" si="29"/>
        <v>69540</v>
      </c>
    </row>
    <row r="114" spans="1:25" x14ac:dyDescent="0.25">
      <c r="A114" s="109"/>
      <c r="B114" s="4"/>
      <c r="C114" s="4"/>
      <c r="D114" s="4"/>
      <c r="E114" s="4"/>
      <c r="F114" s="4"/>
      <c r="G114" s="4"/>
      <c r="H114" s="4"/>
      <c r="I114" s="4"/>
      <c r="J114" s="4"/>
      <c r="K114" s="4"/>
      <c r="L114" s="4"/>
      <c r="M114" s="4"/>
      <c r="N114" s="4"/>
      <c r="O114" s="4"/>
      <c r="P114" s="4"/>
      <c r="Q114" s="4"/>
      <c r="R114" s="4"/>
      <c r="S114" s="4"/>
      <c r="T114" s="4"/>
      <c r="U114" s="4"/>
      <c r="V114" s="4"/>
      <c r="W114" s="4"/>
      <c r="X114" s="4"/>
      <c r="Y114" s="4"/>
    </row>
    <row r="115" spans="1:25" ht="15.75" x14ac:dyDescent="0.25">
      <c r="A115" s="35" t="s">
        <v>492</v>
      </c>
      <c r="B115" s="22"/>
      <c r="C115" s="22"/>
      <c r="D115" s="22"/>
      <c r="E115" s="22"/>
      <c r="F115" s="22"/>
      <c r="G115" s="22"/>
      <c r="H115" s="17"/>
      <c r="I115" s="17"/>
      <c r="J115" s="17"/>
      <c r="K115" s="17"/>
      <c r="L115" s="17"/>
      <c r="M115" s="203"/>
      <c r="N115" s="17"/>
      <c r="O115" s="17"/>
      <c r="P115" s="17"/>
      <c r="Q115" s="17"/>
      <c r="R115" s="17"/>
      <c r="S115" s="17"/>
      <c r="T115" s="17"/>
      <c r="U115" s="17"/>
      <c r="V115" s="17"/>
      <c r="W115" s="17"/>
      <c r="X115" s="17"/>
      <c r="Y115" s="17"/>
    </row>
    <row r="116" spans="1:25" ht="29.25" customHeight="1" x14ac:dyDescent="0.25">
      <c r="A116" s="111" t="s">
        <v>44</v>
      </c>
      <c r="B116" s="105">
        <v>2007</v>
      </c>
      <c r="C116" s="105">
        <v>2008</v>
      </c>
      <c r="D116" s="105">
        <v>2009</v>
      </c>
      <c r="E116" s="105">
        <v>2010</v>
      </c>
      <c r="F116" s="105">
        <v>2011</v>
      </c>
      <c r="G116" s="105">
        <v>2012</v>
      </c>
      <c r="H116" s="105">
        <v>2013</v>
      </c>
      <c r="I116" s="105">
        <v>2014</v>
      </c>
      <c r="J116" s="105">
        <v>2015</v>
      </c>
      <c r="K116" s="105">
        <v>2016</v>
      </c>
      <c r="L116" s="105">
        <v>2017</v>
      </c>
      <c r="M116" s="132">
        <v>2018</v>
      </c>
      <c r="N116" s="105">
        <v>2019</v>
      </c>
      <c r="O116" s="105">
        <v>2020</v>
      </c>
      <c r="P116" s="105">
        <v>2021</v>
      </c>
      <c r="Q116" s="105">
        <v>2022</v>
      </c>
      <c r="R116" s="105">
        <v>2023</v>
      </c>
      <c r="S116" s="105">
        <v>2024</v>
      </c>
      <c r="T116" s="105">
        <v>2025</v>
      </c>
      <c r="U116" s="106" t="s">
        <v>546</v>
      </c>
      <c r="V116" s="106" t="s">
        <v>547</v>
      </c>
      <c r="W116" s="106" t="s">
        <v>548</v>
      </c>
      <c r="X116" s="106" t="s">
        <v>549</v>
      </c>
      <c r="Y116" s="216" t="s">
        <v>563</v>
      </c>
    </row>
    <row r="117" spans="1:25" x14ac:dyDescent="0.25">
      <c r="A117" s="67" t="s">
        <v>229</v>
      </c>
      <c r="B117" s="20">
        <v>12494</v>
      </c>
      <c r="C117" s="20">
        <v>13429</v>
      </c>
      <c r="D117" s="20">
        <v>13354</v>
      </c>
      <c r="E117" s="20">
        <v>14662</v>
      </c>
      <c r="F117" s="20">
        <v>14833</v>
      </c>
      <c r="G117" s="20">
        <v>15473</v>
      </c>
      <c r="H117" s="20">
        <v>16711</v>
      </c>
      <c r="I117" s="20">
        <v>17001</v>
      </c>
      <c r="J117" s="20">
        <v>16012</v>
      </c>
      <c r="K117" s="20">
        <v>16216</v>
      </c>
      <c r="L117" s="20">
        <v>16450</v>
      </c>
      <c r="M117" s="32">
        <v>17269</v>
      </c>
      <c r="N117" s="20">
        <v>17376</v>
      </c>
      <c r="O117" s="20">
        <v>16786</v>
      </c>
      <c r="P117" s="20">
        <v>17558</v>
      </c>
      <c r="Q117" s="20">
        <v>16910</v>
      </c>
      <c r="R117" s="20">
        <v>17149</v>
      </c>
      <c r="S117" s="20">
        <v>17364</v>
      </c>
      <c r="T117" s="20">
        <v>17540</v>
      </c>
      <c r="U117" s="149">
        <f t="shared" ref="U117:U133" si="30">(T117-K117)/K117</f>
        <v>8.164775530340404E-2</v>
      </c>
      <c r="V117" s="149">
        <f t="shared" ref="V117:V133" si="31">(T117-P117)/P117</f>
        <v>-1.0251737099897483E-3</v>
      </c>
      <c r="W117" s="149">
        <f t="shared" ref="W117:W133" si="32">(T117-S117)/S117</f>
        <v>1.0135913384012899E-2</v>
      </c>
      <c r="X117" s="218">
        <f>T117/T$133</f>
        <v>1.4460827152717548E-2</v>
      </c>
      <c r="Y117" s="219">
        <f t="shared" ref="Y117:Y133" si="33">T117-S117</f>
        <v>176</v>
      </c>
    </row>
    <row r="118" spans="1:25" x14ac:dyDescent="0.25">
      <c r="A118" s="67" t="s">
        <v>230</v>
      </c>
      <c r="B118" s="20">
        <v>12076</v>
      </c>
      <c r="C118" s="20">
        <v>13287</v>
      </c>
      <c r="D118" s="20">
        <v>14305</v>
      </c>
      <c r="E118" s="20">
        <v>15542</v>
      </c>
      <c r="F118" s="20">
        <v>15716</v>
      </c>
      <c r="G118" s="20">
        <v>15696</v>
      </c>
      <c r="H118" s="20">
        <v>16783</v>
      </c>
      <c r="I118" s="20">
        <v>17519</v>
      </c>
      <c r="J118" s="20">
        <v>18039</v>
      </c>
      <c r="K118" s="20">
        <v>17712</v>
      </c>
      <c r="L118" s="20">
        <v>17459</v>
      </c>
      <c r="M118" s="32">
        <v>18908</v>
      </c>
      <c r="N118" s="20">
        <v>19408</v>
      </c>
      <c r="O118" s="20">
        <v>18459</v>
      </c>
      <c r="P118" s="20">
        <v>19107</v>
      </c>
      <c r="Q118" s="20">
        <v>18365</v>
      </c>
      <c r="R118" s="20">
        <v>18788</v>
      </c>
      <c r="S118" s="20">
        <v>18991</v>
      </c>
      <c r="T118" s="20">
        <v>20225</v>
      </c>
      <c r="U118" s="149">
        <f t="shared" si="30"/>
        <v>0.14188121047877145</v>
      </c>
      <c r="V118" s="149">
        <f t="shared" si="31"/>
        <v>5.8512587009996335E-2</v>
      </c>
      <c r="W118" s="149">
        <f t="shared" si="32"/>
        <v>6.497814754357327E-2</v>
      </c>
      <c r="X118" s="218">
        <f t="shared" ref="X118:X133" si="34">T118/T$133</f>
        <v>1.6674471446049739E-2</v>
      </c>
      <c r="Y118" s="219">
        <f t="shared" si="33"/>
        <v>1234</v>
      </c>
    </row>
    <row r="119" spans="1:25" x14ac:dyDescent="0.25">
      <c r="A119" s="67" t="s">
        <v>231</v>
      </c>
      <c r="B119" s="20">
        <v>26771</v>
      </c>
      <c r="C119" s="20">
        <v>28344</v>
      </c>
      <c r="D119" s="20">
        <v>30871</v>
      </c>
      <c r="E119" s="20">
        <v>33578</v>
      </c>
      <c r="F119" s="20">
        <v>35018</v>
      </c>
      <c r="G119" s="20">
        <v>36712</v>
      </c>
      <c r="H119" s="20">
        <v>39718</v>
      </c>
      <c r="I119" s="20">
        <v>40028</v>
      </c>
      <c r="J119" s="20">
        <v>40748</v>
      </c>
      <c r="K119" s="20">
        <v>39895</v>
      </c>
      <c r="L119" s="20">
        <v>40253</v>
      </c>
      <c r="M119" s="32">
        <v>41051</v>
      </c>
      <c r="N119" s="20">
        <v>41038</v>
      </c>
      <c r="O119" s="20">
        <v>39034</v>
      </c>
      <c r="P119" s="20">
        <v>39595</v>
      </c>
      <c r="Q119" s="20">
        <v>38279</v>
      </c>
      <c r="R119" s="20">
        <v>37488</v>
      </c>
      <c r="S119" s="20">
        <v>37076</v>
      </c>
      <c r="T119" s="20">
        <v>37984</v>
      </c>
      <c r="U119" s="149">
        <f t="shared" si="30"/>
        <v>-4.7900739441032708E-2</v>
      </c>
      <c r="V119" s="149">
        <f t="shared" si="31"/>
        <v>-4.0686955423664607E-2</v>
      </c>
      <c r="W119" s="149">
        <f t="shared" si="32"/>
        <v>2.4490236271442443E-2</v>
      </c>
      <c r="X119" s="218">
        <f t="shared" si="34"/>
        <v>3.1315852826044661E-2</v>
      </c>
      <c r="Y119" s="219">
        <f t="shared" si="33"/>
        <v>908</v>
      </c>
    </row>
    <row r="120" spans="1:25" x14ac:dyDescent="0.25">
      <c r="A120" s="67" t="s">
        <v>232</v>
      </c>
      <c r="B120" s="20">
        <v>6828</v>
      </c>
      <c r="C120" s="20">
        <v>7797</v>
      </c>
      <c r="D120" s="20">
        <v>8205</v>
      </c>
      <c r="E120" s="20">
        <v>9108</v>
      </c>
      <c r="F120" s="20">
        <v>10282</v>
      </c>
      <c r="G120" s="20">
        <v>10724</v>
      </c>
      <c r="H120" s="20">
        <v>11074</v>
      </c>
      <c r="I120" s="20">
        <v>12009</v>
      </c>
      <c r="J120" s="20">
        <v>10521</v>
      </c>
      <c r="K120" s="20">
        <v>12128</v>
      </c>
      <c r="L120" s="20">
        <v>12554</v>
      </c>
      <c r="M120" s="32">
        <v>12745</v>
      </c>
      <c r="N120" s="20">
        <v>13084</v>
      </c>
      <c r="O120" s="20">
        <v>12089</v>
      </c>
      <c r="P120" s="20">
        <v>13278</v>
      </c>
      <c r="Q120" s="20">
        <v>12604</v>
      </c>
      <c r="R120" s="20">
        <v>12527</v>
      </c>
      <c r="S120" s="20">
        <v>12630</v>
      </c>
      <c r="T120" s="20">
        <v>12899</v>
      </c>
      <c r="U120" s="149">
        <f t="shared" si="30"/>
        <v>6.3571899736147755E-2</v>
      </c>
      <c r="V120" s="149">
        <f t="shared" si="31"/>
        <v>-2.8543455339659587E-2</v>
      </c>
      <c r="W120" s="149">
        <f t="shared" si="32"/>
        <v>2.1298495645288993E-2</v>
      </c>
      <c r="X120" s="218">
        <f t="shared" si="34"/>
        <v>1.0634561541784699E-2</v>
      </c>
      <c r="Y120" s="219">
        <f t="shared" si="33"/>
        <v>269</v>
      </c>
    </row>
    <row r="121" spans="1:25" x14ac:dyDescent="0.25">
      <c r="A121" s="67" t="s">
        <v>233</v>
      </c>
      <c r="B121" s="20">
        <v>26259</v>
      </c>
      <c r="C121" s="20">
        <v>29168</v>
      </c>
      <c r="D121" s="20">
        <v>32315</v>
      </c>
      <c r="E121" s="20">
        <v>35849</v>
      </c>
      <c r="F121" s="20">
        <v>38145</v>
      </c>
      <c r="G121" s="20">
        <v>40412</v>
      </c>
      <c r="H121" s="20">
        <v>41818</v>
      </c>
      <c r="I121" s="20">
        <v>42208</v>
      </c>
      <c r="J121" s="20">
        <v>42548</v>
      </c>
      <c r="K121" s="20">
        <v>43277</v>
      </c>
      <c r="L121" s="20">
        <v>43497</v>
      </c>
      <c r="M121" s="32">
        <v>44447</v>
      </c>
      <c r="N121" s="20">
        <v>44851</v>
      </c>
      <c r="O121" s="20">
        <v>42449</v>
      </c>
      <c r="P121" s="20">
        <v>45143</v>
      </c>
      <c r="Q121" s="20">
        <v>44864</v>
      </c>
      <c r="R121" s="20">
        <v>45324</v>
      </c>
      <c r="S121" s="20">
        <v>46496</v>
      </c>
      <c r="T121" s="20">
        <v>47456</v>
      </c>
      <c r="U121" s="149">
        <f t="shared" si="30"/>
        <v>9.6563994731612632E-2</v>
      </c>
      <c r="V121" s="149">
        <f t="shared" si="31"/>
        <v>5.1237179629178391E-2</v>
      </c>
      <c r="W121" s="149">
        <f t="shared" si="32"/>
        <v>2.0646937370956641E-2</v>
      </c>
      <c r="X121" s="218">
        <f t="shared" si="34"/>
        <v>3.912502926792269E-2</v>
      </c>
      <c r="Y121" s="219">
        <f t="shared" si="33"/>
        <v>960</v>
      </c>
    </row>
    <row r="122" spans="1:25" x14ac:dyDescent="0.25">
      <c r="A122" s="67" t="s">
        <v>234</v>
      </c>
      <c r="B122" s="20">
        <v>93008</v>
      </c>
      <c r="C122" s="20">
        <v>100018</v>
      </c>
      <c r="D122" s="20">
        <v>107087</v>
      </c>
      <c r="E122" s="20">
        <v>115745</v>
      </c>
      <c r="F122" s="20">
        <v>122695</v>
      </c>
      <c r="G122" s="20">
        <v>125065</v>
      </c>
      <c r="H122" s="20">
        <v>131524</v>
      </c>
      <c r="I122" s="20">
        <v>133359</v>
      </c>
      <c r="J122" s="20">
        <v>135263</v>
      </c>
      <c r="K122" s="20">
        <v>134951</v>
      </c>
      <c r="L122" s="20">
        <v>133943</v>
      </c>
      <c r="M122" s="32">
        <v>133975</v>
      </c>
      <c r="N122" s="20">
        <v>134369</v>
      </c>
      <c r="O122" s="20">
        <v>129658</v>
      </c>
      <c r="P122" s="20">
        <v>132912</v>
      </c>
      <c r="Q122" s="20">
        <v>129656</v>
      </c>
      <c r="R122" s="20">
        <v>129135</v>
      </c>
      <c r="S122" s="20">
        <v>128862</v>
      </c>
      <c r="T122" s="20">
        <v>130253</v>
      </c>
      <c r="U122" s="149">
        <f t="shared" si="30"/>
        <v>-3.4812635697401277E-2</v>
      </c>
      <c r="V122" s="149">
        <f t="shared" si="31"/>
        <v>-2.0005718069098351E-2</v>
      </c>
      <c r="W122" s="149">
        <f t="shared" si="32"/>
        <v>1.0794493333954153E-2</v>
      </c>
      <c r="X122" s="218">
        <f t="shared" si="34"/>
        <v>0.10738689390666584</v>
      </c>
      <c r="Y122" s="219">
        <f t="shared" si="33"/>
        <v>1391</v>
      </c>
    </row>
    <row r="123" spans="1:25" x14ac:dyDescent="0.25">
      <c r="A123" s="67" t="s">
        <v>235</v>
      </c>
      <c r="B123" s="20">
        <v>377556</v>
      </c>
      <c r="C123" s="20">
        <v>391609</v>
      </c>
      <c r="D123" s="20">
        <v>420962</v>
      </c>
      <c r="E123" s="20">
        <v>468078</v>
      </c>
      <c r="F123" s="20">
        <v>503775</v>
      </c>
      <c r="G123" s="20">
        <v>529159</v>
      </c>
      <c r="H123" s="20">
        <v>551562</v>
      </c>
      <c r="I123" s="20">
        <v>560984</v>
      </c>
      <c r="J123" s="20">
        <v>565299</v>
      </c>
      <c r="K123" s="20">
        <v>570874</v>
      </c>
      <c r="L123" s="20">
        <v>565715</v>
      </c>
      <c r="M123" s="32">
        <v>566505</v>
      </c>
      <c r="N123" s="20">
        <v>560279</v>
      </c>
      <c r="O123" s="20">
        <v>527220</v>
      </c>
      <c r="P123" s="20">
        <v>549650</v>
      </c>
      <c r="Q123" s="20">
        <v>536408</v>
      </c>
      <c r="R123" s="20">
        <v>537101</v>
      </c>
      <c r="S123" s="20">
        <v>540979</v>
      </c>
      <c r="T123" s="20">
        <v>551900</v>
      </c>
      <c r="U123" s="149">
        <f t="shared" si="30"/>
        <v>-3.3236756271961938E-2</v>
      </c>
      <c r="V123" s="149">
        <f t="shared" si="31"/>
        <v>4.0935140543982536E-3</v>
      </c>
      <c r="W123" s="149">
        <f t="shared" si="32"/>
        <v>2.0187474929710764E-2</v>
      </c>
      <c r="X123" s="218">
        <f t="shared" si="34"/>
        <v>0.45501314170951052</v>
      </c>
      <c r="Y123" s="219">
        <f t="shared" si="33"/>
        <v>10921</v>
      </c>
    </row>
    <row r="124" spans="1:25" x14ac:dyDescent="0.25">
      <c r="A124" s="91" t="s">
        <v>325</v>
      </c>
      <c r="B124" s="62">
        <v>11318</v>
      </c>
      <c r="C124" s="62">
        <v>11827</v>
      </c>
      <c r="D124" s="20">
        <v>15757</v>
      </c>
      <c r="E124" s="20">
        <v>18830</v>
      </c>
      <c r="F124" s="20">
        <v>21632</v>
      </c>
      <c r="G124" s="20">
        <v>25134</v>
      </c>
      <c r="H124" s="20">
        <v>26367</v>
      </c>
      <c r="I124" s="20">
        <v>28434</v>
      </c>
      <c r="J124" s="20">
        <v>28840</v>
      </c>
      <c r="K124" s="20">
        <v>28718</v>
      </c>
      <c r="L124" s="20">
        <v>28842</v>
      </c>
      <c r="M124" s="32">
        <v>28661</v>
      </c>
      <c r="N124" s="20">
        <v>28295</v>
      </c>
      <c r="O124" s="20">
        <v>27128</v>
      </c>
      <c r="P124" s="20">
        <v>26868</v>
      </c>
      <c r="Q124" s="20">
        <v>27109</v>
      </c>
      <c r="R124" s="20">
        <v>28463</v>
      </c>
      <c r="S124" s="20">
        <v>29544</v>
      </c>
      <c r="T124" s="20">
        <v>31249</v>
      </c>
      <c r="U124" s="149">
        <f t="shared" si="30"/>
        <v>8.8132878334145834E-2</v>
      </c>
      <c r="V124" s="149">
        <f t="shared" si="31"/>
        <v>0.16305642399880899</v>
      </c>
      <c r="W124" s="149">
        <f t="shared" si="32"/>
        <v>5.771053344164636E-2</v>
      </c>
      <c r="X124" s="218">
        <f t="shared" si="34"/>
        <v>2.5763192000870617E-2</v>
      </c>
      <c r="Y124" s="219">
        <f t="shared" si="33"/>
        <v>1705</v>
      </c>
    </row>
    <row r="125" spans="1:25" x14ac:dyDescent="0.25">
      <c r="A125" s="67" t="s">
        <v>236</v>
      </c>
      <c r="B125" s="20">
        <v>28982</v>
      </c>
      <c r="C125" s="20">
        <v>31690</v>
      </c>
      <c r="D125" s="20">
        <v>37150</v>
      </c>
      <c r="E125" s="20">
        <v>41483</v>
      </c>
      <c r="F125" s="20">
        <v>44486</v>
      </c>
      <c r="G125" s="20">
        <v>47500</v>
      </c>
      <c r="H125" s="20">
        <v>50296</v>
      </c>
      <c r="I125" s="20">
        <v>51496</v>
      </c>
      <c r="J125" s="20">
        <v>52679</v>
      </c>
      <c r="K125" s="20">
        <v>55132</v>
      </c>
      <c r="L125" s="20">
        <v>55067</v>
      </c>
      <c r="M125" s="32">
        <v>57061</v>
      </c>
      <c r="N125" s="20">
        <v>58688</v>
      </c>
      <c r="O125" s="20">
        <v>58221</v>
      </c>
      <c r="P125" s="20">
        <v>59444</v>
      </c>
      <c r="Q125" s="20">
        <v>58151</v>
      </c>
      <c r="R125" s="20">
        <v>59246</v>
      </c>
      <c r="S125" s="20">
        <v>60722</v>
      </c>
      <c r="T125" s="20">
        <v>63083</v>
      </c>
      <c r="U125" s="149">
        <f t="shared" si="30"/>
        <v>0.14421751432924618</v>
      </c>
      <c r="V125" s="149">
        <f t="shared" si="31"/>
        <v>6.1217280129197228E-2</v>
      </c>
      <c r="W125" s="149">
        <f t="shared" si="32"/>
        <v>3.8882118507295546E-2</v>
      </c>
      <c r="X125" s="218">
        <f t="shared" si="34"/>
        <v>5.2008686389673944E-2</v>
      </c>
      <c r="Y125" s="219">
        <f t="shared" si="33"/>
        <v>2361</v>
      </c>
    </row>
    <row r="126" spans="1:25" x14ac:dyDescent="0.25">
      <c r="A126" s="75" t="s">
        <v>293</v>
      </c>
      <c r="B126" s="32">
        <v>14589</v>
      </c>
      <c r="C126" s="32">
        <v>14555</v>
      </c>
      <c r="D126" s="32">
        <v>16797</v>
      </c>
      <c r="E126" s="32">
        <v>19210</v>
      </c>
      <c r="F126" s="32">
        <v>21007</v>
      </c>
      <c r="G126" s="20">
        <v>22699</v>
      </c>
      <c r="H126" s="20">
        <v>23588</v>
      </c>
      <c r="I126" s="20">
        <v>24559</v>
      </c>
      <c r="J126" s="20">
        <v>25077</v>
      </c>
      <c r="K126" s="20">
        <v>24845</v>
      </c>
      <c r="L126" s="20">
        <v>24706</v>
      </c>
      <c r="M126" s="32">
        <v>24289</v>
      </c>
      <c r="N126" s="20">
        <v>23512</v>
      </c>
      <c r="O126" s="20">
        <v>22730</v>
      </c>
      <c r="P126" s="20">
        <v>22726</v>
      </c>
      <c r="Q126" s="20">
        <v>22077</v>
      </c>
      <c r="R126" s="20">
        <v>22594</v>
      </c>
      <c r="S126" s="20">
        <v>23187</v>
      </c>
      <c r="T126" s="20">
        <v>23225</v>
      </c>
      <c r="U126" s="149">
        <f t="shared" si="30"/>
        <v>-6.5204266452002418E-2</v>
      </c>
      <c r="V126" s="149">
        <f t="shared" si="31"/>
        <v>2.195722960485787E-2</v>
      </c>
      <c r="W126" s="149">
        <f t="shared" si="32"/>
        <v>1.6388493552421616E-3</v>
      </c>
      <c r="X126" s="218">
        <f t="shared" si="34"/>
        <v>1.914781702519185E-2</v>
      </c>
      <c r="Y126" s="219">
        <f t="shared" si="33"/>
        <v>38</v>
      </c>
    </row>
    <row r="127" spans="1:25" x14ac:dyDescent="0.25">
      <c r="A127" s="75" t="s">
        <v>242</v>
      </c>
      <c r="B127" s="32">
        <v>81377</v>
      </c>
      <c r="C127" s="32">
        <v>90631</v>
      </c>
      <c r="D127" s="32">
        <v>98318</v>
      </c>
      <c r="E127" s="32">
        <v>106952</v>
      </c>
      <c r="F127" s="32">
        <v>117258</v>
      </c>
      <c r="G127" s="20">
        <v>124092</v>
      </c>
      <c r="H127" s="20">
        <v>131180</v>
      </c>
      <c r="I127" s="20">
        <v>133538</v>
      </c>
      <c r="J127" s="20">
        <v>135805</v>
      </c>
      <c r="K127" s="20">
        <v>134448</v>
      </c>
      <c r="L127" s="20">
        <v>133848</v>
      </c>
      <c r="M127" s="32">
        <v>131386</v>
      </c>
      <c r="N127" s="20">
        <v>130238</v>
      </c>
      <c r="O127" s="20">
        <v>126514</v>
      </c>
      <c r="P127" s="20">
        <v>129319</v>
      </c>
      <c r="Q127" s="20">
        <v>127565</v>
      </c>
      <c r="R127" s="20">
        <v>128212</v>
      </c>
      <c r="S127" s="20">
        <v>129057</v>
      </c>
      <c r="T127" s="20">
        <v>130056</v>
      </c>
      <c r="U127" s="149">
        <f t="shared" si="30"/>
        <v>-3.2666904676901108E-2</v>
      </c>
      <c r="V127" s="149">
        <f t="shared" si="31"/>
        <v>5.6990852078967515E-3</v>
      </c>
      <c r="W127" s="149">
        <f t="shared" si="32"/>
        <v>7.7407657081754577E-3</v>
      </c>
      <c r="X127" s="218">
        <f t="shared" si="34"/>
        <v>0.10722447754696883</v>
      </c>
      <c r="Y127" s="219">
        <f t="shared" si="33"/>
        <v>999</v>
      </c>
    </row>
    <row r="128" spans="1:25" x14ac:dyDescent="0.25">
      <c r="A128" s="67" t="s">
        <v>244</v>
      </c>
      <c r="B128" s="20">
        <v>33859</v>
      </c>
      <c r="C128" s="20">
        <v>34444</v>
      </c>
      <c r="D128" s="20">
        <v>38247</v>
      </c>
      <c r="E128" s="20">
        <v>42358</v>
      </c>
      <c r="F128" s="20">
        <v>46636</v>
      </c>
      <c r="G128" s="20">
        <v>50381</v>
      </c>
      <c r="H128" s="20">
        <v>53791</v>
      </c>
      <c r="I128" s="20">
        <v>56443</v>
      </c>
      <c r="J128" s="20">
        <v>57388</v>
      </c>
      <c r="K128" s="20">
        <v>59938</v>
      </c>
      <c r="L128" s="20">
        <v>60457</v>
      </c>
      <c r="M128" s="32">
        <v>60337</v>
      </c>
      <c r="N128" s="20">
        <v>60558</v>
      </c>
      <c r="O128" s="20">
        <v>58420</v>
      </c>
      <c r="P128" s="20">
        <v>60746</v>
      </c>
      <c r="Q128" s="20">
        <v>59217</v>
      </c>
      <c r="R128" s="20">
        <v>58979</v>
      </c>
      <c r="S128" s="20">
        <v>59694</v>
      </c>
      <c r="T128" s="20">
        <v>61212</v>
      </c>
      <c r="U128" s="149">
        <f t="shared" si="30"/>
        <v>2.1255297140378392E-2</v>
      </c>
      <c r="V128" s="149">
        <f t="shared" si="31"/>
        <v>7.6712869983208767E-3</v>
      </c>
      <c r="W128" s="149">
        <f t="shared" si="32"/>
        <v>2.5429691426273996E-2</v>
      </c>
      <c r="X128" s="218">
        <f t="shared" si="34"/>
        <v>5.0466143196815652E-2</v>
      </c>
      <c r="Y128" s="219">
        <f t="shared" si="33"/>
        <v>1518</v>
      </c>
    </row>
    <row r="129" spans="1:25" x14ac:dyDescent="0.25">
      <c r="A129" s="67" t="s">
        <v>238</v>
      </c>
      <c r="B129" s="20">
        <v>14555</v>
      </c>
      <c r="C129" s="20">
        <v>14882</v>
      </c>
      <c r="D129" s="20">
        <v>16894</v>
      </c>
      <c r="E129" s="20">
        <v>17705</v>
      </c>
      <c r="F129" s="20">
        <v>19006</v>
      </c>
      <c r="G129" s="20">
        <v>20396</v>
      </c>
      <c r="H129" s="20">
        <v>21879</v>
      </c>
      <c r="I129" s="20">
        <v>22415</v>
      </c>
      <c r="J129" s="20">
        <v>22620</v>
      </c>
      <c r="K129" s="20">
        <v>23348</v>
      </c>
      <c r="L129" s="20">
        <v>24341</v>
      </c>
      <c r="M129" s="32">
        <v>26069</v>
      </c>
      <c r="N129" s="20">
        <v>26698</v>
      </c>
      <c r="O129" s="20">
        <v>26698</v>
      </c>
      <c r="P129" s="20">
        <v>27534</v>
      </c>
      <c r="Q129" s="20">
        <v>27863</v>
      </c>
      <c r="R129" s="20">
        <v>28713</v>
      </c>
      <c r="S129" s="20">
        <v>28750</v>
      </c>
      <c r="T129" s="20">
        <v>29282</v>
      </c>
      <c r="U129" s="149">
        <f t="shared" si="30"/>
        <v>0.2541545314373822</v>
      </c>
      <c r="V129" s="149">
        <f t="shared" si="31"/>
        <v>6.3485145638120147E-2</v>
      </c>
      <c r="W129" s="149">
        <f t="shared" si="32"/>
        <v>1.8504347826086957E-2</v>
      </c>
      <c r="X129" s="218">
        <f t="shared" si="34"/>
        <v>2.4141501749479773E-2</v>
      </c>
      <c r="Y129" s="219">
        <f t="shared" si="33"/>
        <v>532</v>
      </c>
    </row>
    <row r="130" spans="1:25" x14ac:dyDescent="0.25">
      <c r="A130" s="67" t="s">
        <v>239</v>
      </c>
      <c r="B130" s="20">
        <v>20658</v>
      </c>
      <c r="C130" s="20">
        <v>23517</v>
      </c>
      <c r="D130" s="20">
        <v>26701</v>
      </c>
      <c r="E130" s="20">
        <v>29473</v>
      </c>
      <c r="F130" s="20">
        <v>32980</v>
      </c>
      <c r="G130" s="20">
        <v>34499</v>
      </c>
      <c r="H130" s="20">
        <v>37887</v>
      </c>
      <c r="I130" s="20">
        <v>39730</v>
      </c>
      <c r="J130" s="20">
        <v>41800</v>
      </c>
      <c r="K130" s="20">
        <v>42734</v>
      </c>
      <c r="L130" s="20">
        <v>43024</v>
      </c>
      <c r="M130" s="32">
        <v>43648</v>
      </c>
      <c r="N130" s="20">
        <v>43456</v>
      </c>
      <c r="O130" s="20">
        <v>42087</v>
      </c>
      <c r="P130" s="20">
        <v>42041</v>
      </c>
      <c r="Q130" s="20">
        <v>42159</v>
      </c>
      <c r="R130" s="20">
        <v>43515</v>
      </c>
      <c r="S130" s="20">
        <v>44211</v>
      </c>
      <c r="T130" s="20">
        <v>45980</v>
      </c>
      <c r="U130" s="149">
        <f t="shared" si="30"/>
        <v>7.5958253381382512E-2</v>
      </c>
      <c r="V130" s="149">
        <f t="shared" si="31"/>
        <v>9.3694250850360358E-2</v>
      </c>
      <c r="W130" s="149">
        <f t="shared" si="32"/>
        <v>4.0012666530953832E-2</v>
      </c>
      <c r="X130" s="218">
        <f t="shared" si="34"/>
        <v>3.790814324298477E-2</v>
      </c>
      <c r="Y130" s="219">
        <f t="shared" si="33"/>
        <v>1769</v>
      </c>
    </row>
    <row r="131" spans="1:25" x14ac:dyDescent="0.25">
      <c r="A131" s="67" t="s">
        <v>240</v>
      </c>
      <c r="B131" s="20">
        <v>867</v>
      </c>
      <c r="C131" s="20">
        <v>964</v>
      </c>
      <c r="D131" s="20">
        <v>1353</v>
      </c>
      <c r="E131" s="20">
        <v>1521</v>
      </c>
      <c r="F131" s="20">
        <v>1671</v>
      </c>
      <c r="G131" s="20">
        <v>1606</v>
      </c>
      <c r="H131" s="20">
        <v>1721</v>
      </c>
      <c r="I131" s="20">
        <v>1987</v>
      </c>
      <c r="J131" s="20">
        <v>2215</v>
      </c>
      <c r="K131" s="20">
        <v>2471</v>
      </c>
      <c r="L131" s="20">
        <v>2620</v>
      </c>
      <c r="M131" s="32">
        <v>2762</v>
      </c>
      <c r="N131" s="20">
        <v>2852</v>
      </c>
      <c r="O131" s="20">
        <v>2888</v>
      </c>
      <c r="P131" s="20">
        <v>2870</v>
      </c>
      <c r="Q131" s="20">
        <v>2560</v>
      </c>
      <c r="R131" s="20">
        <v>2476</v>
      </c>
      <c r="S131" s="20">
        <v>2304</v>
      </c>
      <c r="T131" s="20">
        <v>2795</v>
      </c>
      <c r="U131" s="149">
        <f t="shared" si="30"/>
        <v>0.1311210036422501</v>
      </c>
      <c r="V131" s="149">
        <f t="shared" si="31"/>
        <v>-2.6132404181184669E-2</v>
      </c>
      <c r="W131" s="149">
        <f t="shared" si="32"/>
        <v>0.2131076388888889</v>
      </c>
      <c r="X131" s="218">
        <f t="shared" si="34"/>
        <v>2.3043336312340676E-3</v>
      </c>
      <c r="Y131" s="219">
        <f t="shared" si="33"/>
        <v>491</v>
      </c>
    </row>
    <row r="132" spans="1:25" x14ac:dyDescent="0.25">
      <c r="A132" s="67" t="s">
        <v>241</v>
      </c>
      <c r="B132" s="20">
        <v>7596</v>
      </c>
      <c r="C132" s="20">
        <v>6789</v>
      </c>
      <c r="D132" s="20">
        <v>7080</v>
      </c>
      <c r="E132" s="20">
        <v>7629</v>
      </c>
      <c r="F132" s="20">
        <v>7546</v>
      </c>
      <c r="G132" s="20">
        <v>7249</v>
      </c>
      <c r="H132" s="20">
        <v>7422</v>
      </c>
      <c r="I132" s="20">
        <v>7588</v>
      </c>
      <c r="J132" s="20">
        <v>7906</v>
      </c>
      <c r="K132" s="20">
        <v>8047</v>
      </c>
      <c r="L132" s="20">
        <v>8002</v>
      </c>
      <c r="M132" s="32">
        <v>8000</v>
      </c>
      <c r="N132" s="20">
        <v>7789</v>
      </c>
      <c r="O132" s="20">
        <v>7034</v>
      </c>
      <c r="P132" s="20">
        <v>7186</v>
      </c>
      <c r="Q132" s="20">
        <v>6809</v>
      </c>
      <c r="R132" s="20">
        <v>7154</v>
      </c>
      <c r="S132" s="20">
        <v>7402</v>
      </c>
      <c r="T132" s="20">
        <v>7793</v>
      </c>
      <c r="U132" s="149">
        <f t="shared" si="30"/>
        <v>-3.1564558220454828E-2</v>
      </c>
      <c r="V132" s="149">
        <f t="shared" si="31"/>
        <v>8.4469802393543E-2</v>
      </c>
      <c r="W132" s="149">
        <f t="shared" si="32"/>
        <v>5.282356119967576E-2</v>
      </c>
      <c r="X132" s="218">
        <f t="shared" si="34"/>
        <v>6.4249273660848261E-3</v>
      </c>
      <c r="Y132" s="219">
        <f t="shared" si="33"/>
        <v>391</v>
      </c>
    </row>
    <row r="133" spans="1:25" x14ac:dyDescent="0.25">
      <c r="A133" s="71" t="s">
        <v>0</v>
      </c>
      <c r="B133" s="21">
        <v>768793</v>
      </c>
      <c r="C133" s="21">
        <v>812951</v>
      </c>
      <c r="D133" s="21">
        <v>885396</v>
      </c>
      <c r="E133" s="21">
        <v>977723</v>
      </c>
      <c r="F133" s="21">
        <v>1052686</v>
      </c>
      <c r="G133" s="21">
        <v>1106797</v>
      </c>
      <c r="H133" s="21">
        <v>1163321</v>
      </c>
      <c r="I133" s="21">
        <v>1189298</v>
      </c>
      <c r="J133" s="21">
        <v>1202760</v>
      </c>
      <c r="K133" s="21">
        <v>1214734</v>
      </c>
      <c r="L133" s="21">
        <v>1210778</v>
      </c>
      <c r="M133" s="90">
        <v>1217113</v>
      </c>
      <c r="N133" s="21">
        <v>1212491</v>
      </c>
      <c r="O133" s="21">
        <v>1157415</v>
      </c>
      <c r="P133" s="21">
        <v>1195977</v>
      </c>
      <c r="Q133" s="21">
        <v>1170596</v>
      </c>
      <c r="R133" s="21">
        <v>1176864</v>
      </c>
      <c r="S133" s="21">
        <v>1187269</v>
      </c>
      <c r="T133" s="21">
        <v>1212932</v>
      </c>
      <c r="U133" s="150">
        <f t="shared" si="30"/>
        <v>-1.4834523442992457E-3</v>
      </c>
      <c r="V133" s="150">
        <f t="shared" si="31"/>
        <v>1.4176694033413687E-2</v>
      </c>
      <c r="W133" s="150">
        <f t="shared" si="32"/>
        <v>2.1615152084321246E-2</v>
      </c>
      <c r="X133" s="150">
        <f t="shared" si="34"/>
        <v>1</v>
      </c>
      <c r="Y133" s="221">
        <f t="shared" si="33"/>
        <v>25663</v>
      </c>
    </row>
    <row r="134" spans="1:25" x14ac:dyDescent="0.25">
      <c r="A134" s="109"/>
      <c r="B134" s="4"/>
      <c r="C134" s="4"/>
      <c r="D134" s="4"/>
      <c r="E134" s="4"/>
      <c r="F134" s="4"/>
      <c r="G134" s="4"/>
      <c r="H134" s="4"/>
      <c r="I134" s="4"/>
      <c r="J134" s="4"/>
      <c r="K134" s="4"/>
      <c r="L134" s="4"/>
      <c r="M134" s="4"/>
      <c r="N134" s="4"/>
      <c r="O134" s="4"/>
      <c r="P134" s="4"/>
      <c r="Q134" s="4"/>
      <c r="R134" s="4"/>
      <c r="S134" s="4"/>
      <c r="T134" s="4"/>
      <c r="U134" s="4"/>
      <c r="V134" s="4"/>
      <c r="W134" s="4"/>
      <c r="X134" s="4"/>
      <c r="Y134" s="4"/>
    </row>
    <row r="135" spans="1:25" x14ac:dyDescent="0.25">
      <c r="A135" s="109"/>
      <c r="B135" s="4"/>
      <c r="C135" s="4"/>
      <c r="D135" s="4"/>
      <c r="E135" s="4"/>
      <c r="F135" s="4"/>
      <c r="G135" s="4"/>
      <c r="H135" s="4"/>
      <c r="I135" s="4"/>
      <c r="J135" s="4"/>
      <c r="K135" s="4"/>
      <c r="L135" s="4"/>
      <c r="M135" s="4"/>
      <c r="N135" s="4"/>
      <c r="O135" s="4"/>
      <c r="P135" s="4"/>
      <c r="Q135" s="4"/>
      <c r="R135" s="4"/>
      <c r="S135" s="4"/>
      <c r="T135" s="4"/>
      <c r="U135" s="4"/>
      <c r="V135" s="4"/>
      <c r="W135" s="4"/>
      <c r="X135" s="4"/>
      <c r="Y135" s="4"/>
    </row>
    <row r="136" spans="1:25" x14ac:dyDescent="0.25">
      <c r="A136" s="117" t="s">
        <v>254</v>
      </c>
      <c r="B136" s="83"/>
      <c r="C136" s="83"/>
      <c r="D136" s="17"/>
      <c r="E136" s="17"/>
      <c r="F136" s="17"/>
      <c r="G136" s="17"/>
      <c r="H136" s="17"/>
      <c r="I136" s="17"/>
      <c r="J136" s="17"/>
      <c r="K136" s="17"/>
      <c r="L136" s="17"/>
      <c r="M136" s="203"/>
      <c r="N136" s="17"/>
      <c r="O136" s="17"/>
      <c r="P136" s="17"/>
      <c r="Q136" s="17"/>
      <c r="R136" s="17"/>
      <c r="S136" s="17"/>
      <c r="T136" s="17"/>
      <c r="U136" s="17"/>
      <c r="V136" s="17"/>
      <c r="W136" s="17"/>
      <c r="X136" s="4"/>
      <c r="Y136" s="4"/>
    </row>
    <row r="137" spans="1:25" x14ac:dyDescent="0.25">
      <c r="A137" s="118" t="s">
        <v>243</v>
      </c>
      <c r="B137" s="23"/>
      <c r="C137" s="23"/>
      <c r="D137" s="23"/>
      <c r="E137" s="23"/>
      <c r="F137" s="23"/>
      <c r="G137" s="23"/>
      <c r="H137" s="17"/>
      <c r="I137" s="17"/>
      <c r="J137" s="17"/>
      <c r="K137" s="17"/>
      <c r="L137" s="17"/>
      <c r="M137" s="203"/>
      <c r="N137" s="17"/>
      <c r="O137" s="14"/>
      <c r="P137" s="14"/>
      <c r="Q137" s="14"/>
      <c r="R137" s="14"/>
      <c r="S137" s="14"/>
      <c r="T137" s="14"/>
      <c r="U137" s="14"/>
      <c r="V137" s="14"/>
      <c r="W137" s="14"/>
      <c r="X137" s="4"/>
      <c r="Y137" s="4"/>
    </row>
    <row r="138" spans="1:25" x14ac:dyDescent="0.25">
      <c r="A138" s="109"/>
      <c r="B138" s="4"/>
      <c r="C138" s="4"/>
      <c r="D138" s="4"/>
      <c r="E138" s="4"/>
      <c r="F138" s="4"/>
      <c r="G138" s="4"/>
      <c r="H138" s="4"/>
      <c r="I138" s="4"/>
      <c r="J138" s="4"/>
      <c r="K138" s="4"/>
      <c r="L138" s="4"/>
      <c r="M138" s="4"/>
      <c r="N138" s="4"/>
      <c r="O138" s="5"/>
      <c r="P138" s="5"/>
      <c r="Q138" s="5"/>
      <c r="R138" s="5"/>
      <c r="S138" s="5"/>
      <c r="T138" s="5"/>
      <c r="U138" s="5"/>
      <c r="V138" s="5"/>
      <c r="W138" s="5"/>
      <c r="X138" s="4"/>
      <c r="Y138" s="4"/>
    </row>
    <row r="139" spans="1:25" x14ac:dyDescent="0.25">
      <c r="A139" s="109"/>
      <c r="B139" s="4"/>
      <c r="C139" s="4"/>
      <c r="D139" s="4"/>
      <c r="E139" s="4"/>
      <c r="F139" s="4"/>
      <c r="G139" s="4"/>
      <c r="H139" s="4"/>
      <c r="I139" s="4"/>
      <c r="J139" s="4"/>
      <c r="K139" s="4"/>
      <c r="L139" s="4"/>
      <c r="M139" s="4"/>
      <c r="N139" s="4"/>
      <c r="O139" s="5"/>
      <c r="P139" s="5"/>
      <c r="Q139" s="5"/>
      <c r="R139" s="5"/>
      <c r="S139" s="5"/>
      <c r="T139" s="5"/>
      <c r="U139" s="5"/>
      <c r="V139" s="5"/>
      <c r="W139" s="5"/>
      <c r="X139" s="4"/>
      <c r="Y139" s="4"/>
    </row>
    <row r="140" spans="1:25" x14ac:dyDescent="0.25">
      <c r="A140" s="109"/>
      <c r="B140" s="4"/>
      <c r="C140" s="4"/>
      <c r="D140" s="4"/>
      <c r="E140" s="4"/>
      <c r="F140" s="4"/>
      <c r="G140" s="4"/>
      <c r="H140" s="4"/>
      <c r="I140" s="4"/>
      <c r="J140" s="4"/>
      <c r="K140" s="4"/>
      <c r="L140" s="4"/>
      <c r="M140" s="4"/>
      <c r="N140" s="4"/>
      <c r="O140" s="5"/>
      <c r="P140" s="5"/>
      <c r="Q140" s="5"/>
      <c r="R140" s="5"/>
      <c r="S140" s="5"/>
      <c r="T140" s="5"/>
      <c r="U140" s="5"/>
      <c r="V140" s="5"/>
      <c r="W140" s="5"/>
      <c r="X140" s="4"/>
      <c r="Y140" s="4"/>
    </row>
    <row r="141" spans="1:25" x14ac:dyDescent="0.25">
      <c r="A141" s="109"/>
      <c r="B141" s="4"/>
      <c r="C141" s="4"/>
      <c r="D141" s="4"/>
      <c r="E141" s="4"/>
      <c r="F141" s="4"/>
      <c r="G141" s="4"/>
      <c r="H141" s="4"/>
      <c r="I141" s="4"/>
      <c r="J141" s="4"/>
      <c r="K141" s="4"/>
      <c r="L141" s="4"/>
      <c r="M141" s="4"/>
      <c r="N141" s="4"/>
      <c r="O141" s="14"/>
      <c r="P141" s="14"/>
      <c r="Q141" s="14"/>
      <c r="R141" s="14"/>
      <c r="S141" s="14"/>
      <c r="T141" s="14"/>
      <c r="U141" s="14"/>
      <c r="V141" s="14"/>
      <c r="W141" s="14"/>
      <c r="X141" s="4"/>
      <c r="Y141" s="4"/>
    </row>
    <row r="142" spans="1:25" x14ac:dyDescent="0.25">
      <c r="A142" s="109"/>
      <c r="B142" s="4"/>
      <c r="C142" s="4"/>
      <c r="D142" s="4"/>
      <c r="E142" s="4"/>
      <c r="F142" s="4"/>
      <c r="G142" s="4"/>
      <c r="H142" s="4"/>
      <c r="I142" s="4"/>
      <c r="J142" s="4"/>
      <c r="K142" s="4"/>
      <c r="L142" s="4"/>
      <c r="M142" s="4"/>
      <c r="N142" s="4"/>
      <c r="O142" s="14"/>
      <c r="P142" s="14"/>
      <c r="Q142" s="14"/>
      <c r="R142" s="14"/>
      <c r="S142" s="14"/>
      <c r="T142" s="14"/>
      <c r="U142" s="14"/>
      <c r="V142" s="14"/>
      <c r="W142" s="14"/>
      <c r="X142" s="4"/>
      <c r="Y142" s="4"/>
    </row>
    <row r="143" spans="1:25" x14ac:dyDescent="0.25">
      <c r="A143" s="109"/>
      <c r="B143" s="4"/>
      <c r="C143" s="4"/>
      <c r="D143" s="4"/>
      <c r="E143" s="4"/>
      <c r="F143" s="4"/>
      <c r="G143" s="4"/>
      <c r="H143" s="4"/>
      <c r="I143" s="4"/>
      <c r="J143" s="4"/>
      <c r="K143" s="4"/>
      <c r="L143" s="4"/>
      <c r="M143" s="4"/>
      <c r="N143" s="4"/>
      <c r="O143" s="5"/>
      <c r="P143" s="5"/>
      <c r="Q143" s="5"/>
      <c r="R143" s="5"/>
      <c r="S143" s="5"/>
      <c r="T143" s="5"/>
      <c r="U143" s="5"/>
      <c r="V143" s="5"/>
      <c r="W143" s="5"/>
      <c r="X143" s="4"/>
      <c r="Y143" s="4"/>
    </row>
    <row r="144" spans="1:25" x14ac:dyDescent="0.25">
      <c r="A144" s="109"/>
      <c r="B144" s="4"/>
      <c r="C144" s="4"/>
      <c r="D144" s="4"/>
      <c r="E144" s="4"/>
      <c r="F144" s="4"/>
      <c r="G144" s="4"/>
      <c r="H144" s="4"/>
      <c r="I144" s="4"/>
      <c r="J144" s="4"/>
      <c r="K144" s="4"/>
      <c r="L144" s="4"/>
      <c r="M144" s="4"/>
      <c r="N144" s="4"/>
      <c r="O144" s="5"/>
      <c r="P144" s="5"/>
      <c r="Q144" s="5"/>
      <c r="R144" s="5"/>
      <c r="S144" s="5"/>
      <c r="T144" s="5"/>
      <c r="U144" s="5"/>
      <c r="V144" s="5"/>
      <c r="W144" s="5"/>
      <c r="X144" s="4"/>
      <c r="Y144" s="4"/>
    </row>
    <row r="145" spans="1:25" x14ac:dyDescent="0.25">
      <c r="A145" s="109"/>
      <c r="B145" s="4"/>
      <c r="C145" s="4"/>
      <c r="D145" s="4"/>
      <c r="E145" s="4"/>
      <c r="F145" s="4"/>
      <c r="G145" s="4"/>
      <c r="H145" s="4"/>
      <c r="I145" s="4"/>
      <c r="J145" s="4"/>
      <c r="K145" s="4"/>
      <c r="L145" s="4"/>
      <c r="M145" s="4"/>
      <c r="N145" s="4"/>
      <c r="O145" s="5"/>
      <c r="P145" s="5"/>
      <c r="Q145" s="5"/>
      <c r="R145" s="5"/>
      <c r="S145" s="5"/>
      <c r="T145" s="5"/>
      <c r="U145" s="5"/>
      <c r="V145" s="5"/>
      <c r="W145" s="5"/>
      <c r="X145" s="4"/>
      <c r="Y145" s="4"/>
    </row>
    <row r="146" spans="1:25" x14ac:dyDescent="0.25">
      <c r="A146" s="109"/>
      <c r="B146" s="4"/>
      <c r="C146" s="4"/>
      <c r="D146" s="4"/>
      <c r="E146" s="4"/>
      <c r="F146" s="4"/>
      <c r="G146" s="4"/>
      <c r="H146" s="4"/>
      <c r="I146" s="4"/>
      <c r="J146" s="4"/>
      <c r="K146" s="4"/>
      <c r="L146" s="4"/>
      <c r="M146" s="4"/>
      <c r="N146" s="4"/>
      <c r="O146" s="14"/>
      <c r="P146" s="14"/>
      <c r="Q146" s="14"/>
      <c r="R146" s="14"/>
      <c r="S146" s="14"/>
      <c r="T146" s="14"/>
      <c r="U146" s="14"/>
      <c r="V146" s="14"/>
      <c r="W146" s="14"/>
      <c r="X146" s="4"/>
      <c r="Y146" s="4"/>
    </row>
    <row r="147" spans="1:25" x14ac:dyDescent="0.25">
      <c r="A147" s="109"/>
      <c r="B147" s="4"/>
      <c r="C147" s="4"/>
      <c r="D147" s="4"/>
      <c r="E147" s="4"/>
      <c r="F147" s="4"/>
      <c r="G147" s="4"/>
      <c r="H147" s="4"/>
      <c r="I147" s="4"/>
      <c r="J147" s="4"/>
      <c r="K147" s="4"/>
      <c r="L147" s="4"/>
      <c r="M147" s="4"/>
      <c r="N147" s="4"/>
      <c r="O147" s="14"/>
      <c r="P147" s="14"/>
      <c r="Q147" s="14"/>
      <c r="R147" s="14"/>
      <c r="S147" s="14"/>
      <c r="T147" s="14"/>
      <c r="U147" s="14"/>
      <c r="V147" s="14"/>
      <c r="W147" s="14"/>
      <c r="X147" s="4"/>
      <c r="Y147" s="4"/>
    </row>
    <row r="148" spans="1:25" x14ac:dyDescent="0.25">
      <c r="A148" s="109"/>
      <c r="B148" s="4"/>
      <c r="C148" s="4"/>
      <c r="D148" s="4"/>
      <c r="E148" s="4"/>
      <c r="F148" s="4"/>
      <c r="G148" s="4"/>
      <c r="H148" s="4"/>
      <c r="I148" s="4"/>
      <c r="J148" s="4"/>
      <c r="K148" s="4"/>
      <c r="L148" s="4"/>
      <c r="M148" s="4"/>
      <c r="N148" s="4"/>
      <c r="O148" s="5"/>
      <c r="P148" s="5"/>
      <c r="Q148" s="5"/>
      <c r="R148" s="5"/>
      <c r="S148" s="5"/>
      <c r="T148" s="5"/>
      <c r="U148" s="5"/>
      <c r="V148" s="5"/>
      <c r="W148" s="5"/>
      <c r="X148" s="4"/>
      <c r="Y148" s="4"/>
    </row>
    <row r="149" spans="1:25" x14ac:dyDescent="0.25">
      <c r="A149" s="109"/>
      <c r="B149" s="4"/>
      <c r="C149" s="4"/>
      <c r="D149" s="4"/>
      <c r="E149" s="4"/>
      <c r="F149" s="4"/>
      <c r="G149" s="4"/>
      <c r="H149" s="4"/>
      <c r="I149" s="4"/>
      <c r="J149" s="4"/>
      <c r="K149" s="4"/>
      <c r="L149" s="4"/>
      <c r="M149" s="4"/>
      <c r="N149" s="4"/>
      <c r="O149" s="5"/>
      <c r="P149" s="5"/>
      <c r="Q149" s="5"/>
      <c r="R149" s="5"/>
      <c r="S149" s="5"/>
      <c r="T149" s="5"/>
      <c r="U149" s="5"/>
      <c r="V149" s="5"/>
      <c r="W149" s="5"/>
      <c r="X149" s="4"/>
      <c r="Y149" s="4"/>
    </row>
    <row r="150" spans="1:25" x14ac:dyDescent="0.25">
      <c r="A150" s="109"/>
      <c r="B150" s="4"/>
      <c r="C150" s="4"/>
      <c r="D150" s="4"/>
      <c r="E150" s="4"/>
      <c r="F150" s="4"/>
      <c r="G150" s="4"/>
      <c r="H150" s="4"/>
      <c r="I150" s="4"/>
      <c r="J150" s="4"/>
      <c r="K150" s="4"/>
      <c r="L150" s="4"/>
      <c r="M150" s="4"/>
      <c r="N150" s="4"/>
      <c r="O150" s="5"/>
      <c r="P150" s="5"/>
      <c r="Q150" s="5"/>
      <c r="R150" s="5"/>
      <c r="S150" s="5"/>
      <c r="T150" s="5"/>
      <c r="U150" s="5"/>
      <c r="V150" s="5"/>
      <c r="W150" s="5"/>
      <c r="X150" s="4"/>
      <c r="Y150" s="4"/>
    </row>
    <row r="151" spans="1:25" x14ac:dyDescent="0.25">
      <c r="A151" s="109"/>
      <c r="B151" s="4"/>
      <c r="C151" s="4"/>
      <c r="D151" s="4"/>
      <c r="E151" s="4"/>
      <c r="F151" s="4"/>
      <c r="G151" s="4"/>
      <c r="H151" s="4"/>
      <c r="I151" s="4"/>
      <c r="J151" s="4"/>
      <c r="K151" s="4"/>
      <c r="L151" s="4"/>
      <c r="M151" s="4"/>
      <c r="N151" s="4"/>
      <c r="O151" s="14"/>
      <c r="P151" s="14"/>
      <c r="Q151" s="14"/>
      <c r="R151" s="14"/>
      <c r="S151" s="14"/>
      <c r="T151" s="14"/>
      <c r="U151" s="14"/>
      <c r="V151" s="14"/>
      <c r="W151" s="14"/>
      <c r="X151" s="4"/>
      <c r="Y151" s="4"/>
    </row>
    <row r="152" spans="1:25" x14ac:dyDescent="0.25">
      <c r="A152" s="109"/>
      <c r="B152" s="4"/>
      <c r="C152" s="4"/>
      <c r="D152" s="4"/>
      <c r="E152" s="4"/>
      <c r="F152" s="4"/>
      <c r="G152" s="4"/>
      <c r="H152" s="4"/>
      <c r="I152" s="4"/>
      <c r="J152" s="4"/>
      <c r="K152" s="4"/>
      <c r="L152" s="4"/>
      <c r="M152" s="4"/>
      <c r="N152" s="4"/>
      <c r="O152" s="14"/>
      <c r="P152" s="14"/>
      <c r="Q152" s="14"/>
      <c r="R152" s="14"/>
      <c r="S152" s="14"/>
      <c r="T152" s="14"/>
      <c r="U152" s="14"/>
      <c r="V152" s="14"/>
      <c r="W152" s="14"/>
      <c r="X152" s="4"/>
      <c r="Y152" s="4"/>
    </row>
    <row r="153" spans="1:25" x14ac:dyDescent="0.25">
      <c r="A153" s="109"/>
      <c r="B153" s="4"/>
      <c r="C153" s="4"/>
      <c r="D153" s="4"/>
      <c r="E153" s="4"/>
      <c r="F153" s="4"/>
      <c r="G153" s="4"/>
      <c r="H153" s="4"/>
      <c r="I153" s="4"/>
      <c r="J153" s="4"/>
      <c r="K153" s="4"/>
      <c r="L153" s="4"/>
      <c r="M153" s="4"/>
      <c r="N153" s="4"/>
      <c r="O153" s="5"/>
      <c r="P153" s="5"/>
      <c r="Q153" s="5"/>
      <c r="R153" s="5"/>
      <c r="S153" s="5"/>
      <c r="T153" s="5"/>
      <c r="U153" s="5"/>
      <c r="V153" s="5"/>
      <c r="W153" s="5"/>
      <c r="X153" s="4"/>
      <c r="Y153" s="4"/>
    </row>
    <row r="154" spans="1:25" x14ac:dyDescent="0.25">
      <c r="A154" s="109"/>
      <c r="B154" s="4"/>
      <c r="C154" s="4"/>
      <c r="D154" s="4"/>
      <c r="E154" s="4"/>
      <c r="F154" s="4"/>
      <c r="G154" s="4"/>
      <c r="H154" s="4"/>
      <c r="I154" s="4"/>
      <c r="J154" s="4"/>
      <c r="K154" s="4"/>
      <c r="L154" s="4"/>
      <c r="M154" s="4"/>
      <c r="N154" s="4"/>
      <c r="O154" s="5"/>
      <c r="P154" s="5"/>
      <c r="Q154" s="5"/>
      <c r="R154" s="5"/>
      <c r="S154" s="5"/>
      <c r="T154" s="5"/>
      <c r="U154" s="5"/>
      <c r="V154" s="5"/>
      <c r="W154" s="5"/>
      <c r="X154" s="4"/>
      <c r="Y154" s="4"/>
    </row>
    <row r="155" spans="1:25" x14ac:dyDescent="0.25">
      <c r="A155" s="109"/>
      <c r="B155" s="4"/>
      <c r="C155" s="4"/>
      <c r="D155" s="4"/>
      <c r="E155" s="4"/>
      <c r="F155" s="4"/>
      <c r="G155" s="4"/>
      <c r="H155" s="4"/>
      <c r="I155" s="4"/>
      <c r="J155" s="4"/>
      <c r="K155" s="4"/>
      <c r="L155" s="4"/>
      <c r="M155" s="4"/>
      <c r="N155" s="4"/>
      <c r="O155" s="5"/>
      <c r="P155" s="5"/>
      <c r="Q155" s="5"/>
      <c r="R155" s="5"/>
      <c r="S155" s="5"/>
      <c r="T155" s="5"/>
      <c r="U155" s="5"/>
      <c r="V155" s="5"/>
      <c r="W155" s="5"/>
      <c r="X155" s="4"/>
      <c r="Y155" s="4"/>
    </row>
    <row r="156" spans="1:25" x14ac:dyDescent="0.25">
      <c r="A156" s="109"/>
      <c r="B156" s="4"/>
      <c r="C156" s="4"/>
      <c r="D156" s="4"/>
      <c r="E156" s="4"/>
      <c r="F156" s="4"/>
      <c r="G156" s="4"/>
      <c r="H156" s="4"/>
      <c r="I156" s="4"/>
      <c r="J156" s="4"/>
      <c r="K156" s="4"/>
      <c r="L156" s="4"/>
      <c r="M156" s="4"/>
      <c r="N156" s="4"/>
      <c r="O156" s="14"/>
      <c r="P156" s="14"/>
      <c r="Q156" s="14"/>
      <c r="R156" s="14"/>
      <c r="S156" s="14"/>
      <c r="T156" s="14"/>
      <c r="U156" s="14"/>
      <c r="V156" s="14"/>
      <c r="W156" s="14"/>
      <c r="X156" s="4"/>
      <c r="Y156" s="4"/>
    </row>
    <row r="157" spans="1:25" x14ac:dyDescent="0.25">
      <c r="A157" s="112"/>
      <c r="B157" s="17"/>
      <c r="C157" s="17"/>
      <c r="D157" s="17"/>
      <c r="E157" s="17"/>
      <c r="F157" s="17"/>
      <c r="G157" s="17"/>
      <c r="H157" s="17"/>
      <c r="I157" s="17"/>
      <c r="J157" s="17"/>
      <c r="K157" s="17"/>
      <c r="L157" s="17"/>
      <c r="M157" s="203"/>
      <c r="N157" s="17"/>
      <c r="O157" s="14"/>
      <c r="P157" s="14"/>
      <c r="Q157" s="14"/>
      <c r="R157" s="14"/>
      <c r="S157" s="14"/>
      <c r="T157" s="14"/>
      <c r="U157" s="14"/>
      <c r="V157" s="14"/>
      <c r="W157" s="14"/>
      <c r="X157" s="4"/>
      <c r="Y157" s="4"/>
    </row>
    <row r="158" spans="1:25" x14ac:dyDescent="0.25">
      <c r="A158" s="109"/>
      <c r="B158" s="4"/>
      <c r="C158" s="4"/>
      <c r="D158" s="4"/>
      <c r="E158" s="4"/>
      <c r="F158" s="4"/>
      <c r="G158" s="4"/>
      <c r="H158" s="4"/>
      <c r="I158" s="4"/>
      <c r="J158" s="4"/>
      <c r="K158" s="4"/>
      <c r="L158" s="4"/>
      <c r="M158" s="4"/>
      <c r="N158" s="4"/>
      <c r="O158" s="5"/>
      <c r="P158" s="5"/>
      <c r="Q158" s="5"/>
      <c r="R158" s="5"/>
      <c r="S158" s="5"/>
      <c r="T158" s="5"/>
      <c r="U158" s="5"/>
      <c r="V158" s="5"/>
      <c r="W158" s="5"/>
      <c r="X158" s="4"/>
      <c r="Y158" s="4"/>
    </row>
    <row r="159" spans="1:25" x14ac:dyDescent="0.25">
      <c r="A159" s="109"/>
      <c r="B159" s="4"/>
      <c r="C159" s="4"/>
      <c r="D159" s="4"/>
      <c r="E159" s="4"/>
      <c r="F159" s="4"/>
      <c r="G159" s="4"/>
      <c r="H159" s="4"/>
      <c r="I159" s="4"/>
      <c r="J159" s="4"/>
      <c r="K159" s="4"/>
      <c r="L159" s="4"/>
      <c r="M159" s="4"/>
      <c r="N159" s="4"/>
      <c r="O159" s="5"/>
      <c r="P159" s="5"/>
      <c r="Q159" s="5"/>
      <c r="R159" s="5"/>
      <c r="S159" s="5"/>
      <c r="T159" s="5"/>
      <c r="U159" s="5"/>
      <c r="V159" s="5"/>
      <c r="W159" s="5"/>
      <c r="X159" s="4"/>
      <c r="Y159" s="4"/>
    </row>
    <row r="160" spans="1:25" x14ac:dyDescent="0.25">
      <c r="A160" s="109"/>
      <c r="B160" s="4"/>
      <c r="C160" s="4"/>
      <c r="D160" s="4"/>
      <c r="E160" s="4"/>
      <c r="F160" s="4"/>
      <c r="G160" s="4"/>
      <c r="H160" s="4"/>
      <c r="I160" s="4"/>
      <c r="J160" s="4"/>
      <c r="K160" s="4"/>
      <c r="L160" s="4"/>
      <c r="M160" s="4"/>
      <c r="N160" s="4"/>
      <c r="O160" s="5"/>
      <c r="P160" s="5"/>
      <c r="Q160" s="5"/>
      <c r="R160" s="5"/>
      <c r="S160" s="5"/>
      <c r="T160" s="5"/>
      <c r="U160" s="5"/>
      <c r="V160" s="5"/>
      <c r="W160" s="5"/>
      <c r="X160" s="4"/>
      <c r="Y160" s="4"/>
    </row>
    <row r="161" spans="1:25" x14ac:dyDescent="0.25">
      <c r="A161" s="112"/>
      <c r="B161" s="17"/>
      <c r="C161" s="17"/>
      <c r="D161" s="17"/>
      <c r="E161" s="17"/>
      <c r="F161" s="17"/>
      <c r="G161" s="17"/>
      <c r="H161" s="17"/>
      <c r="I161" s="17"/>
      <c r="J161" s="17"/>
      <c r="K161" s="17"/>
      <c r="L161" s="17"/>
      <c r="M161" s="203"/>
      <c r="N161" s="17"/>
      <c r="O161" s="14"/>
      <c r="P161" s="14"/>
      <c r="Q161" s="14"/>
      <c r="R161" s="14"/>
      <c r="S161" s="14"/>
      <c r="T161" s="14"/>
      <c r="U161" s="14"/>
      <c r="V161" s="14"/>
      <c r="W161" s="14"/>
      <c r="X161" s="4"/>
      <c r="Y161" s="4"/>
    </row>
    <row r="162" spans="1:25" x14ac:dyDescent="0.25">
      <c r="A162" s="112"/>
      <c r="B162" s="17"/>
      <c r="C162" s="17"/>
      <c r="D162" s="17"/>
      <c r="E162" s="17"/>
      <c r="F162" s="17"/>
      <c r="G162" s="17"/>
      <c r="H162" s="17"/>
      <c r="I162" s="17"/>
      <c r="J162" s="17"/>
      <c r="K162" s="17"/>
      <c r="L162" s="17"/>
      <c r="M162" s="203"/>
      <c r="N162" s="17"/>
      <c r="O162" s="14"/>
      <c r="P162" s="14"/>
      <c r="Q162" s="14"/>
      <c r="R162" s="14"/>
      <c r="S162" s="14"/>
      <c r="T162" s="14"/>
      <c r="U162" s="14"/>
      <c r="V162" s="14"/>
      <c r="W162" s="14"/>
      <c r="X162" s="4"/>
      <c r="Y162" s="4"/>
    </row>
    <row r="163" spans="1:25" x14ac:dyDescent="0.25">
      <c r="A163" s="109"/>
      <c r="B163" s="4"/>
      <c r="C163" s="4"/>
      <c r="D163" s="4"/>
      <c r="E163" s="4"/>
      <c r="F163" s="4"/>
      <c r="G163" s="4"/>
      <c r="H163" s="4"/>
      <c r="I163" s="4"/>
      <c r="J163" s="4"/>
      <c r="K163" s="4"/>
      <c r="L163" s="4"/>
      <c r="M163" s="4"/>
      <c r="N163" s="4"/>
      <c r="O163" s="5"/>
      <c r="P163" s="5"/>
      <c r="Q163" s="5"/>
      <c r="R163" s="5"/>
      <c r="S163" s="5"/>
      <c r="T163" s="5"/>
      <c r="U163" s="5"/>
      <c r="V163" s="5"/>
      <c r="W163" s="5"/>
      <c r="X163" s="4"/>
      <c r="Y163" s="4"/>
    </row>
    <row r="164" spans="1:25" x14ac:dyDescent="0.25">
      <c r="A164" s="109"/>
      <c r="B164" s="4"/>
      <c r="C164" s="4"/>
      <c r="D164" s="4"/>
      <c r="E164" s="4"/>
      <c r="F164" s="4"/>
      <c r="G164" s="4"/>
      <c r="H164" s="4"/>
      <c r="I164" s="4"/>
      <c r="J164" s="4"/>
      <c r="K164" s="4"/>
      <c r="L164" s="4"/>
      <c r="M164" s="4"/>
      <c r="N164" s="4"/>
      <c r="O164" s="5"/>
      <c r="P164" s="5"/>
      <c r="Q164" s="5"/>
      <c r="R164" s="5"/>
      <c r="S164" s="5"/>
      <c r="T164" s="5"/>
      <c r="U164" s="5"/>
      <c r="V164" s="5"/>
      <c r="W164" s="5"/>
      <c r="X164" s="4"/>
      <c r="Y164" s="4"/>
    </row>
    <row r="165" spans="1:25" x14ac:dyDescent="0.25">
      <c r="A165" s="109"/>
      <c r="B165" s="4"/>
      <c r="C165" s="4"/>
      <c r="D165" s="4"/>
      <c r="E165" s="4"/>
      <c r="F165" s="4"/>
      <c r="G165" s="4"/>
      <c r="H165" s="4"/>
      <c r="I165" s="4"/>
      <c r="J165" s="4"/>
      <c r="K165" s="4"/>
      <c r="L165" s="4"/>
      <c r="M165" s="4"/>
      <c r="N165" s="4"/>
      <c r="O165" s="5"/>
      <c r="P165" s="5"/>
      <c r="Q165" s="5"/>
      <c r="R165" s="5"/>
      <c r="S165" s="5"/>
      <c r="T165" s="5"/>
      <c r="U165" s="5"/>
      <c r="V165" s="5"/>
      <c r="W165" s="5"/>
      <c r="X165" s="4"/>
      <c r="Y165" s="4"/>
    </row>
    <row r="166" spans="1:25" x14ac:dyDescent="0.25">
      <c r="A166" s="112"/>
      <c r="B166" s="17"/>
      <c r="C166" s="17"/>
      <c r="D166" s="17"/>
      <c r="E166" s="17"/>
      <c r="F166" s="17"/>
      <c r="G166" s="17"/>
      <c r="H166" s="17"/>
      <c r="I166" s="17"/>
      <c r="J166" s="17"/>
      <c r="K166" s="17"/>
      <c r="L166" s="17"/>
      <c r="M166" s="203"/>
      <c r="N166" s="17"/>
      <c r="O166" s="14"/>
      <c r="P166" s="14"/>
      <c r="Q166" s="14"/>
      <c r="R166" s="14"/>
      <c r="S166" s="14"/>
      <c r="T166" s="14"/>
      <c r="U166" s="14"/>
      <c r="V166" s="14"/>
      <c r="W166" s="14"/>
      <c r="X166" s="4"/>
      <c r="Y166" s="4"/>
    </row>
    <row r="167" spans="1:25" x14ac:dyDescent="0.25">
      <c r="A167" s="112"/>
      <c r="B167" s="17"/>
      <c r="C167" s="17"/>
      <c r="D167" s="17"/>
      <c r="E167" s="17"/>
      <c r="F167" s="17"/>
      <c r="G167" s="17"/>
      <c r="H167" s="17"/>
      <c r="I167" s="17"/>
      <c r="J167" s="17"/>
      <c r="K167" s="17"/>
      <c r="L167" s="17"/>
      <c r="M167" s="203"/>
      <c r="N167" s="17"/>
      <c r="O167" s="14"/>
      <c r="P167" s="14"/>
      <c r="Q167" s="14"/>
      <c r="R167" s="14"/>
      <c r="S167" s="14"/>
      <c r="T167" s="14"/>
      <c r="U167" s="14"/>
      <c r="V167" s="14"/>
      <c r="W167" s="14"/>
      <c r="X167" s="4"/>
      <c r="Y167" s="4"/>
    </row>
    <row r="168" spans="1:25" x14ac:dyDescent="0.25">
      <c r="A168" s="109"/>
      <c r="B168" s="4"/>
      <c r="C168" s="4"/>
      <c r="D168" s="4"/>
      <c r="E168" s="4"/>
      <c r="F168" s="4"/>
      <c r="G168" s="4"/>
      <c r="H168" s="4"/>
      <c r="I168" s="4"/>
      <c r="J168" s="4"/>
      <c r="K168" s="4"/>
      <c r="L168" s="4"/>
      <c r="M168" s="4"/>
      <c r="N168" s="4"/>
      <c r="O168" s="5"/>
      <c r="P168" s="5"/>
      <c r="Q168" s="5"/>
      <c r="R168" s="5"/>
      <c r="S168" s="5"/>
      <c r="T168" s="5"/>
      <c r="U168" s="5"/>
      <c r="V168" s="5"/>
      <c r="W168" s="5"/>
      <c r="X168" s="4"/>
      <c r="Y168" s="4"/>
    </row>
    <row r="169" spans="1:25" x14ac:dyDescent="0.25">
      <c r="A169" s="109"/>
      <c r="B169" s="4"/>
      <c r="C169" s="4"/>
      <c r="D169" s="4"/>
      <c r="E169" s="4"/>
      <c r="F169" s="4"/>
      <c r="G169" s="4"/>
      <c r="H169" s="4"/>
      <c r="I169" s="4"/>
      <c r="J169" s="4"/>
      <c r="K169" s="4"/>
      <c r="L169" s="4"/>
      <c r="M169" s="4"/>
      <c r="N169" s="4"/>
      <c r="O169" s="5"/>
      <c r="P169" s="5"/>
      <c r="Q169" s="5"/>
      <c r="R169" s="5"/>
      <c r="S169" s="5"/>
      <c r="T169" s="5"/>
      <c r="U169" s="5"/>
      <c r="V169" s="5"/>
      <c r="W169" s="5"/>
      <c r="X169" s="4"/>
      <c r="Y169" s="4"/>
    </row>
    <row r="170" spans="1:25" x14ac:dyDescent="0.25">
      <c r="A170" s="109"/>
      <c r="B170" s="4"/>
      <c r="C170" s="4"/>
      <c r="D170" s="4"/>
      <c r="E170" s="4"/>
      <c r="F170" s="4"/>
      <c r="G170" s="4"/>
      <c r="H170" s="4"/>
      <c r="I170" s="4"/>
      <c r="J170" s="4"/>
      <c r="K170" s="4"/>
      <c r="L170" s="4"/>
      <c r="M170" s="4"/>
      <c r="N170" s="4"/>
      <c r="O170" s="5"/>
      <c r="P170" s="5"/>
      <c r="Q170" s="5"/>
      <c r="R170" s="5"/>
      <c r="S170" s="5"/>
      <c r="T170" s="5"/>
      <c r="U170" s="5"/>
      <c r="V170" s="5"/>
      <c r="W170" s="5"/>
      <c r="X170" s="4"/>
      <c r="Y170" s="4"/>
    </row>
    <row r="171" spans="1:25" x14ac:dyDescent="0.25">
      <c r="A171" s="112"/>
      <c r="B171" s="17"/>
      <c r="C171" s="17"/>
      <c r="D171" s="17"/>
      <c r="E171" s="17"/>
      <c r="F171" s="17"/>
      <c r="G171" s="17"/>
      <c r="H171" s="17"/>
      <c r="I171" s="17"/>
      <c r="J171" s="17"/>
      <c r="K171" s="17"/>
      <c r="L171" s="17"/>
      <c r="M171" s="203"/>
      <c r="N171" s="17"/>
      <c r="O171" s="14"/>
      <c r="P171" s="14"/>
      <c r="Q171" s="14"/>
      <c r="R171" s="14"/>
      <c r="S171" s="14"/>
      <c r="T171" s="14"/>
      <c r="U171" s="14"/>
      <c r="V171" s="14"/>
      <c r="W171" s="14"/>
      <c r="X171" s="4"/>
      <c r="Y171" s="4"/>
    </row>
    <row r="172" spans="1:25" x14ac:dyDescent="0.25">
      <c r="A172" s="112"/>
      <c r="B172" s="17"/>
      <c r="C172" s="17"/>
      <c r="D172" s="17"/>
      <c r="E172" s="17"/>
      <c r="F172" s="17"/>
      <c r="G172" s="17"/>
      <c r="H172" s="17"/>
      <c r="I172" s="17"/>
      <c r="J172" s="17"/>
      <c r="K172" s="17"/>
      <c r="L172" s="17"/>
      <c r="M172" s="203"/>
      <c r="N172" s="17"/>
      <c r="O172" s="14"/>
      <c r="P172" s="14"/>
      <c r="Q172" s="14"/>
      <c r="R172" s="14"/>
      <c r="S172" s="14"/>
      <c r="T172" s="14"/>
      <c r="U172" s="14"/>
      <c r="V172" s="14"/>
      <c r="W172" s="14"/>
      <c r="X172" s="4"/>
      <c r="Y172" s="4"/>
    </row>
    <row r="173" spans="1:25" x14ac:dyDescent="0.25">
      <c r="A173" s="109"/>
      <c r="B173" s="4"/>
      <c r="C173" s="4"/>
      <c r="D173" s="4"/>
      <c r="E173" s="4"/>
      <c r="F173" s="4"/>
      <c r="G173" s="4"/>
      <c r="H173" s="4"/>
      <c r="I173" s="4"/>
      <c r="J173" s="4"/>
      <c r="K173" s="4"/>
      <c r="L173" s="4"/>
      <c r="M173" s="4"/>
      <c r="N173" s="4"/>
      <c r="O173" s="5"/>
      <c r="P173" s="5"/>
      <c r="Q173" s="5"/>
      <c r="R173" s="5"/>
      <c r="S173" s="5"/>
      <c r="T173" s="5"/>
      <c r="U173" s="5"/>
      <c r="V173" s="5"/>
      <c r="W173" s="5"/>
      <c r="X173" s="4"/>
      <c r="Y173" s="4"/>
    </row>
    <row r="174" spans="1:25" x14ac:dyDescent="0.25">
      <c r="A174" s="109"/>
      <c r="B174" s="4"/>
      <c r="C174" s="4"/>
      <c r="D174" s="4"/>
      <c r="E174" s="4"/>
      <c r="F174" s="4"/>
      <c r="G174" s="4"/>
      <c r="H174" s="4"/>
      <c r="I174" s="4"/>
      <c r="J174" s="4"/>
      <c r="K174" s="4"/>
      <c r="L174" s="4"/>
      <c r="M174" s="4"/>
      <c r="N174" s="4"/>
      <c r="O174" s="5"/>
      <c r="P174" s="5"/>
      <c r="Q174" s="5"/>
      <c r="R174" s="5"/>
      <c r="S174" s="5"/>
      <c r="T174" s="5"/>
      <c r="U174" s="5"/>
      <c r="V174" s="5"/>
      <c r="W174" s="5"/>
      <c r="X174" s="4"/>
      <c r="Y174" s="4"/>
    </row>
    <row r="175" spans="1:25" x14ac:dyDescent="0.25">
      <c r="A175" s="109"/>
      <c r="B175" s="4"/>
      <c r="C175" s="4"/>
      <c r="D175" s="4"/>
      <c r="E175" s="4"/>
      <c r="F175" s="4"/>
      <c r="G175" s="4"/>
      <c r="H175" s="4"/>
      <c r="I175" s="4"/>
      <c r="J175" s="4"/>
      <c r="K175" s="4"/>
      <c r="L175" s="4"/>
      <c r="M175" s="4"/>
      <c r="N175" s="4"/>
      <c r="O175" s="5"/>
      <c r="P175" s="5"/>
      <c r="Q175" s="5"/>
      <c r="R175" s="5"/>
      <c r="S175" s="5"/>
      <c r="T175" s="5"/>
      <c r="U175" s="5"/>
      <c r="V175" s="5"/>
      <c r="W175" s="5"/>
      <c r="X175" s="4"/>
      <c r="Y175" s="4"/>
    </row>
    <row r="176" spans="1:25" x14ac:dyDescent="0.25">
      <c r="A176" s="112"/>
      <c r="B176" s="17"/>
      <c r="C176" s="17"/>
      <c r="D176" s="17"/>
      <c r="E176" s="17"/>
      <c r="F176" s="17"/>
      <c r="G176" s="17"/>
      <c r="H176" s="17"/>
      <c r="I176" s="17"/>
      <c r="J176" s="17"/>
      <c r="K176" s="17"/>
      <c r="L176" s="17"/>
      <c r="M176" s="203"/>
      <c r="N176" s="17"/>
      <c r="O176" s="14"/>
      <c r="P176" s="14"/>
      <c r="Q176" s="14"/>
      <c r="R176" s="14"/>
      <c r="S176" s="14"/>
      <c r="T176" s="14"/>
      <c r="U176" s="14"/>
      <c r="V176" s="14"/>
      <c r="W176" s="14"/>
      <c r="X176" s="4"/>
      <c r="Y176" s="4"/>
    </row>
    <row r="177" spans="1:25" x14ac:dyDescent="0.25">
      <c r="A177" s="112"/>
      <c r="B177" s="17"/>
      <c r="C177" s="17"/>
      <c r="D177" s="17"/>
      <c r="E177" s="17"/>
      <c r="F177" s="17"/>
      <c r="G177" s="17"/>
      <c r="H177" s="17"/>
      <c r="I177" s="17"/>
      <c r="J177" s="17"/>
      <c r="K177" s="17"/>
      <c r="L177" s="17"/>
      <c r="M177" s="203"/>
      <c r="N177" s="17"/>
      <c r="O177" s="14"/>
      <c r="P177" s="14"/>
      <c r="Q177" s="14"/>
      <c r="R177" s="14"/>
      <c r="S177" s="14"/>
      <c r="T177" s="14"/>
      <c r="U177" s="14"/>
      <c r="V177" s="14"/>
      <c r="W177" s="14"/>
      <c r="X177" s="4"/>
      <c r="Y177" s="4"/>
    </row>
    <row r="178" spans="1:25" x14ac:dyDescent="0.25">
      <c r="A178" s="109"/>
      <c r="B178" s="4"/>
      <c r="C178" s="4"/>
      <c r="D178" s="4"/>
      <c r="E178" s="4"/>
      <c r="F178" s="4"/>
      <c r="G178" s="4"/>
      <c r="H178" s="4"/>
      <c r="I178" s="4"/>
      <c r="J178" s="4"/>
      <c r="K178" s="4"/>
      <c r="L178" s="4"/>
      <c r="M178" s="4"/>
      <c r="N178" s="4"/>
      <c r="O178" s="5"/>
      <c r="P178" s="5"/>
      <c r="Q178" s="5"/>
      <c r="R178" s="5"/>
      <c r="S178" s="5"/>
      <c r="T178" s="5"/>
      <c r="U178" s="5"/>
      <c r="V178" s="5"/>
      <c r="W178" s="5"/>
      <c r="X178" s="4"/>
      <c r="Y178" s="4"/>
    </row>
    <row r="179" spans="1:25" x14ac:dyDescent="0.25">
      <c r="A179" s="109"/>
      <c r="B179" s="4"/>
      <c r="C179" s="4"/>
      <c r="D179" s="4"/>
      <c r="E179" s="4"/>
      <c r="F179" s="4"/>
      <c r="G179" s="4"/>
      <c r="H179" s="4"/>
      <c r="I179" s="4"/>
      <c r="J179" s="4"/>
      <c r="K179" s="4"/>
      <c r="L179" s="4"/>
      <c r="M179" s="4"/>
      <c r="N179" s="4"/>
      <c r="O179" s="5"/>
      <c r="P179" s="5"/>
      <c r="Q179" s="5"/>
      <c r="R179" s="5"/>
      <c r="S179" s="5"/>
      <c r="T179" s="5"/>
      <c r="U179" s="5"/>
      <c r="V179" s="5"/>
      <c r="W179" s="5"/>
      <c r="X179" s="4"/>
      <c r="Y179" s="4"/>
    </row>
    <row r="180" spans="1:25" x14ac:dyDescent="0.25">
      <c r="A180" s="109"/>
      <c r="B180" s="4"/>
      <c r="C180" s="4"/>
      <c r="D180" s="4"/>
      <c r="E180" s="4"/>
      <c r="F180" s="4"/>
      <c r="G180" s="4"/>
      <c r="H180" s="4"/>
      <c r="I180" s="4"/>
      <c r="J180" s="4"/>
      <c r="K180" s="4"/>
      <c r="L180" s="4"/>
      <c r="M180" s="4"/>
      <c r="N180" s="4"/>
      <c r="O180" s="5"/>
      <c r="P180" s="5"/>
      <c r="Q180" s="5"/>
      <c r="R180" s="5"/>
      <c r="S180" s="5"/>
      <c r="T180" s="5"/>
      <c r="U180" s="5"/>
      <c r="V180" s="5"/>
      <c r="W180" s="5"/>
      <c r="X180" s="4"/>
      <c r="Y180" s="4"/>
    </row>
    <row r="181" spans="1:25" x14ac:dyDescent="0.25">
      <c r="A181" s="112"/>
      <c r="B181" s="17"/>
      <c r="C181" s="17"/>
      <c r="D181" s="17"/>
      <c r="E181" s="17"/>
      <c r="F181" s="17"/>
      <c r="G181" s="17"/>
      <c r="H181" s="17"/>
      <c r="I181" s="17"/>
      <c r="J181" s="17"/>
      <c r="K181" s="17"/>
      <c r="L181" s="17"/>
      <c r="M181" s="203"/>
      <c r="N181" s="17"/>
      <c r="O181" s="14"/>
      <c r="P181" s="14"/>
      <c r="Q181" s="14"/>
      <c r="R181" s="14"/>
      <c r="S181" s="14"/>
      <c r="T181" s="14"/>
      <c r="U181" s="14"/>
      <c r="V181" s="14"/>
      <c r="W181" s="14"/>
      <c r="X181" s="4"/>
      <c r="Y181" s="4"/>
    </row>
    <row r="182" spans="1:25" x14ac:dyDescent="0.25">
      <c r="A182" s="112"/>
      <c r="B182" s="17"/>
      <c r="C182" s="17"/>
      <c r="D182" s="17"/>
      <c r="E182" s="17"/>
      <c r="F182" s="17"/>
      <c r="G182" s="17"/>
      <c r="H182" s="17"/>
      <c r="I182" s="17"/>
      <c r="J182" s="17"/>
      <c r="K182" s="17"/>
      <c r="L182" s="17"/>
      <c r="M182" s="203"/>
      <c r="N182" s="17"/>
      <c r="O182" s="14"/>
      <c r="P182" s="14"/>
      <c r="Q182" s="14"/>
      <c r="R182" s="14"/>
      <c r="S182" s="14"/>
      <c r="T182" s="14"/>
      <c r="U182" s="14"/>
      <c r="V182" s="14"/>
      <c r="W182" s="14"/>
      <c r="X182" s="4"/>
      <c r="Y182" s="4"/>
    </row>
    <row r="183" spans="1:25" x14ac:dyDescent="0.25">
      <c r="A183" s="109"/>
      <c r="B183" s="4"/>
      <c r="C183" s="4"/>
      <c r="D183" s="4"/>
      <c r="E183" s="4"/>
      <c r="F183" s="4"/>
      <c r="G183" s="4"/>
      <c r="H183" s="4"/>
      <c r="I183" s="4"/>
      <c r="J183" s="4"/>
      <c r="K183" s="4"/>
      <c r="L183" s="4"/>
      <c r="M183" s="4"/>
      <c r="N183" s="4"/>
      <c r="O183" s="5"/>
      <c r="P183" s="5"/>
      <c r="Q183" s="5"/>
      <c r="R183" s="5"/>
      <c r="S183" s="5"/>
      <c r="T183" s="5"/>
      <c r="U183" s="5"/>
      <c r="V183" s="5"/>
      <c r="W183" s="5"/>
      <c r="X183" s="4"/>
      <c r="Y183" s="4"/>
    </row>
    <row r="184" spans="1:25" x14ac:dyDescent="0.25">
      <c r="A184" s="109"/>
      <c r="B184" s="4"/>
      <c r="C184" s="4"/>
      <c r="D184" s="4"/>
      <c r="E184" s="4"/>
      <c r="F184" s="4"/>
      <c r="G184" s="4"/>
      <c r="H184" s="4"/>
      <c r="I184" s="4"/>
      <c r="J184" s="4"/>
      <c r="K184" s="4"/>
      <c r="L184" s="4"/>
      <c r="M184" s="4"/>
      <c r="N184" s="4"/>
      <c r="O184" s="5"/>
      <c r="P184" s="5"/>
      <c r="Q184" s="5"/>
      <c r="R184" s="5"/>
      <c r="S184" s="5"/>
      <c r="T184" s="5"/>
      <c r="U184" s="5"/>
      <c r="V184" s="5"/>
      <c r="W184" s="5"/>
      <c r="X184" s="4"/>
      <c r="Y184" s="4"/>
    </row>
    <row r="185" spans="1:25" x14ac:dyDescent="0.25">
      <c r="A185" s="109"/>
      <c r="B185" s="4"/>
      <c r="C185" s="4"/>
      <c r="D185" s="4"/>
      <c r="E185" s="4"/>
      <c r="F185" s="4"/>
      <c r="G185" s="4"/>
      <c r="H185" s="4"/>
      <c r="I185" s="4"/>
      <c r="J185" s="4"/>
      <c r="K185" s="4"/>
      <c r="L185" s="4"/>
      <c r="M185" s="4"/>
      <c r="N185" s="4"/>
      <c r="O185" s="5"/>
      <c r="P185" s="5"/>
      <c r="Q185" s="5"/>
      <c r="R185" s="5"/>
      <c r="S185" s="5"/>
      <c r="T185" s="5"/>
      <c r="U185" s="5"/>
      <c r="V185" s="5"/>
      <c r="W185" s="5"/>
      <c r="X185" s="4"/>
      <c r="Y185" s="4"/>
    </row>
    <row r="186" spans="1:25" x14ac:dyDescent="0.25">
      <c r="A186" s="112"/>
      <c r="B186" s="17"/>
      <c r="C186" s="17"/>
      <c r="D186" s="17"/>
      <c r="E186" s="17"/>
      <c r="F186" s="17"/>
      <c r="G186" s="17"/>
      <c r="H186" s="17"/>
      <c r="I186" s="17"/>
      <c r="J186" s="17"/>
      <c r="K186" s="17"/>
      <c r="L186" s="17"/>
      <c r="M186" s="203"/>
      <c r="N186" s="17"/>
      <c r="O186" s="14"/>
      <c r="P186" s="14"/>
      <c r="Q186" s="14"/>
      <c r="R186" s="14"/>
      <c r="S186" s="14"/>
      <c r="T186" s="14"/>
      <c r="U186" s="14"/>
      <c r="V186" s="14"/>
      <c r="W186" s="14"/>
      <c r="X186" s="4"/>
      <c r="Y186" s="4"/>
    </row>
    <row r="187" spans="1:25" x14ac:dyDescent="0.25">
      <c r="A187" s="112"/>
      <c r="B187" s="17"/>
      <c r="C187" s="17"/>
      <c r="D187" s="17"/>
      <c r="E187" s="17"/>
      <c r="F187" s="17"/>
      <c r="G187" s="17"/>
      <c r="H187" s="17"/>
      <c r="I187" s="17"/>
      <c r="J187" s="17"/>
      <c r="K187" s="17"/>
      <c r="L187" s="17"/>
      <c r="M187" s="203"/>
      <c r="N187" s="17"/>
      <c r="O187" s="14"/>
      <c r="P187" s="14"/>
      <c r="Q187" s="14"/>
      <c r="R187" s="14"/>
      <c r="S187" s="14"/>
      <c r="T187" s="14"/>
      <c r="U187" s="14"/>
      <c r="V187" s="14"/>
      <c r="W187" s="14"/>
      <c r="X187" s="4"/>
      <c r="Y187" s="4"/>
    </row>
    <row r="188" spans="1:25" x14ac:dyDescent="0.25">
      <c r="A188" s="109"/>
      <c r="B188" s="4"/>
      <c r="C188" s="4"/>
      <c r="D188" s="4"/>
      <c r="E188" s="4"/>
      <c r="F188" s="4"/>
      <c r="G188" s="4"/>
      <c r="H188" s="4"/>
      <c r="I188" s="4"/>
      <c r="J188" s="4"/>
      <c r="K188" s="4"/>
      <c r="L188" s="4"/>
      <c r="M188" s="4"/>
      <c r="N188" s="4"/>
      <c r="O188" s="5"/>
      <c r="P188" s="5"/>
      <c r="Q188" s="5"/>
      <c r="R188" s="5"/>
      <c r="S188" s="5"/>
      <c r="T188" s="5"/>
      <c r="U188" s="5"/>
      <c r="V188" s="5"/>
      <c r="W188" s="5"/>
      <c r="X188" s="4"/>
      <c r="Y188" s="4"/>
    </row>
    <row r="189" spans="1:25" x14ac:dyDescent="0.25">
      <c r="A189" s="109"/>
      <c r="B189" s="4"/>
      <c r="C189" s="4"/>
      <c r="D189" s="4"/>
      <c r="E189" s="4"/>
      <c r="F189" s="4"/>
      <c r="G189" s="4"/>
      <c r="H189" s="4"/>
      <c r="I189" s="4"/>
      <c r="J189" s="4"/>
      <c r="K189" s="4"/>
      <c r="L189" s="4"/>
      <c r="M189" s="4"/>
      <c r="N189" s="4"/>
      <c r="O189" s="5"/>
      <c r="P189" s="5"/>
      <c r="Q189" s="5"/>
      <c r="R189" s="5"/>
      <c r="S189" s="5"/>
      <c r="T189" s="5"/>
      <c r="U189" s="5"/>
      <c r="V189" s="5"/>
      <c r="W189" s="5"/>
      <c r="X189" s="4"/>
      <c r="Y189" s="4"/>
    </row>
    <row r="190" spans="1:25" x14ac:dyDescent="0.25">
      <c r="A190" s="109"/>
      <c r="B190" s="4"/>
      <c r="C190" s="4"/>
      <c r="D190" s="4"/>
      <c r="E190" s="4"/>
      <c r="F190" s="4"/>
      <c r="G190" s="4"/>
      <c r="H190" s="4"/>
      <c r="I190" s="4"/>
      <c r="J190" s="4"/>
      <c r="K190" s="4"/>
      <c r="L190" s="4"/>
      <c r="M190" s="4"/>
      <c r="N190" s="4"/>
      <c r="O190" s="5"/>
      <c r="P190" s="5"/>
      <c r="Q190" s="5"/>
      <c r="R190" s="5"/>
      <c r="S190" s="5"/>
      <c r="T190" s="5"/>
      <c r="U190" s="5"/>
      <c r="V190" s="5"/>
      <c r="W190" s="5"/>
      <c r="X190" s="4"/>
      <c r="Y190" s="4"/>
    </row>
    <row r="191" spans="1:25" x14ac:dyDescent="0.25">
      <c r="A191" s="112"/>
      <c r="B191" s="17"/>
      <c r="C191" s="17"/>
      <c r="D191" s="17"/>
      <c r="E191" s="17"/>
      <c r="F191" s="17"/>
      <c r="G191" s="17"/>
      <c r="H191" s="17"/>
      <c r="I191" s="17"/>
      <c r="J191" s="17"/>
      <c r="K191" s="17"/>
      <c r="L191" s="17"/>
      <c r="M191" s="203"/>
      <c r="N191" s="17"/>
      <c r="O191" s="14"/>
      <c r="P191" s="14"/>
      <c r="Q191" s="14"/>
      <c r="R191" s="14"/>
      <c r="S191" s="14"/>
      <c r="T191" s="14"/>
      <c r="U191" s="14"/>
      <c r="V191" s="14"/>
      <c r="W191" s="14"/>
      <c r="X191" s="4"/>
      <c r="Y191" s="4"/>
    </row>
    <row r="192" spans="1:25" x14ac:dyDescent="0.25">
      <c r="A192" s="112"/>
      <c r="B192" s="17"/>
      <c r="C192" s="17"/>
      <c r="D192" s="17"/>
      <c r="E192" s="17"/>
      <c r="F192" s="17"/>
      <c r="G192" s="17"/>
      <c r="H192" s="17"/>
      <c r="I192" s="17"/>
      <c r="J192" s="17"/>
      <c r="K192" s="17"/>
      <c r="L192" s="17"/>
      <c r="M192" s="203"/>
      <c r="N192" s="17"/>
      <c r="O192" s="14"/>
      <c r="P192" s="14"/>
      <c r="Q192" s="14"/>
      <c r="R192" s="14"/>
      <c r="S192" s="14"/>
      <c r="T192" s="14"/>
      <c r="U192" s="14"/>
      <c r="V192" s="14"/>
      <c r="W192" s="14"/>
      <c r="X192" s="4"/>
      <c r="Y192" s="4"/>
    </row>
    <row r="193" spans="1:25" x14ac:dyDescent="0.25">
      <c r="A193" s="109"/>
      <c r="B193" s="4"/>
      <c r="C193" s="4"/>
      <c r="D193" s="4"/>
      <c r="E193" s="4"/>
      <c r="F193" s="4"/>
      <c r="G193" s="4"/>
      <c r="H193" s="4"/>
      <c r="I193" s="4"/>
      <c r="J193" s="4"/>
      <c r="K193" s="4"/>
      <c r="L193" s="4"/>
      <c r="M193" s="4"/>
      <c r="N193" s="4"/>
      <c r="O193" s="5"/>
      <c r="P193" s="5"/>
      <c r="Q193" s="5"/>
      <c r="R193" s="5"/>
      <c r="S193" s="5"/>
      <c r="T193" s="5"/>
      <c r="U193" s="5"/>
      <c r="V193" s="5"/>
      <c r="W193" s="5"/>
      <c r="X193" s="4"/>
      <c r="Y193" s="4"/>
    </row>
    <row r="194" spans="1:25" x14ac:dyDescent="0.25">
      <c r="A194" s="109"/>
      <c r="B194" s="4"/>
      <c r="C194" s="4"/>
      <c r="D194" s="4"/>
      <c r="E194" s="4"/>
      <c r="F194" s="4"/>
      <c r="G194" s="4"/>
      <c r="H194" s="4"/>
      <c r="I194" s="4"/>
      <c r="J194" s="4"/>
      <c r="K194" s="4"/>
      <c r="L194" s="4"/>
      <c r="M194" s="4"/>
      <c r="N194" s="4"/>
      <c r="O194" s="5"/>
      <c r="P194" s="5"/>
      <c r="Q194" s="5"/>
      <c r="R194" s="5"/>
      <c r="S194" s="5"/>
      <c r="T194" s="5"/>
      <c r="U194" s="5"/>
      <c r="V194" s="5"/>
      <c r="W194" s="5"/>
      <c r="X194" s="4"/>
      <c r="Y194" s="4"/>
    </row>
    <row r="195" spans="1:25" x14ac:dyDescent="0.25">
      <c r="A195" s="109"/>
      <c r="B195" s="4"/>
      <c r="C195" s="4"/>
      <c r="D195" s="4"/>
      <c r="E195" s="4"/>
      <c r="F195" s="4"/>
      <c r="G195" s="4"/>
      <c r="H195" s="4"/>
      <c r="I195" s="4"/>
      <c r="J195" s="4"/>
      <c r="K195" s="4"/>
      <c r="L195" s="4"/>
      <c r="M195" s="4"/>
      <c r="N195" s="4"/>
      <c r="O195" s="5"/>
      <c r="P195" s="5"/>
      <c r="Q195" s="5"/>
      <c r="R195" s="5"/>
      <c r="S195" s="5"/>
      <c r="T195" s="5"/>
      <c r="U195" s="5"/>
      <c r="V195" s="5"/>
      <c r="W195" s="5"/>
      <c r="X195" s="4"/>
      <c r="Y195" s="4"/>
    </row>
    <row r="196" spans="1:25" x14ac:dyDescent="0.25">
      <c r="A196" s="112"/>
      <c r="B196" s="17"/>
      <c r="C196" s="17"/>
      <c r="D196" s="17"/>
      <c r="E196" s="17"/>
      <c r="F196" s="17"/>
      <c r="G196" s="17"/>
      <c r="H196" s="17"/>
      <c r="I196" s="17"/>
      <c r="J196" s="17"/>
      <c r="K196" s="17"/>
      <c r="L196" s="17"/>
      <c r="M196" s="203"/>
      <c r="N196" s="17"/>
      <c r="O196" s="14"/>
      <c r="P196" s="14"/>
      <c r="Q196" s="14"/>
      <c r="R196" s="14"/>
      <c r="S196" s="14"/>
      <c r="T196" s="14"/>
      <c r="U196" s="14"/>
      <c r="V196" s="14"/>
      <c r="W196" s="14"/>
      <c r="X196" s="4"/>
      <c r="Y196" s="4"/>
    </row>
    <row r="197" spans="1:25" x14ac:dyDescent="0.25">
      <c r="A197" s="112"/>
      <c r="B197" s="17"/>
      <c r="C197" s="17"/>
      <c r="D197" s="17"/>
      <c r="E197" s="17"/>
      <c r="F197" s="17"/>
      <c r="G197" s="17"/>
      <c r="H197" s="17"/>
      <c r="I197" s="17"/>
      <c r="J197" s="17"/>
      <c r="K197" s="17"/>
      <c r="L197" s="17"/>
      <c r="M197" s="203"/>
      <c r="N197" s="17"/>
      <c r="O197" s="14"/>
      <c r="P197" s="14"/>
      <c r="Q197" s="14"/>
      <c r="R197" s="14"/>
      <c r="S197" s="14"/>
      <c r="T197" s="14"/>
      <c r="U197" s="14"/>
      <c r="V197" s="14"/>
      <c r="W197" s="14"/>
      <c r="X197" s="4"/>
      <c r="Y197" s="4"/>
    </row>
    <row r="198" spans="1:25" x14ac:dyDescent="0.25">
      <c r="A198" s="109"/>
      <c r="B198" s="4"/>
      <c r="C198" s="4"/>
      <c r="D198" s="4"/>
      <c r="E198" s="4"/>
      <c r="F198" s="4"/>
      <c r="G198" s="4"/>
      <c r="H198" s="4"/>
      <c r="I198" s="4"/>
      <c r="J198" s="4"/>
      <c r="K198" s="4"/>
      <c r="L198" s="4"/>
      <c r="M198" s="4"/>
      <c r="N198" s="4"/>
      <c r="O198" s="5"/>
      <c r="P198" s="5"/>
      <c r="Q198" s="5"/>
      <c r="R198" s="5"/>
      <c r="S198" s="5"/>
      <c r="T198" s="5"/>
      <c r="U198" s="5"/>
      <c r="V198" s="5"/>
      <c r="W198" s="5"/>
      <c r="X198" s="4"/>
      <c r="Y198" s="4"/>
    </row>
    <row r="199" spans="1:25" x14ac:dyDescent="0.25">
      <c r="A199" s="109"/>
      <c r="B199" s="4"/>
      <c r="C199" s="4"/>
      <c r="D199" s="4"/>
      <c r="E199" s="4"/>
      <c r="F199" s="4"/>
      <c r="G199" s="4"/>
      <c r="H199" s="4"/>
      <c r="I199" s="4"/>
      <c r="J199" s="4"/>
      <c r="K199" s="4"/>
      <c r="L199" s="4"/>
      <c r="M199" s="4"/>
      <c r="N199" s="4"/>
      <c r="O199" s="5"/>
      <c r="P199" s="5"/>
      <c r="Q199" s="5"/>
      <c r="R199" s="5"/>
      <c r="S199" s="5"/>
      <c r="T199" s="5"/>
      <c r="U199" s="5"/>
      <c r="V199" s="5"/>
      <c r="W199" s="5"/>
      <c r="X199" s="4"/>
      <c r="Y199" s="4"/>
    </row>
    <row r="200" spans="1:25" x14ac:dyDescent="0.25">
      <c r="A200" s="109"/>
      <c r="B200" s="4"/>
      <c r="C200" s="4"/>
      <c r="D200" s="4"/>
      <c r="E200" s="4"/>
      <c r="F200" s="4"/>
      <c r="G200" s="4"/>
      <c r="H200" s="4"/>
      <c r="I200" s="4"/>
      <c r="J200" s="4"/>
      <c r="K200" s="4"/>
      <c r="L200" s="4"/>
      <c r="M200" s="4"/>
      <c r="N200" s="4"/>
      <c r="O200" s="5"/>
      <c r="P200" s="5"/>
      <c r="Q200" s="5"/>
      <c r="R200" s="5"/>
      <c r="S200" s="5"/>
      <c r="T200" s="5"/>
      <c r="U200" s="5"/>
      <c r="V200" s="5"/>
      <c r="W200" s="5"/>
      <c r="X200" s="4"/>
      <c r="Y200" s="4"/>
    </row>
    <row r="201" spans="1:25" x14ac:dyDescent="0.25">
      <c r="A201" s="112"/>
      <c r="B201" s="17"/>
      <c r="C201" s="17"/>
      <c r="D201" s="17"/>
      <c r="E201" s="17"/>
      <c r="F201" s="17"/>
      <c r="G201" s="17"/>
      <c r="H201" s="17"/>
      <c r="I201" s="17"/>
      <c r="J201" s="17"/>
      <c r="K201" s="17"/>
      <c r="L201" s="17"/>
      <c r="M201" s="203"/>
      <c r="N201" s="17"/>
      <c r="O201" s="14"/>
      <c r="P201" s="14"/>
      <c r="Q201" s="14"/>
      <c r="R201" s="14"/>
      <c r="S201" s="14"/>
      <c r="T201" s="14"/>
      <c r="U201" s="14"/>
      <c r="V201" s="14"/>
      <c r="W201" s="14"/>
      <c r="X201" s="4"/>
      <c r="Y201" s="4"/>
    </row>
    <row r="202" spans="1:25" x14ac:dyDescent="0.25">
      <c r="A202" s="112"/>
      <c r="B202" s="17"/>
      <c r="C202" s="17"/>
      <c r="D202" s="17"/>
      <c r="E202" s="17"/>
      <c r="F202" s="17"/>
      <c r="G202" s="17"/>
      <c r="H202" s="17"/>
      <c r="I202" s="17"/>
      <c r="J202" s="17"/>
      <c r="K202" s="17"/>
      <c r="L202" s="17"/>
      <c r="M202" s="203"/>
      <c r="N202" s="17"/>
      <c r="O202" s="14"/>
      <c r="P202" s="14"/>
      <c r="Q202" s="14"/>
      <c r="R202" s="14"/>
      <c r="S202" s="14"/>
      <c r="T202" s="14"/>
      <c r="U202" s="14"/>
      <c r="V202" s="14"/>
      <c r="W202" s="14"/>
      <c r="X202" s="4"/>
      <c r="Y202" s="4"/>
    </row>
    <row r="203" spans="1:25" x14ac:dyDescent="0.25">
      <c r="A203" s="109"/>
      <c r="B203" s="4"/>
      <c r="C203" s="4"/>
      <c r="D203" s="4"/>
      <c r="E203" s="4"/>
      <c r="F203" s="4"/>
      <c r="G203" s="4"/>
      <c r="H203" s="4"/>
      <c r="I203" s="4"/>
      <c r="J203" s="4"/>
      <c r="K203" s="4"/>
      <c r="L203" s="4"/>
      <c r="M203" s="4"/>
      <c r="N203" s="4"/>
      <c r="O203" s="5"/>
      <c r="P203" s="5"/>
      <c r="Q203" s="5"/>
      <c r="R203" s="5"/>
      <c r="S203" s="5"/>
      <c r="T203" s="5"/>
      <c r="U203" s="5"/>
      <c r="V203" s="5"/>
      <c r="W203" s="5"/>
      <c r="X203" s="4"/>
      <c r="Y203" s="4"/>
    </row>
    <row r="204" spans="1:25" x14ac:dyDescent="0.25">
      <c r="A204" s="109"/>
      <c r="B204" s="4"/>
      <c r="C204" s="4"/>
      <c r="D204" s="4"/>
      <c r="E204" s="4"/>
      <c r="F204" s="4"/>
      <c r="G204" s="4"/>
      <c r="H204" s="4"/>
      <c r="I204" s="4"/>
      <c r="J204" s="4"/>
      <c r="K204" s="4"/>
      <c r="L204" s="4"/>
      <c r="M204" s="4"/>
      <c r="N204" s="4"/>
      <c r="O204" s="5"/>
      <c r="P204" s="5"/>
      <c r="Q204" s="5"/>
      <c r="R204" s="5"/>
      <c r="S204" s="5"/>
      <c r="T204" s="5"/>
      <c r="U204" s="5"/>
      <c r="V204" s="5"/>
      <c r="W204" s="5"/>
      <c r="X204" s="4"/>
      <c r="Y204" s="4"/>
    </row>
    <row r="205" spans="1:25" x14ac:dyDescent="0.25">
      <c r="A205" s="109"/>
      <c r="B205" s="4"/>
      <c r="C205" s="4"/>
      <c r="D205" s="4"/>
      <c r="E205" s="4"/>
      <c r="F205" s="4"/>
      <c r="G205" s="4"/>
      <c r="H205" s="4"/>
      <c r="I205" s="4"/>
      <c r="J205" s="4"/>
      <c r="K205" s="4"/>
      <c r="L205" s="4"/>
      <c r="M205" s="4"/>
      <c r="N205" s="4"/>
      <c r="O205" s="5"/>
      <c r="P205" s="5"/>
      <c r="Q205" s="5"/>
      <c r="R205" s="5"/>
      <c r="S205" s="5"/>
      <c r="T205" s="5"/>
      <c r="U205" s="5"/>
      <c r="V205" s="5"/>
      <c r="W205" s="5"/>
      <c r="X205" s="4"/>
      <c r="Y205" s="4"/>
    </row>
    <row r="206" spans="1:25" x14ac:dyDescent="0.25">
      <c r="A206" s="112"/>
      <c r="B206" s="17"/>
      <c r="C206" s="17"/>
      <c r="D206" s="17"/>
      <c r="E206" s="17"/>
      <c r="F206" s="17"/>
      <c r="G206" s="17"/>
      <c r="H206" s="17"/>
      <c r="I206" s="17"/>
      <c r="J206" s="17"/>
      <c r="K206" s="17"/>
      <c r="L206" s="17"/>
      <c r="M206" s="203"/>
      <c r="N206" s="17"/>
      <c r="O206" s="14"/>
      <c r="P206" s="14"/>
      <c r="Q206" s="14"/>
      <c r="R206" s="14"/>
      <c r="S206" s="14"/>
      <c r="T206" s="14"/>
      <c r="U206" s="14"/>
      <c r="V206" s="14"/>
      <c r="W206" s="14"/>
      <c r="X206" s="4"/>
      <c r="Y206" s="4"/>
    </row>
    <row r="207" spans="1:25" x14ac:dyDescent="0.25">
      <c r="A207" s="112"/>
      <c r="B207" s="17"/>
      <c r="C207" s="17"/>
      <c r="D207" s="17"/>
      <c r="E207" s="17"/>
      <c r="F207" s="17"/>
      <c r="G207" s="17"/>
      <c r="H207" s="17"/>
      <c r="I207" s="17"/>
      <c r="J207" s="17"/>
      <c r="K207" s="17"/>
      <c r="L207" s="17"/>
      <c r="M207" s="203"/>
      <c r="N207" s="17"/>
      <c r="O207" s="14"/>
      <c r="P207" s="14"/>
      <c r="Q207" s="14"/>
      <c r="R207" s="14"/>
      <c r="S207" s="14"/>
      <c r="T207" s="14"/>
      <c r="U207" s="14"/>
      <c r="V207" s="14"/>
      <c r="W207" s="14"/>
      <c r="X207" s="4"/>
      <c r="Y207" s="4"/>
    </row>
    <row r="208" spans="1:25" x14ac:dyDescent="0.25">
      <c r="A208" s="109"/>
      <c r="B208" s="4"/>
      <c r="C208" s="4"/>
      <c r="D208" s="4"/>
      <c r="E208" s="4"/>
      <c r="F208" s="4"/>
      <c r="G208" s="4"/>
      <c r="H208" s="4"/>
      <c r="I208" s="4"/>
      <c r="J208" s="4"/>
      <c r="K208" s="4"/>
      <c r="L208" s="4"/>
      <c r="M208" s="4"/>
      <c r="N208" s="4"/>
      <c r="O208" s="5"/>
      <c r="P208" s="5"/>
      <c r="Q208" s="5"/>
      <c r="R208" s="5"/>
      <c r="S208" s="5"/>
      <c r="T208" s="5"/>
      <c r="U208" s="5"/>
      <c r="V208" s="5"/>
      <c r="W208" s="5"/>
      <c r="X208" s="4"/>
      <c r="Y208" s="4"/>
    </row>
    <row r="209" spans="1:25" x14ac:dyDescent="0.25">
      <c r="A209" s="109"/>
      <c r="B209" s="4"/>
      <c r="C209" s="4"/>
      <c r="D209" s="4"/>
      <c r="E209" s="4"/>
      <c r="F209" s="4"/>
      <c r="G209" s="4"/>
      <c r="H209" s="4"/>
      <c r="I209" s="4"/>
      <c r="J209" s="4"/>
      <c r="K209" s="4"/>
      <c r="L209" s="4"/>
      <c r="M209" s="4"/>
      <c r="N209" s="4"/>
      <c r="O209" s="5"/>
      <c r="P209" s="5"/>
      <c r="Q209" s="5"/>
      <c r="R209" s="5"/>
      <c r="S209" s="5"/>
      <c r="T209" s="5"/>
      <c r="U209" s="5"/>
      <c r="V209" s="5"/>
      <c r="W209" s="5"/>
      <c r="X209" s="4"/>
      <c r="Y209" s="4"/>
    </row>
    <row r="210" spans="1:25" x14ac:dyDescent="0.25">
      <c r="A210" s="109"/>
      <c r="B210" s="4"/>
      <c r="C210" s="4"/>
      <c r="D210" s="4"/>
      <c r="E210" s="4"/>
      <c r="F210" s="4"/>
      <c r="G210" s="4"/>
      <c r="H210" s="4"/>
      <c r="I210" s="4"/>
      <c r="J210" s="4"/>
      <c r="K210" s="4"/>
      <c r="L210" s="4"/>
      <c r="M210" s="4"/>
      <c r="N210" s="4"/>
      <c r="O210" s="5"/>
      <c r="P210" s="5"/>
      <c r="Q210" s="5"/>
      <c r="R210" s="5"/>
      <c r="S210" s="5"/>
      <c r="T210" s="5"/>
      <c r="U210" s="5"/>
      <c r="V210" s="5"/>
      <c r="W210" s="5"/>
      <c r="X210" s="4"/>
      <c r="Y210" s="4"/>
    </row>
    <row r="211" spans="1:25" x14ac:dyDescent="0.25">
      <c r="A211" s="112"/>
      <c r="B211" s="17"/>
      <c r="C211" s="17"/>
      <c r="D211" s="17"/>
      <c r="E211" s="17"/>
      <c r="F211" s="17"/>
      <c r="G211" s="17"/>
      <c r="H211" s="17"/>
      <c r="I211" s="17"/>
      <c r="J211" s="17"/>
      <c r="K211" s="17"/>
      <c r="L211" s="17"/>
      <c r="M211" s="203"/>
      <c r="N211" s="17"/>
      <c r="O211" s="14"/>
      <c r="P211" s="14"/>
      <c r="Q211" s="14"/>
      <c r="R211" s="14"/>
      <c r="S211" s="14"/>
      <c r="T211" s="14"/>
      <c r="U211" s="14"/>
      <c r="V211" s="14"/>
      <c r="W211" s="14"/>
      <c r="X211" s="4"/>
      <c r="Y211" s="4"/>
    </row>
    <row r="212" spans="1:25" x14ac:dyDescent="0.25">
      <c r="A212" s="112"/>
      <c r="B212" s="17"/>
      <c r="C212" s="17"/>
      <c r="D212" s="17"/>
      <c r="E212" s="17"/>
      <c r="F212" s="17"/>
      <c r="G212" s="17"/>
      <c r="H212" s="17"/>
      <c r="I212" s="17"/>
      <c r="J212" s="17"/>
      <c r="K212" s="17"/>
      <c r="L212" s="17"/>
      <c r="M212" s="203"/>
      <c r="N212" s="17"/>
      <c r="O212" s="14"/>
      <c r="P212" s="14"/>
      <c r="Q212" s="14"/>
      <c r="R212" s="14"/>
      <c r="S212" s="14"/>
      <c r="T212" s="14"/>
      <c r="U212" s="14"/>
      <c r="V212" s="14"/>
      <c r="W212" s="14"/>
      <c r="X212" s="4"/>
      <c r="Y212" s="4"/>
    </row>
    <row r="213" spans="1:25" x14ac:dyDescent="0.25">
      <c r="A213" s="109"/>
      <c r="B213" s="4"/>
      <c r="C213" s="4"/>
      <c r="D213" s="4"/>
      <c r="E213" s="4"/>
      <c r="F213" s="4"/>
      <c r="G213" s="4"/>
      <c r="H213" s="4"/>
      <c r="I213" s="4"/>
      <c r="J213" s="4"/>
      <c r="K213" s="4"/>
      <c r="L213" s="4"/>
      <c r="M213" s="4"/>
      <c r="N213" s="4"/>
      <c r="O213" s="5"/>
      <c r="P213" s="5"/>
      <c r="Q213" s="5"/>
      <c r="R213" s="5"/>
      <c r="S213" s="5"/>
      <c r="T213" s="5"/>
      <c r="U213" s="5"/>
      <c r="V213" s="5"/>
      <c r="W213" s="5"/>
      <c r="X213" s="4"/>
      <c r="Y213" s="4"/>
    </row>
    <row r="214" spans="1:25" x14ac:dyDescent="0.25">
      <c r="A214" s="109"/>
      <c r="B214" s="4"/>
      <c r="C214" s="4"/>
      <c r="D214" s="4"/>
      <c r="E214" s="4"/>
      <c r="F214" s="4"/>
      <c r="G214" s="4"/>
      <c r="H214" s="4"/>
      <c r="I214" s="4"/>
      <c r="J214" s="4"/>
      <c r="K214" s="4"/>
      <c r="L214" s="4"/>
      <c r="M214" s="4"/>
      <c r="N214" s="4"/>
      <c r="O214" s="5"/>
      <c r="P214" s="5"/>
      <c r="Q214" s="5"/>
      <c r="R214" s="5"/>
      <c r="S214" s="5"/>
      <c r="T214" s="5"/>
      <c r="U214" s="5"/>
      <c r="V214" s="5"/>
      <c r="W214" s="5"/>
      <c r="X214" s="4"/>
      <c r="Y214" s="4"/>
    </row>
    <row r="215" spans="1:25" x14ac:dyDescent="0.25">
      <c r="A215" s="109"/>
      <c r="B215" s="4"/>
      <c r="C215" s="4"/>
      <c r="D215" s="4"/>
      <c r="E215" s="4"/>
      <c r="F215" s="4"/>
      <c r="G215" s="4"/>
      <c r="H215" s="4"/>
      <c r="I215" s="4"/>
      <c r="J215" s="4"/>
      <c r="K215" s="4"/>
      <c r="L215" s="4"/>
      <c r="M215" s="4"/>
      <c r="N215" s="4"/>
      <c r="O215" s="5"/>
      <c r="P215" s="5"/>
      <c r="Q215" s="5"/>
      <c r="R215" s="5"/>
      <c r="S215" s="5"/>
      <c r="T215" s="5"/>
      <c r="U215" s="5"/>
      <c r="V215" s="5"/>
      <c r="W215" s="5"/>
      <c r="X215" s="4"/>
      <c r="Y215" s="4"/>
    </row>
    <row r="216" spans="1:25" x14ac:dyDescent="0.25">
      <c r="A216" s="112"/>
      <c r="B216" s="17"/>
      <c r="C216" s="17"/>
      <c r="D216" s="17"/>
      <c r="E216" s="17"/>
      <c r="F216" s="17"/>
      <c r="G216" s="17"/>
      <c r="H216" s="17"/>
      <c r="I216" s="17"/>
      <c r="J216" s="17"/>
      <c r="K216" s="17"/>
      <c r="L216" s="17"/>
      <c r="M216" s="203"/>
      <c r="N216" s="17"/>
      <c r="O216" s="14"/>
      <c r="P216" s="14"/>
      <c r="Q216" s="14"/>
      <c r="R216" s="14"/>
      <c r="S216" s="14"/>
      <c r="T216" s="14"/>
      <c r="U216" s="14"/>
      <c r="V216" s="14"/>
      <c r="W216" s="14"/>
      <c r="X216" s="4"/>
      <c r="Y216" s="4"/>
    </row>
    <row r="217" spans="1:25" x14ac:dyDescent="0.25">
      <c r="A217" s="112"/>
      <c r="B217" s="17"/>
      <c r="C217" s="17"/>
      <c r="D217" s="17"/>
      <c r="E217" s="17"/>
      <c r="F217" s="17"/>
      <c r="G217" s="17"/>
      <c r="H217" s="17"/>
      <c r="I217" s="17"/>
      <c r="J217" s="17"/>
      <c r="K217" s="17"/>
      <c r="L217" s="17"/>
      <c r="M217" s="203"/>
      <c r="N217" s="17"/>
      <c r="O217" s="14"/>
      <c r="P217" s="14"/>
      <c r="Q217" s="14"/>
      <c r="R217" s="14"/>
      <c r="S217" s="14"/>
      <c r="T217" s="14"/>
      <c r="U217" s="14"/>
      <c r="V217" s="14"/>
      <c r="W217" s="14"/>
      <c r="X217" s="4"/>
      <c r="Y217" s="4"/>
    </row>
    <row r="218" spans="1:25" x14ac:dyDescent="0.25">
      <c r="A218" s="109"/>
      <c r="B218" s="4"/>
      <c r="C218" s="4"/>
      <c r="D218" s="4"/>
      <c r="E218" s="4"/>
      <c r="F218" s="4"/>
      <c r="G218" s="4"/>
      <c r="H218" s="4"/>
      <c r="I218" s="4"/>
      <c r="J218" s="4"/>
      <c r="K218" s="4"/>
      <c r="L218" s="4"/>
      <c r="M218" s="4"/>
      <c r="N218" s="4"/>
      <c r="O218" s="5"/>
      <c r="P218" s="5"/>
      <c r="Q218" s="5"/>
      <c r="R218" s="5"/>
      <c r="S218" s="5"/>
      <c r="T218" s="5"/>
      <c r="U218" s="5"/>
      <c r="V218" s="5"/>
      <c r="W218" s="5"/>
      <c r="X218" s="4"/>
      <c r="Y218" s="4"/>
    </row>
    <row r="219" spans="1:25" x14ac:dyDescent="0.25">
      <c r="A219" s="109"/>
      <c r="B219" s="4"/>
      <c r="C219" s="4"/>
      <c r="D219" s="4"/>
      <c r="E219" s="4"/>
      <c r="F219" s="4"/>
      <c r="G219" s="4"/>
      <c r="H219" s="4"/>
      <c r="I219" s="4"/>
      <c r="J219" s="4"/>
      <c r="K219" s="4"/>
      <c r="L219" s="4"/>
      <c r="M219" s="4"/>
      <c r="N219" s="4"/>
      <c r="O219" s="5"/>
      <c r="P219" s="5"/>
      <c r="Q219" s="5"/>
      <c r="R219" s="5"/>
      <c r="S219" s="5"/>
      <c r="T219" s="5"/>
      <c r="U219" s="5"/>
      <c r="V219" s="5"/>
      <c r="W219" s="5"/>
      <c r="X219" s="4"/>
      <c r="Y219" s="4"/>
    </row>
    <row r="220" spans="1:25" x14ac:dyDescent="0.25">
      <c r="A220" s="109"/>
      <c r="B220" s="4"/>
      <c r="C220" s="4"/>
      <c r="D220" s="4"/>
      <c r="E220" s="4"/>
      <c r="F220" s="4"/>
      <c r="G220" s="4"/>
      <c r="H220" s="4"/>
      <c r="I220" s="4"/>
      <c r="J220" s="4"/>
      <c r="K220" s="4"/>
      <c r="L220" s="4"/>
      <c r="M220" s="4"/>
      <c r="N220" s="4"/>
      <c r="O220" s="5"/>
      <c r="P220" s="5"/>
      <c r="Q220" s="5"/>
      <c r="R220" s="5"/>
      <c r="S220" s="5"/>
      <c r="T220" s="5"/>
      <c r="U220" s="5"/>
      <c r="V220" s="5"/>
      <c r="W220" s="5"/>
      <c r="X220" s="4"/>
      <c r="Y220" s="4"/>
    </row>
    <row r="221" spans="1:25" x14ac:dyDescent="0.25">
      <c r="A221" s="112"/>
      <c r="B221" s="17"/>
      <c r="C221" s="17"/>
      <c r="D221" s="17"/>
      <c r="E221" s="17"/>
      <c r="F221" s="17"/>
      <c r="G221" s="17"/>
      <c r="H221" s="17"/>
      <c r="I221" s="17"/>
      <c r="J221" s="17"/>
      <c r="K221" s="17"/>
      <c r="L221" s="17"/>
      <c r="M221" s="203"/>
      <c r="N221" s="17"/>
      <c r="O221" s="14"/>
      <c r="P221" s="14"/>
      <c r="Q221" s="14"/>
      <c r="R221" s="14"/>
      <c r="S221" s="14"/>
      <c r="T221" s="14"/>
      <c r="U221" s="14"/>
      <c r="V221" s="14"/>
      <c r="W221" s="14"/>
      <c r="X221" s="4"/>
      <c r="Y221" s="4"/>
    </row>
    <row r="222" spans="1:25" x14ac:dyDescent="0.25">
      <c r="A222" s="112"/>
      <c r="B222" s="17"/>
      <c r="C222" s="17"/>
      <c r="D222" s="17"/>
      <c r="E222" s="17"/>
      <c r="F222" s="17"/>
      <c r="G222" s="17"/>
      <c r="H222" s="17"/>
      <c r="I222" s="17"/>
      <c r="J222" s="17"/>
      <c r="K222" s="17"/>
      <c r="L222" s="17"/>
      <c r="M222" s="203"/>
      <c r="N222" s="17"/>
      <c r="O222" s="14"/>
      <c r="P222" s="14"/>
      <c r="Q222" s="14"/>
      <c r="R222" s="14"/>
      <c r="S222" s="14"/>
      <c r="T222" s="14"/>
      <c r="U222" s="14"/>
      <c r="V222" s="14"/>
      <c r="W222" s="14"/>
      <c r="X222" s="4"/>
      <c r="Y222" s="4"/>
    </row>
    <row r="223" spans="1:25" x14ac:dyDescent="0.25">
      <c r="A223" s="109"/>
      <c r="B223" s="4"/>
      <c r="C223" s="4"/>
      <c r="D223" s="4"/>
      <c r="E223" s="4"/>
      <c r="F223" s="4"/>
      <c r="G223" s="4"/>
      <c r="H223" s="4"/>
      <c r="I223" s="4"/>
      <c r="J223" s="4"/>
      <c r="K223" s="4"/>
      <c r="L223" s="4"/>
      <c r="M223" s="4"/>
      <c r="N223" s="4"/>
      <c r="O223" s="5"/>
      <c r="P223" s="5"/>
      <c r="Q223" s="5"/>
      <c r="R223" s="5"/>
      <c r="S223" s="5"/>
      <c r="T223" s="5"/>
      <c r="U223" s="5"/>
      <c r="V223" s="5"/>
      <c r="W223" s="5"/>
      <c r="X223" s="4"/>
      <c r="Y223" s="4"/>
    </row>
    <row r="224" spans="1:25" x14ac:dyDescent="0.25">
      <c r="A224" s="109"/>
      <c r="B224" s="4"/>
      <c r="C224" s="4"/>
      <c r="D224" s="4"/>
      <c r="E224" s="4"/>
      <c r="F224" s="4"/>
      <c r="G224" s="4"/>
      <c r="H224" s="4"/>
      <c r="I224" s="4"/>
      <c r="J224" s="4"/>
      <c r="K224" s="4"/>
      <c r="L224" s="4"/>
      <c r="M224" s="4"/>
      <c r="N224" s="4"/>
      <c r="O224" s="5"/>
      <c r="P224" s="5"/>
      <c r="Q224" s="5"/>
      <c r="R224" s="5"/>
      <c r="S224" s="5"/>
      <c r="T224" s="5"/>
      <c r="U224" s="5"/>
      <c r="V224" s="5"/>
      <c r="W224" s="5"/>
      <c r="X224" s="4"/>
      <c r="Y224" s="4"/>
    </row>
    <row r="225" spans="1:25" x14ac:dyDescent="0.25">
      <c r="A225" s="109"/>
      <c r="B225" s="4"/>
      <c r="C225" s="4"/>
      <c r="D225" s="4"/>
      <c r="E225" s="4"/>
      <c r="F225" s="4"/>
      <c r="G225" s="4"/>
      <c r="H225" s="4"/>
      <c r="I225" s="4"/>
      <c r="J225" s="4"/>
      <c r="K225" s="4"/>
      <c r="L225" s="4"/>
      <c r="M225" s="4"/>
      <c r="N225" s="4"/>
      <c r="O225" s="5"/>
      <c r="P225" s="5"/>
      <c r="Q225" s="5"/>
      <c r="R225" s="5"/>
      <c r="S225" s="5"/>
      <c r="T225" s="5"/>
      <c r="U225" s="5"/>
      <c r="V225" s="5"/>
      <c r="W225" s="5"/>
      <c r="X225" s="4"/>
      <c r="Y225" s="4"/>
    </row>
    <row r="226" spans="1:25" x14ac:dyDescent="0.25">
      <c r="A226" s="112"/>
      <c r="B226" s="17"/>
      <c r="C226" s="17"/>
      <c r="D226" s="17"/>
      <c r="E226" s="17"/>
      <c r="F226" s="17"/>
      <c r="G226" s="17"/>
      <c r="H226" s="17"/>
      <c r="I226" s="17"/>
      <c r="J226" s="17"/>
      <c r="K226" s="17"/>
      <c r="L226" s="17"/>
      <c r="M226" s="203"/>
      <c r="N226" s="17"/>
      <c r="O226" s="14"/>
      <c r="P226" s="14"/>
      <c r="Q226" s="14"/>
      <c r="R226" s="14"/>
      <c r="S226" s="14"/>
      <c r="T226" s="14"/>
      <c r="U226" s="14"/>
      <c r="V226" s="14"/>
      <c r="W226" s="14"/>
      <c r="X226" s="4"/>
      <c r="Y226" s="4"/>
    </row>
    <row r="227" spans="1:25" x14ac:dyDescent="0.25">
      <c r="A227" s="112"/>
      <c r="B227" s="17"/>
      <c r="C227" s="17"/>
      <c r="D227" s="17"/>
      <c r="E227" s="17"/>
      <c r="F227" s="17"/>
      <c r="G227" s="17"/>
      <c r="H227" s="17"/>
      <c r="I227" s="17"/>
      <c r="J227" s="17"/>
      <c r="K227" s="17"/>
      <c r="L227" s="17"/>
      <c r="M227" s="203"/>
      <c r="N227" s="17"/>
      <c r="O227" s="14"/>
      <c r="P227" s="14"/>
      <c r="Q227" s="14"/>
      <c r="R227" s="14"/>
      <c r="S227" s="14"/>
      <c r="T227" s="14"/>
      <c r="U227" s="14"/>
      <c r="V227" s="14"/>
      <c r="W227" s="14"/>
      <c r="X227" s="4"/>
      <c r="Y227" s="4"/>
    </row>
    <row r="228" spans="1:25" x14ac:dyDescent="0.25">
      <c r="A228" s="109"/>
      <c r="B228" s="4"/>
      <c r="C228" s="4"/>
      <c r="D228" s="4"/>
      <c r="E228" s="4"/>
      <c r="F228" s="4"/>
      <c r="G228" s="4"/>
      <c r="H228" s="4"/>
      <c r="I228" s="4"/>
      <c r="J228" s="4"/>
      <c r="K228" s="4"/>
      <c r="L228" s="4"/>
      <c r="M228" s="4"/>
      <c r="N228" s="4"/>
      <c r="O228" s="5"/>
      <c r="P228" s="5"/>
      <c r="Q228" s="5"/>
      <c r="R228" s="5"/>
      <c r="S228" s="5"/>
      <c r="T228" s="5"/>
      <c r="U228" s="5"/>
      <c r="V228" s="5"/>
      <c r="W228" s="5"/>
      <c r="X228" s="4"/>
      <c r="Y228" s="4"/>
    </row>
    <row r="229" spans="1:25" x14ac:dyDescent="0.25">
      <c r="A229" s="109"/>
      <c r="B229" s="4"/>
      <c r="C229" s="4"/>
      <c r="D229" s="4"/>
      <c r="E229" s="4"/>
      <c r="F229" s="4"/>
      <c r="G229" s="4"/>
      <c r="H229" s="4"/>
      <c r="I229" s="4"/>
      <c r="J229" s="4"/>
      <c r="K229" s="4"/>
      <c r="L229" s="4"/>
      <c r="M229" s="4"/>
      <c r="N229" s="4"/>
      <c r="O229" s="5"/>
      <c r="P229" s="5"/>
      <c r="Q229" s="5"/>
      <c r="R229" s="5"/>
      <c r="S229" s="5"/>
      <c r="T229" s="5"/>
      <c r="U229" s="5"/>
      <c r="V229" s="5"/>
      <c r="W229" s="5"/>
      <c r="X229" s="4"/>
      <c r="Y229" s="4"/>
    </row>
    <row r="230" spans="1:25" x14ac:dyDescent="0.25">
      <c r="A230" s="109"/>
      <c r="B230" s="4"/>
      <c r="C230" s="4"/>
      <c r="D230" s="4"/>
      <c r="E230" s="4"/>
      <c r="F230" s="4"/>
      <c r="G230" s="4"/>
      <c r="H230" s="4"/>
      <c r="I230" s="4"/>
      <c r="J230" s="4"/>
      <c r="K230" s="4"/>
      <c r="L230" s="4"/>
      <c r="M230" s="4"/>
      <c r="N230" s="4"/>
      <c r="O230" s="5"/>
      <c r="P230" s="5"/>
      <c r="Q230" s="5"/>
      <c r="R230" s="5"/>
      <c r="S230" s="5"/>
      <c r="T230" s="5"/>
      <c r="U230" s="5"/>
      <c r="V230" s="5"/>
      <c r="W230" s="5"/>
      <c r="X230" s="4"/>
      <c r="Y230" s="4"/>
    </row>
    <row r="231" spans="1:25" x14ac:dyDescent="0.25">
      <c r="A231" s="112"/>
      <c r="B231" s="17"/>
      <c r="C231" s="17"/>
      <c r="D231" s="17"/>
      <c r="E231" s="17"/>
      <c r="F231" s="17"/>
      <c r="G231" s="17"/>
      <c r="H231" s="17"/>
      <c r="I231" s="17"/>
      <c r="J231" s="17"/>
      <c r="K231" s="17"/>
      <c r="L231" s="17"/>
      <c r="M231" s="203"/>
      <c r="N231" s="17"/>
      <c r="O231" s="14"/>
      <c r="P231" s="14"/>
      <c r="Q231" s="14"/>
      <c r="R231" s="14"/>
      <c r="S231" s="14"/>
      <c r="T231" s="14"/>
      <c r="U231" s="14"/>
      <c r="V231" s="14"/>
      <c r="W231" s="14"/>
      <c r="X231" s="4"/>
      <c r="Y231" s="4"/>
    </row>
    <row r="232" spans="1:25" x14ac:dyDescent="0.25">
      <c r="A232" s="112"/>
      <c r="B232" s="17"/>
      <c r="C232" s="17"/>
      <c r="D232" s="17"/>
      <c r="E232" s="17"/>
      <c r="F232" s="17"/>
      <c r="G232" s="17"/>
      <c r="H232" s="17"/>
      <c r="I232" s="17"/>
      <c r="J232" s="17"/>
      <c r="K232" s="17"/>
      <c r="L232" s="17"/>
      <c r="M232" s="203"/>
      <c r="N232" s="17"/>
      <c r="O232" s="14"/>
      <c r="P232" s="14"/>
      <c r="Q232" s="14"/>
      <c r="R232" s="14"/>
      <c r="S232" s="14"/>
      <c r="T232" s="14"/>
      <c r="U232" s="14"/>
      <c r="V232" s="14"/>
      <c r="W232" s="14"/>
      <c r="X232" s="4"/>
      <c r="Y232" s="4"/>
    </row>
    <row r="233" spans="1:25" x14ac:dyDescent="0.25">
      <c r="A233" s="109"/>
      <c r="B233" s="4"/>
      <c r="C233" s="4"/>
      <c r="D233" s="4"/>
      <c r="E233" s="4"/>
      <c r="F233" s="4"/>
      <c r="G233" s="4"/>
      <c r="H233" s="4"/>
      <c r="I233" s="4"/>
      <c r="J233" s="4"/>
      <c r="K233" s="4"/>
      <c r="L233" s="4"/>
      <c r="M233" s="4"/>
      <c r="N233" s="4"/>
      <c r="O233" s="5"/>
      <c r="P233" s="5"/>
      <c r="Q233" s="5"/>
      <c r="R233" s="5"/>
      <c r="S233" s="5"/>
      <c r="T233" s="5"/>
      <c r="U233" s="5"/>
      <c r="V233" s="5"/>
      <c r="W233" s="5"/>
      <c r="X233" s="4"/>
      <c r="Y233" s="4"/>
    </row>
    <row r="234" spans="1:25" x14ac:dyDescent="0.25">
      <c r="A234" s="109"/>
      <c r="B234" s="4"/>
      <c r="C234" s="4"/>
      <c r="D234" s="4"/>
      <c r="E234" s="4"/>
      <c r="F234" s="4"/>
      <c r="G234" s="4"/>
      <c r="H234" s="4"/>
      <c r="I234" s="4"/>
      <c r="J234" s="4"/>
      <c r="K234" s="4"/>
      <c r="L234" s="4"/>
      <c r="M234" s="4"/>
      <c r="N234" s="4"/>
      <c r="O234" s="5"/>
      <c r="P234" s="5"/>
      <c r="Q234" s="5"/>
      <c r="R234" s="5"/>
      <c r="S234" s="5"/>
      <c r="T234" s="5"/>
      <c r="U234" s="5"/>
      <c r="V234" s="5"/>
      <c r="W234" s="5"/>
      <c r="X234" s="4"/>
      <c r="Y234" s="4"/>
    </row>
    <row r="235" spans="1:25" x14ac:dyDescent="0.25">
      <c r="A235" s="109"/>
      <c r="B235" s="4"/>
      <c r="C235" s="4"/>
      <c r="D235" s="4"/>
      <c r="E235" s="4"/>
      <c r="F235" s="4"/>
      <c r="G235" s="4"/>
      <c r="H235" s="4"/>
      <c r="I235" s="4"/>
      <c r="J235" s="4"/>
      <c r="K235" s="4"/>
      <c r="L235" s="4"/>
      <c r="M235" s="4"/>
      <c r="N235" s="4"/>
      <c r="O235" s="5"/>
      <c r="P235" s="5"/>
      <c r="Q235" s="5"/>
      <c r="R235" s="5"/>
      <c r="S235" s="5"/>
      <c r="T235" s="5"/>
      <c r="U235" s="5"/>
      <c r="V235" s="5"/>
      <c r="W235" s="5"/>
      <c r="X235" s="4"/>
      <c r="Y235" s="4"/>
    </row>
    <row r="236" spans="1:25" x14ac:dyDescent="0.25">
      <c r="A236" s="112"/>
      <c r="B236" s="17"/>
      <c r="C236" s="17"/>
      <c r="D236" s="17"/>
      <c r="E236" s="17"/>
      <c r="F236" s="17"/>
      <c r="G236" s="17"/>
      <c r="H236" s="17"/>
      <c r="I236" s="17"/>
      <c r="J236" s="17"/>
      <c r="K236" s="17"/>
      <c r="L236" s="17"/>
      <c r="M236" s="203"/>
      <c r="N236" s="17"/>
      <c r="O236" s="14"/>
      <c r="P236" s="14"/>
      <c r="Q236" s="14"/>
      <c r="R236" s="14"/>
      <c r="S236" s="14"/>
      <c r="T236" s="14"/>
      <c r="U236" s="14"/>
      <c r="V236" s="14"/>
      <c r="W236" s="14"/>
      <c r="X236" s="4"/>
      <c r="Y236" s="4"/>
    </row>
    <row r="237" spans="1:25" x14ac:dyDescent="0.25">
      <c r="A237" s="112"/>
      <c r="B237" s="17"/>
      <c r="C237" s="17"/>
      <c r="D237" s="17"/>
      <c r="E237" s="17"/>
      <c r="F237" s="17"/>
      <c r="G237" s="17"/>
      <c r="H237" s="17"/>
      <c r="I237" s="17"/>
      <c r="J237" s="17"/>
      <c r="K237" s="17"/>
      <c r="L237" s="17"/>
      <c r="M237" s="203"/>
      <c r="N237" s="17"/>
      <c r="O237" s="14"/>
      <c r="P237" s="14"/>
      <c r="Q237" s="14"/>
      <c r="R237" s="14"/>
      <c r="S237" s="14"/>
      <c r="T237" s="14"/>
      <c r="U237" s="14"/>
      <c r="V237" s="14"/>
      <c r="W237" s="14"/>
      <c r="X237" s="4"/>
      <c r="Y237" s="4"/>
    </row>
    <row r="238" spans="1:25" x14ac:dyDescent="0.25">
      <c r="A238" s="109"/>
      <c r="B238" s="4"/>
      <c r="C238" s="4"/>
      <c r="D238" s="4"/>
      <c r="E238" s="4"/>
      <c r="F238" s="4"/>
      <c r="G238" s="4"/>
      <c r="H238" s="4"/>
      <c r="I238" s="4"/>
      <c r="J238" s="4"/>
      <c r="K238" s="4"/>
      <c r="L238" s="4"/>
      <c r="M238" s="4"/>
      <c r="N238" s="4"/>
      <c r="O238" s="5"/>
      <c r="P238" s="5"/>
      <c r="Q238" s="5"/>
      <c r="R238" s="5"/>
      <c r="S238" s="5"/>
      <c r="T238" s="5"/>
      <c r="U238" s="5"/>
      <c r="V238" s="5"/>
      <c r="W238" s="5"/>
      <c r="X238" s="4"/>
      <c r="Y238" s="4"/>
    </row>
    <row r="239" spans="1:25" x14ac:dyDescent="0.25">
      <c r="A239" s="109"/>
      <c r="B239" s="4"/>
      <c r="C239" s="4"/>
      <c r="D239" s="4"/>
      <c r="E239" s="4"/>
      <c r="F239" s="4"/>
      <c r="G239" s="4"/>
      <c r="H239" s="4"/>
      <c r="I239" s="4"/>
      <c r="J239" s="4"/>
      <c r="K239" s="4"/>
      <c r="L239" s="4"/>
      <c r="M239" s="4"/>
      <c r="N239" s="4"/>
      <c r="O239" s="5"/>
      <c r="P239" s="5"/>
      <c r="Q239" s="5"/>
      <c r="R239" s="5"/>
      <c r="S239" s="5"/>
      <c r="T239" s="5"/>
      <c r="U239" s="5"/>
      <c r="V239" s="5"/>
      <c r="W239" s="5"/>
      <c r="X239" s="4"/>
      <c r="Y239" s="4"/>
    </row>
    <row r="240" spans="1:25" x14ac:dyDescent="0.25">
      <c r="A240" s="109"/>
      <c r="B240" s="4"/>
      <c r="C240" s="4"/>
      <c r="D240" s="4"/>
      <c r="E240" s="4"/>
      <c r="F240" s="4"/>
      <c r="G240" s="4"/>
      <c r="H240" s="4"/>
      <c r="I240" s="4"/>
      <c r="J240" s="4"/>
      <c r="K240" s="4"/>
      <c r="L240" s="4"/>
      <c r="M240" s="4"/>
      <c r="N240" s="4"/>
      <c r="O240" s="5"/>
      <c r="P240" s="5"/>
      <c r="Q240" s="5"/>
      <c r="R240" s="5"/>
      <c r="S240" s="5"/>
      <c r="T240" s="5"/>
      <c r="U240" s="5"/>
      <c r="V240" s="5"/>
      <c r="W240" s="5"/>
      <c r="X240" s="4"/>
      <c r="Y240" s="4"/>
    </row>
    <row r="241" spans="1:25" x14ac:dyDescent="0.25">
      <c r="A241" s="112"/>
      <c r="B241" s="17"/>
      <c r="C241" s="17"/>
      <c r="D241" s="17"/>
      <c r="E241" s="17"/>
      <c r="F241" s="17"/>
      <c r="G241" s="17"/>
      <c r="H241" s="17"/>
      <c r="I241" s="17"/>
      <c r="J241" s="17"/>
      <c r="K241" s="17"/>
      <c r="L241" s="17"/>
      <c r="M241" s="203"/>
      <c r="N241" s="17"/>
      <c r="O241" s="14"/>
      <c r="P241" s="14"/>
      <c r="Q241" s="14"/>
      <c r="R241" s="14"/>
      <c r="S241" s="14"/>
      <c r="T241" s="14"/>
      <c r="U241" s="14"/>
      <c r="V241" s="14"/>
      <c r="W241" s="14"/>
      <c r="X241" s="4"/>
      <c r="Y241" s="4"/>
    </row>
    <row r="242" spans="1:25" x14ac:dyDescent="0.25">
      <c r="A242" s="112"/>
      <c r="B242" s="17"/>
      <c r="C242" s="17"/>
      <c r="D242" s="17"/>
      <c r="E242" s="17"/>
      <c r="F242" s="17"/>
      <c r="G242" s="17"/>
      <c r="H242" s="17"/>
      <c r="I242" s="17"/>
      <c r="J242" s="17"/>
      <c r="K242" s="17"/>
      <c r="L242" s="17"/>
      <c r="M242" s="203"/>
      <c r="N242" s="17"/>
      <c r="O242" s="14"/>
      <c r="P242" s="14"/>
      <c r="Q242" s="14"/>
      <c r="R242" s="14"/>
      <c r="S242" s="14"/>
      <c r="T242" s="14"/>
      <c r="U242" s="14"/>
      <c r="V242" s="14"/>
      <c r="W242" s="14"/>
      <c r="X242" s="4"/>
      <c r="Y242" s="4"/>
    </row>
    <row r="243" spans="1:25" x14ac:dyDescent="0.25">
      <c r="A243" s="109"/>
      <c r="B243" s="4"/>
      <c r="C243" s="4"/>
      <c r="D243" s="4"/>
      <c r="E243" s="4"/>
      <c r="F243" s="4"/>
      <c r="G243" s="4"/>
      <c r="H243" s="4"/>
      <c r="I243" s="4"/>
      <c r="J243" s="4"/>
      <c r="K243" s="4"/>
      <c r="L243" s="4"/>
      <c r="M243" s="4"/>
      <c r="N243" s="4"/>
      <c r="O243" s="5"/>
      <c r="P243" s="5"/>
      <c r="Q243" s="5"/>
      <c r="R243" s="5"/>
      <c r="S243" s="5"/>
      <c r="T243" s="5"/>
      <c r="U243" s="5"/>
      <c r="V243" s="5"/>
      <c r="W243" s="5"/>
      <c r="X243" s="4"/>
      <c r="Y243" s="4"/>
    </row>
    <row r="244" spans="1:25" x14ac:dyDescent="0.25">
      <c r="A244" s="109"/>
      <c r="B244" s="4"/>
      <c r="C244" s="4"/>
      <c r="D244" s="4"/>
      <c r="E244" s="4"/>
      <c r="F244" s="4"/>
      <c r="G244" s="4"/>
      <c r="H244" s="4"/>
      <c r="I244" s="4"/>
      <c r="J244" s="4"/>
      <c r="K244" s="4"/>
      <c r="L244" s="4"/>
      <c r="M244" s="4"/>
      <c r="N244" s="4"/>
      <c r="O244" s="5"/>
      <c r="P244" s="5"/>
      <c r="Q244" s="5"/>
      <c r="R244" s="5"/>
      <c r="S244" s="5"/>
      <c r="T244" s="5"/>
      <c r="U244" s="5"/>
      <c r="V244" s="5"/>
      <c r="W244" s="5"/>
      <c r="X244" s="4"/>
      <c r="Y244" s="4"/>
    </row>
    <row r="245" spans="1:25" x14ac:dyDescent="0.25">
      <c r="A245" s="109"/>
      <c r="B245" s="4"/>
      <c r="C245" s="4"/>
      <c r="D245" s="4"/>
      <c r="E245" s="4"/>
      <c r="F245" s="4"/>
      <c r="G245" s="4"/>
      <c r="H245" s="4"/>
      <c r="I245" s="4"/>
      <c r="J245" s="4"/>
      <c r="K245" s="4"/>
      <c r="L245" s="4"/>
      <c r="M245" s="4"/>
      <c r="N245" s="4"/>
      <c r="O245" s="5"/>
      <c r="P245" s="5"/>
      <c r="Q245" s="5"/>
      <c r="R245" s="5"/>
      <c r="S245" s="5"/>
      <c r="T245" s="5"/>
      <c r="U245" s="5"/>
      <c r="V245" s="5"/>
      <c r="W245" s="5"/>
      <c r="X245" s="4"/>
      <c r="Y245" s="4"/>
    </row>
    <row r="246" spans="1:25" x14ac:dyDescent="0.25">
      <c r="A246" s="112"/>
      <c r="B246" s="17"/>
      <c r="C246" s="17"/>
      <c r="D246" s="17"/>
      <c r="E246" s="17"/>
      <c r="F246" s="17"/>
      <c r="G246" s="17"/>
      <c r="H246" s="17"/>
      <c r="I246" s="17"/>
      <c r="J246" s="17"/>
      <c r="K246" s="17"/>
      <c r="L246" s="17"/>
      <c r="M246" s="203"/>
      <c r="N246" s="17"/>
      <c r="O246" s="14"/>
      <c r="P246" s="14"/>
      <c r="Q246" s="14"/>
      <c r="R246" s="14"/>
      <c r="S246" s="14"/>
      <c r="T246" s="14"/>
      <c r="U246" s="14"/>
      <c r="V246" s="14"/>
      <c r="W246" s="14"/>
      <c r="X246" s="4"/>
      <c r="Y246" s="4"/>
    </row>
    <row r="247" spans="1:25" x14ac:dyDescent="0.25">
      <c r="A247" s="112"/>
      <c r="B247" s="17"/>
      <c r="C247" s="17"/>
      <c r="D247" s="17"/>
      <c r="E247" s="17"/>
      <c r="F247" s="17"/>
      <c r="G247" s="17"/>
      <c r="H247" s="17"/>
      <c r="I247" s="17"/>
      <c r="J247" s="17"/>
      <c r="K247" s="17"/>
      <c r="L247" s="17"/>
      <c r="M247" s="203"/>
      <c r="N247" s="17"/>
      <c r="O247" s="14"/>
      <c r="P247" s="14"/>
      <c r="Q247" s="14"/>
      <c r="R247" s="14"/>
      <c r="S247" s="14"/>
      <c r="T247" s="14"/>
      <c r="U247" s="14"/>
      <c r="V247" s="14"/>
      <c r="W247" s="14"/>
      <c r="X247" s="4"/>
      <c r="Y247" s="4"/>
    </row>
    <row r="248" spans="1:25" x14ac:dyDescent="0.25">
      <c r="A248" s="109"/>
      <c r="B248" s="4"/>
      <c r="C248" s="4"/>
      <c r="D248" s="4"/>
      <c r="E248" s="4"/>
      <c r="F248" s="4"/>
      <c r="G248" s="4"/>
      <c r="H248" s="4"/>
      <c r="I248" s="4"/>
      <c r="J248" s="4"/>
      <c r="K248" s="4"/>
      <c r="L248" s="4"/>
      <c r="M248" s="4"/>
      <c r="N248" s="4"/>
      <c r="O248" s="5"/>
      <c r="P248" s="5"/>
      <c r="Q248" s="5"/>
      <c r="R248" s="5"/>
      <c r="S248" s="5"/>
      <c r="T248" s="5"/>
      <c r="U248" s="5"/>
      <c r="V248" s="5"/>
      <c r="W248" s="5"/>
      <c r="X248" s="4"/>
      <c r="Y248" s="4"/>
    </row>
    <row r="249" spans="1:25" x14ac:dyDescent="0.25">
      <c r="A249" s="109"/>
      <c r="B249" s="4"/>
      <c r="C249" s="4"/>
      <c r="D249" s="4"/>
      <c r="E249" s="4"/>
      <c r="F249" s="4"/>
      <c r="G249" s="4"/>
      <c r="H249" s="4"/>
      <c r="I249" s="4"/>
      <c r="J249" s="4"/>
      <c r="K249" s="4"/>
      <c r="L249" s="4"/>
      <c r="M249" s="4"/>
      <c r="N249" s="4"/>
      <c r="O249" s="5"/>
      <c r="P249" s="5"/>
      <c r="Q249" s="5"/>
      <c r="R249" s="5"/>
      <c r="S249" s="5"/>
      <c r="T249" s="5"/>
      <c r="U249" s="5"/>
      <c r="V249" s="5"/>
      <c r="W249" s="5"/>
      <c r="X249" s="4"/>
      <c r="Y249" s="4"/>
    </row>
    <row r="250" spans="1:25" x14ac:dyDescent="0.25">
      <c r="A250" s="109"/>
      <c r="B250" s="4"/>
      <c r="C250" s="4"/>
      <c r="D250" s="4"/>
      <c r="E250" s="4"/>
      <c r="F250" s="4"/>
      <c r="G250" s="4"/>
      <c r="H250" s="4"/>
      <c r="I250" s="4"/>
      <c r="J250" s="4"/>
      <c r="K250" s="4"/>
      <c r="L250" s="4"/>
      <c r="M250" s="4"/>
      <c r="N250" s="4"/>
      <c r="O250" s="5"/>
      <c r="P250" s="5"/>
      <c r="Q250" s="5"/>
      <c r="R250" s="5"/>
      <c r="S250" s="5"/>
      <c r="T250" s="5"/>
      <c r="U250" s="5"/>
      <c r="V250" s="5"/>
      <c r="W250" s="5"/>
      <c r="X250" s="4"/>
      <c r="Y250" s="4"/>
    </row>
    <row r="251" spans="1:25" x14ac:dyDescent="0.25">
      <c r="A251" s="112"/>
      <c r="B251" s="17"/>
      <c r="C251" s="17"/>
      <c r="D251" s="17"/>
      <c r="E251" s="17"/>
      <c r="F251" s="17"/>
      <c r="G251" s="17"/>
      <c r="H251" s="17"/>
      <c r="I251" s="17"/>
      <c r="J251" s="17"/>
      <c r="K251" s="17"/>
      <c r="L251" s="17"/>
      <c r="M251" s="203"/>
      <c r="N251" s="17"/>
      <c r="O251" s="14"/>
      <c r="P251" s="14"/>
      <c r="Q251" s="14"/>
      <c r="R251" s="14"/>
      <c r="S251" s="14"/>
      <c r="T251" s="14"/>
      <c r="U251" s="14"/>
      <c r="V251" s="14"/>
      <c r="W251" s="14"/>
      <c r="X251" s="4"/>
      <c r="Y251" s="4"/>
    </row>
    <row r="252" spans="1:25" x14ac:dyDescent="0.25">
      <c r="A252" s="112"/>
      <c r="B252" s="17"/>
      <c r="C252" s="17"/>
      <c r="D252" s="17"/>
      <c r="E252" s="17"/>
      <c r="F252" s="17"/>
      <c r="G252" s="17"/>
      <c r="H252" s="17"/>
      <c r="I252" s="17"/>
      <c r="J252" s="17"/>
      <c r="K252" s="17"/>
      <c r="L252" s="17"/>
      <c r="M252" s="203"/>
      <c r="N252" s="17"/>
      <c r="O252" s="14"/>
      <c r="P252" s="14"/>
      <c r="Q252" s="14"/>
      <c r="R252" s="14"/>
      <c r="S252" s="14"/>
      <c r="T252" s="14"/>
      <c r="U252" s="14"/>
      <c r="V252" s="14"/>
      <c r="W252" s="14"/>
      <c r="X252" s="4"/>
      <c r="Y252" s="4"/>
    </row>
    <row r="253" spans="1:25" x14ac:dyDescent="0.25">
      <c r="A253" s="109"/>
      <c r="B253" s="4"/>
      <c r="C253" s="4"/>
      <c r="D253" s="4"/>
      <c r="E253" s="4"/>
      <c r="F253" s="4"/>
      <c r="G253" s="4"/>
      <c r="H253" s="4"/>
      <c r="I253" s="4"/>
      <c r="J253" s="4"/>
      <c r="K253" s="4"/>
      <c r="L253" s="4"/>
      <c r="M253" s="4"/>
      <c r="N253" s="4"/>
      <c r="O253" s="5"/>
      <c r="P253" s="5"/>
      <c r="Q253" s="5"/>
      <c r="R253" s="5"/>
      <c r="S253" s="5"/>
      <c r="T253" s="5"/>
      <c r="U253" s="5"/>
      <c r="V253" s="5"/>
      <c r="W253" s="5"/>
      <c r="X253" s="4"/>
      <c r="Y253" s="4"/>
    </row>
    <row r="254" spans="1:25" x14ac:dyDescent="0.25">
      <c r="A254" s="109"/>
      <c r="B254" s="4"/>
      <c r="C254" s="4"/>
      <c r="D254" s="4"/>
      <c r="E254" s="4"/>
      <c r="F254" s="4"/>
      <c r="G254" s="4"/>
      <c r="H254" s="4"/>
      <c r="I254" s="4"/>
      <c r="J254" s="4"/>
      <c r="K254" s="4"/>
      <c r="L254" s="4"/>
      <c r="M254" s="4"/>
      <c r="N254" s="4"/>
      <c r="O254" s="5"/>
      <c r="P254" s="5"/>
      <c r="Q254" s="5"/>
      <c r="R254" s="5"/>
      <c r="S254" s="5"/>
      <c r="T254" s="5"/>
      <c r="U254" s="5"/>
      <c r="V254" s="5"/>
      <c r="W254" s="5"/>
      <c r="X254" s="4"/>
      <c r="Y254" s="4"/>
    </row>
    <row r="255" spans="1:25" x14ac:dyDescent="0.25">
      <c r="A255" s="109"/>
      <c r="B255" s="4"/>
      <c r="C255" s="4"/>
      <c r="D255" s="4"/>
      <c r="E255" s="4"/>
      <c r="F255" s="4"/>
      <c r="G255" s="4"/>
      <c r="H255" s="4"/>
      <c r="I255" s="4"/>
      <c r="J255" s="4"/>
      <c r="K255" s="4"/>
      <c r="L255" s="4"/>
      <c r="M255" s="4"/>
      <c r="N255" s="4"/>
      <c r="O255" s="5"/>
      <c r="P255" s="5"/>
      <c r="Q255" s="5"/>
      <c r="R255" s="5"/>
      <c r="S255" s="5"/>
      <c r="T255" s="5"/>
      <c r="U255" s="5"/>
      <c r="V255" s="5"/>
      <c r="W255" s="5"/>
      <c r="X255" s="4"/>
      <c r="Y255" s="4"/>
    </row>
    <row r="256" spans="1:25" x14ac:dyDescent="0.25">
      <c r="A256" s="112"/>
      <c r="B256" s="17"/>
      <c r="C256" s="17"/>
      <c r="D256" s="17"/>
      <c r="E256" s="17"/>
      <c r="F256" s="17"/>
      <c r="G256" s="17"/>
      <c r="H256" s="17"/>
      <c r="I256" s="17"/>
      <c r="J256" s="17"/>
      <c r="K256" s="17"/>
      <c r="L256" s="17"/>
      <c r="M256" s="203"/>
      <c r="N256" s="17"/>
      <c r="O256" s="14"/>
      <c r="P256" s="14"/>
      <c r="Q256" s="14"/>
      <c r="R256" s="14"/>
      <c r="S256" s="14"/>
      <c r="T256" s="14"/>
      <c r="U256" s="14"/>
      <c r="V256" s="14"/>
      <c r="W256" s="14"/>
      <c r="X256" s="4"/>
      <c r="Y256" s="4"/>
    </row>
    <row r="257" spans="1:25" x14ac:dyDescent="0.25">
      <c r="A257" s="112"/>
      <c r="B257" s="17"/>
      <c r="C257" s="17"/>
      <c r="D257" s="17"/>
      <c r="E257" s="17"/>
      <c r="F257" s="17"/>
      <c r="G257" s="17"/>
      <c r="H257" s="17"/>
      <c r="I257" s="17"/>
      <c r="J257" s="17"/>
      <c r="K257" s="17"/>
      <c r="L257" s="17"/>
      <c r="M257" s="203"/>
      <c r="N257" s="17"/>
      <c r="O257" s="14"/>
      <c r="P257" s="14"/>
      <c r="Q257" s="14"/>
      <c r="R257" s="14"/>
      <c r="S257" s="14"/>
      <c r="T257" s="14"/>
      <c r="U257" s="14"/>
      <c r="V257" s="14"/>
      <c r="W257" s="14"/>
      <c r="X257" s="4"/>
      <c r="Y257" s="4"/>
    </row>
    <row r="258" spans="1:25" x14ac:dyDescent="0.25">
      <c r="A258" s="109"/>
      <c r="B258" s="4"/>
      <c r="C258" s="4"/>
      <c r="D258" s="4"/>
      <c r="E258" s="4"/>
      <c r="F258" s="4"/>
      <c r="G258" s="4"/>
      <c r="H258" s="4"/>
      <c r="I258" s="4"/>
      <c r="J258" s="4"/>
      <c r="K258" s="4"/>
      <c r="L258" s="4"/>
      <c r="M258" s="4"/>
      <c r="N258" s="4"/>
      <c r="O258" s="5"/>
      <c r="P258" s="5"/>
      <c r="Q258" s="5"/>
      <c r="R258" s="5"/>
      <c r="S258" s="5"/>
      <c r="T258" s="5"/>
      <c r="U258" s="5"/>
      <c r="V258" s="5"/>
      <c r="W258" s="5"/>
      <c r="X258" s="4"/>
      <c r="Y258" s="4"/>
    </row>
    <row r="259" spans="1:25" x14ac:dyDescent="0.25">
      <c r="A259" s="109"/>
      <c r="B259" s="4"/>
      <c r="C259" s="4"/>
      <c r="D259" s="4"/>
      <c r="E259" s="4"/>
      <c r="F259" s="4"/>
      <c r="G259" s="4"/>
      <c r="H259" s="4"/>
      <c r="I259" s="4"/>
      <c r="J259" s="4"/>
      <c r="K259" s="4"/>
      <c r="L259" s="4"/>
      <c r="M259" s="4"/>
      <c r="N259" s="4"/>
      <c r="O259" s="5"/>
      <c r="P259" s="5"/>
      <c r="Q259" s="5"/>
      <c r="R259" s="5"/>
      <c r="S259" s="5"/>
      <c r="T259" s="5"/>
      <c r="U259" s="5"/>
      <c r="V259" s="5"/>
      <c r="W259" s="5"/>
      <c r="X259" s="4"/>
      <c r="Y259" s="4"/>
    </row>
    <row r="260" spans="1:25" x14ac:dyDescent="0.25">
      <c r="A260" s="109"/>
      <c r="B260" s="4"/>
      <c r="C260" s="4"/>
      <c r="D260" s="4"/>
      <c r="E260" s="4"/>
      <c r="F260" s="4"/>
      <c r="G260" s="4"/>
      <c r="H260" s="4"/>
      <c r="I260" s="4"/>
      <c r="J260" s="4"/>
      <c r="K260" s="4"/>
      <c r="L260" s="4"/>
      <c r="M260" s="4"/>
      <c r="N260" s="4"/>
      <c r="O260" s="5"/>
      <c r="P260" s="5"/>
      <c r="Q260" s="5"/>
      <c r="R260" s="5"/>
      <c r="S260" s="5"/>
      <c r="T260" s="5"/>
      <c r="U260" s="5"/>
      <c r="V260" s="5"/>
      <c r="W260" s="5"/>
      <c r="X260" s="4"/>
      <c r="Y260" s="4"/>
    </row>
    <row r="261" spans="1:25" x14ac:dyDescent="0.25">
      <c r="A261" s="112"/>
      <c r="B261" s="17"/>
      <c r="C261" s="17"/>
      <c r="D261" s="17"/>
      <c r="E261" s="17"/>
      <c r="F261" s="17"/>
      <c r="G261" s="17"/>
      <c r="H261" s="17"/>
      <c r="I261" s="17"/>
      <c r="J261" s="17"/>
      <c r="K261" s="17"/>
      <c r="L261" s="17"/>
      <c r="M261" s="203"/>
      <c r="N261" s="17"/>
      <c r="O261" s="14"/>
      <c r="P261" s="14"/>
      <c r="Q261" s="14"/>
      <c r="R261" s="14"/>
      <c r="S261" s="14"/>
      <c r="T261" s="14"/>
      <c r="U261" s="14"/>
      <c r="V261" s="14"/>
      <c r="W261" s="14"/>
      <c r="X261" s="4"/>
      <c r="Y261" s="4"/>
    </row>
    <row r="262" spans="1:25" x14ac:dyDescent="0.25">
      <c r="A262" s="112"/>
      <c r="B262" s="17"/>
      <c r="C262" s="17"/>
      <c r="D262" s="17"/>
      <c r="E262" s="17"/>
      <c r="F262" s="17"/>
      <c r="G262" s="17"/>
      <c r="H262" s="17"/>
      <c r="I262" s="17"/>
      <c r="J262" s="17"/>
      <c r="K262" s="17"/>
      <c r="L262" s="17"/>
      <c r="M262" s="203"/>
      <c r="N262" s="17"/>
      <c r="O262" s="14"/>
      <c r="P262" s="14"/>
      <c r="Q262" s="14"/>
      <c r="R262" s="14"/>
      <c r="S262" s="14"/>
      <c r="T262" s="14"/>
      <c r="U262" s="14"/>
      <c r="V262" s="14"/>
      <c r="W262" s="14"/>
      <c r="X262" s="4"/>
      <c r="Y262" s="4"/>
    </row>
    <row r="263" spans="1:25" x14ac:dyDescent="0.25">
      <c r="A263" s="109"/>
      <c r="B263" s="4"/>
      <c r="C263" s="4"/>
      <c r="D263" s="4"/>
      <c r="E263" s="4"/>
      <c r="F263" s="4"/>
      <c r="G263" s="4"/>
      <c r="H263" s="4"/>
      <c r="I263" s="4"/>
      <c r="J263" s="4"/>
      <c r="K263" s="4"/>
      <c r="L263" s="4"/>
      <c r="M263" s="4"/>
      <c r="N263" s="4"/>
      <c r="O263" s="5"/>
      <c r="P263" s="5"/>
      <c r="Q263" s="5"/>
      <c r="R263" s="5"/>
      <c r="S263" s="5"/>
      <c r="T263" s="5"/>
      <c r="U263" s="5"/>
      <c r="V263" s="5"/>
      <c r="W263" s="5"/>
      <c r="X263" s="4"/>
      <c r="Y263" s="4"/>
    </row>
    <row r="264" spans="1:25" x14ac:dyDescent="0.25">
      <c r="A264" s="109"/>
      <c r="B264" s="4"/>
      <c r="C264" s="4"/>
      <c r="D264" s="4"/>
      <c r="E264" s="4"/>
      <c r="F264" s="4"/>
      <c r="G264" s="4"/>
      <c r="H264" s="4"/>
      <c r="I264" s="4"/>
      <c r="J264" s="4"/>
      <c r="K264" s="4"/>
      <c r="L264" s="4"/>
      <c r="M264" s="4"/>
      <c r="N264" s="4"/>
      <c r="O264" s="5"/>
      <c r="P264" s="5"/>
      <c r="Q264" s="5"/>
      <c r="R264" s="5"/>
      <c r="S264" s="5"/>
      <c r="T264" s="5"/>
      <c r="U264" s="5"/>
      <c r="V264" s="5"/>
      <c r="W264" s="5"/>
      <c r="X264" s="4"/>
      <c r="Y264" s="4"/>
    </row>
    <row r="265" spans="1:25" x14ac:dyDescent="0.25">
      <c r="A265" s="109"/>
      <c r="B265" s="4"/>
      <c r="C265" s="4"/>
      <c r="D265" s="4"/>
      <c r="E265" s="4"/>
      <c r="F265" s="4"/>
      <c r="G265" s="4"/>
      <c r="H265" s="4"/>
      <c r="I265" s="4"/>
      <c r="J265" s="4"/>
      <c r="K265" s="4"/>
      <c r="L265" s="4"/>
      <c r="M265" s="4"/>
      <c r="N265" s="4"/>
      <c r="O265" s="5"/>
      <c r="P265" s="5"/>
      <c r="Q265" s="5"/>
      <c r="R265" s="5"/>
      <c r="S265" s="5"/>
      <c r="T265" s="5"/>
      <c r="U265" s="5"/>
      <c r="V265" s="5"/>
      <c r="W265" s="5"/>
      <c r="X265" s="4"/>
      <c r="Y265" s="4"/>
    </row>
    <row r="266" spans="1:25" x14ac:dyDescent="0.25">
      <c r="A266" s="112"/>
      <c r="B266" s="17"/>
      <c r="C266" s="17"/>
      <c r="D266" s="17"/>
      <c r="E266" s="17"/>
      <c r="F266" s="17"/>
      <c r="G266" s="17"/>
      <c r="H266" s="17"/>
      <c r="I266" s="17"/>
      <c r="J266" s="17"/>
      <c r="K266" s="17"/>
      <c r="L266" s="17"/>
      <c r="M266" s="203"/>
      <c r="N266" s="17"/>
      <c r="O266" s="14"/>
      <c r="P266" s="14"/>
      <c r="Q266" s="14"/>
      <c r="R266" s="14"/>
      <c r="S266" s="14"/>
      <c r="T266" s="14"/>
      <c r="U266" s="14"/>
      <c r="V266" s="14"/>
      <c r="W266" s="14"/>
      <c r="X266" s="4"/>
      <c r="Y266" s="4"/>
    </row>
    <row r="267" spans="1:25" x14ac:dyDescent="0.25">
      <c r="A267" s="112"/>
      <c r="B267" s="17"/>
      <c r="C267" s="17"/>
      <c r="D267" s="17"/>
      <c r="E267" s="17"/>
      <c r="F267" s="17"/>
      <c r="G267" s="17"/>
      <c r="H267" s="17"/>
      <c r="I267" s="17"/>
      <c r="J267" s="17"/>
      <c r="K267" s="17"/>
      <c r="L267" s="17"/>
      <c r="M267" s="203"/>
      <c r="N267" s="17"/>
      <c r="O267" s="14"/>
      <c r="P267" s="14"/>
      <c r="Q267" s="14"/>
      <c r="R267" s="14"/>
      <c r="S267" s="14"/>
      <c r="T267" s="14"/>
      <c r="U267" s="14"/>
      <c r="V267" s="14"/>
      <c r="W267" s="14"/>
      <c r="X267" s="4"/>
      <c r="Y267" s="4"/>
    </row>
    <row r="268" spans="1:25" x14ac:dyDescent="0.25">
      <c r="A268" s="109"/>
      <c r="B268" s="4"/>
      <c r="C268" s="4"/>
      <c r="D268" s="4"/>
      <c r="E268" s="4"/>
      <c r="F268" s="4"/>
      <c r="G268" s="4"/>
      <c r="H268" s="4"/>
      <c r="I268" s="4"/>
      <c r="J268" s="4"/>
      <c r="K268" s="4"/>
      <c r="L268" s="4"/>
      <c r="M268" s="4"/>
      <c r="N268" s="4"/>
      <c r="O268" s="5"/>
      <c r="P268" s="5"/>
      <c r="Q268" s="5"/>
      <c r="R268" s="5"/>
      <c r="S268" s="5"/>
      <c r="T268" s="5"/>
      <c r="U268" s="5"/>
      <c r="V268" s="5"/>
      <c r="W268" s="5"/>
      <c r="X268" s="4"/>
      <c r="Y268" s="4"/>
    </row>
    <row r="269" spans="1:25" x14ac:dyDescent="0.25">
      <c r="A269" s="109"/>
      <c r="B269" s="4"/>
      <c r="C269" s="4"/>
      <c r="D269" s="4"/>
      <c r="E269" s="4"/>
      <c r="F269" s="4"/>
      <c r="G269" s="4"/>
      <c r="H269" s="4"/>
      <c r="I269" s="4"/>
      <c r="J269" s="4"/>
      <c r="K269" s="4"/>
      <c r="L269" s="4"/>
      <c r="M269" s="4"/>
      <c r="N269" s="4"/>
      <c r="O269" s="5"/>
      <c r="P269" s="5"/>
      <c r="Q269" s="5"/>
      <c r="R269" s="5"/>
      <c r="S269" s="5"/>
      <c r="T269" s="5"/>
      <c r="U269" s="5"/>
      <c r="V269" s="5"/>
      <c r="W269" s="5"/>
      <c r="X269" s="4"/>
      <c r="Y269" s="4"/>
    </row>
    <row r="270" spans="1:25" x14ac:dyDescent="0.25">
      <c r="A270" s="109"/>
      <c r="B270" s="4"/>
      <c r="C270" s="4"/>
      <c r="D270" s="4"/>
      <c r="E270" s="4"/>
      <c r="F270" s="4"/>
      <c r="G270" s="4"/>
      <c r="H270" s="4"/>
      <c r="I270" s="4"/>
      <c r="J270" s="4"/>
      <c r="K270" s="4"/>
      <c r="L270" s="4"/>
      <c r="M270" s="4"/>
      <c r="N270" s="4"/>
      <c r="O270" s="5"/>
      <c r="P270" s="5"/>
      <c r="Q270" s="5"/>
      <c r="R270" s="5"/>
      <c r="S270" s="5"/>
      <c r="T270" s="5"/>
      <c r="U270" s="5"/>
      <c r="V270" s="5"/>
      <c r="W270" s="5"/>
      <c r="X270" s="4"/>
      <c r="Y270" s="4"/>
    </row>
    <row r="271" spans="1:25" x14ac:dyDescent="0.25">
      <c r="A271" s="112"/>
      <c r="B271" s="17"/>
      <c r="C271" s="17"/>
      <c r="D271" s="17"/>
      <c r="E271" s="17"/>
      <c r="F271" s="17"/>
      <c r="G271" s="17"/>
      <c r="H271" s="17"/>
      <c r="I271" s="17"/>
      <c r="J271" s="17"/>
      <c r="K271" s="17"/>
      <c r="L271" s="17"/>
      <c r="M271" s="203"/>
      <c r="N271" s="17"/>
      <c r="O271" s="14"/>
      <c r="P271" s="14"/>
      <c r="Q271" s="14"/>
      <c r="R271" s="14"/>
      <c r="S271" s="14"/>
      <c r="T271" s="14"/>
      <c r="U271" s="14"/>
      <c r="V271" s="14"/>
      <c r="W271" s="14"/>
      <c r="X271" s="4"/>
      <c r="Y271" s="4"/>
    </row>
    <row r="272" spans="1:25" x14ac:dyDescent="0.25">
      <c r="A272" s="112"/>
      <c r="B272" s="17"/>
      <c r="C272" s="17"/>
      <c r="D272" s="17"/>
      <c r="E272" s="17"/>
      <c r="F272" s="17"/>
      <c r="G272" s="17"/>
      <c r="H272" s="17"/>
      <c r="I272" s="17"/>
      <c r="J272" s="17"/>
      <c r="K272" s="17"/>
      <c r="L272" s="17"/>
      <c r="M272" s="203"/>
      <c r="N272" s="17"/>
      <c r="O272" s="14"/>
      <c r="P272" s="14"/>
      <c r="Q272" s="14"/>
      <c r="R272" s="14"/>
      <c r="S272" s="14"/>
      <c r="T272" s="14"/>
      <c r="U272" s="14"/>
      <c r="V272" s="14"/>
      <c r="W272" s="14"/>
      <c r="X272" s="4"/>
      <c r="Y272" s="4"/>
    </row>
    <row r="273" spans="1:25" x14ac:dyDescent="0.25">
      <c r="A273" s="109"/>
      <c r="B273" s="4"/>
      <c r="C273" s="4"/>
      <c r="D273" s="4"/>
      <c r="E273" s="4"/>
      <c r="F273" s="4"/>
      <c r="G273" s="4"/>
      <c r="H273" s="4"/>
      <c r="I273" s="4"/>
      <c r="J273" s="4"/>
      <c r="K273" s="4"/>
      <c r="L273" s="4"/>
      <c r="M273" s="4"/>
      <c r="N273" s="4"/>
      <c r="O273" s="5"/>
      <c r="P273" s="5"/>
      <c r="Q273" s="5"/>
      <c r="R273" s="5"/>
      <c r="S273" s="5"/>
      <c r="T273" s="5"/>
      <c r="U273" s="5"/>
      <c r="V273" s="5"/>
      <c r="W273" s="5"/>
      <c r="X273" s="4"/>
      <c r="Y273" s="4"/>
    </row>
    <row r="274" spans="1:25" x14ac:dyDescent="0.25">
      <c r="A274" s="109"/>
      <c r="B274" s="4"/>
      <c r="C274" s="4"/>
      <c r="D274" s="4"/>
      <c r="E274" s="4"/>
      <c r="F274" s="4"/>
      <c r="G274" s="4"/>
      <c r="H274" s="4"/>
      <c r="I274" s="4"/>
      <c r="J274" s="4"/>
      <c r="K274" s="4"/>
      <c r="L274" s="4"/>
      <c r="M274" s="4"/>
      <c r="N274" s="4"/>
      <c r="O274" s="5"/>
      <c r="P274" s="5"/>
      <c r="Q274" s="5"/>
      <c r="R274" s="5"/>
      <c r="S274" s="5"/>
      <c r="T274" s="5"/>
      <c r="U274" s="5"/>
      <c r="V274" s="5"/>
      <c r="W274" s="5"/>
      <c r="X274" s="4"/>
      <c r="Y274" s="4"/>
    </row>
    <row r="275" spans="1:25" x14ac:dyDescent="0.25">
      <c r="A275" s="109"/>
      <c r="B275" s="4"/>
      <c r="C275" s="4"/>
      <c r="D275" s="4"/>
      <c r="E275" s="4"/>
      <c r="F275" s="4"/>
      <c r="G275" s="4"/>
      <c r="H275" s="4"/>
      <c r="I275" s="4"/>
      <c r="J275" s="4"/>
      <c r="K275" s="4"/>
      <c r="L275" s="4"/>
      <c r="M275" s="4"/>
      <c r="N275" s="4"/>
      <c r="O275" s="5"/>
      <c r="P275" s="5"/>
      <c r="Q275" s="5"/>
      <c r="R275" s="5"/>
      <c r="S275" s="5"/>
      <c r="T275" s="5"/>
      <c r="U275" s="5"/>
      <c r="V275" s="5"/>
      <c r="W275" s="5"/>
      <c r="X275" s="4"/>
      <c r="Y275" s="4"/>
    </row>
    <row r="276" spans="1:25" x14ac:dyDescent="0.25">
      <c r="A276" s="112"/>
      <c r="B276" s="17"/>
      <c r="C276" s="17"/>
      <c r="D276" s="17"/>
      <c r="E276" s="17"/>
      <c r="F276" s="17"/>
      <c r="G276" s="17"/>
      <c r="H276" s="17"/>
      <c r="I276" s="17"/>
      <c r="J276" s="17"/>
      <c r="K276" s="17"/>
      <c r="L276" s="17"/>
      <c r="M276" s="203"/>
      <c r="N276" s="17"/>
      <c r="O276" s="14"/>
      <c r="P276" s="14"/>
      <c r="Q276" s="14"/>
      <c r="R276" s="14"/>
      <c r="S276" s="14"/>
      <c r="T276" s="14"/>
      <c r="U276" s="14"/>
      <c r="V276" s="14"/>
      <c r="W276" s="14"/>
      <c r="X276" s="4"/>
      <c r="Y276" s="4"/>
    </row>
    <row r="277" spans="1:25" x14ac:dyDescent="0.25">
      <c r="A277" s="112"/>
      <c r="B277" s="17"/>
      <c r="C277" s="17"/>
      <c r="D277" s="17"/>
      <c r="E277" s="17"/>
      <c r="F277" s="17"/>
      <c r="G277" s="17"/>
      <c r="H277" s="17"/>
      <c r="I277" s="17"/>
      <c r="J277" s="17"/>
      <c r="K277" s="17"/>
      <c r="L277" s="17"/>
      <c r="M277" s="203"/>
      <c r="N277" s="17"/>
      <c r="O277" s="14"/>
      <c r="P277" s="14"/>
      <c r="Q277" s="14"/>
      <c r="R277" s="14"/>
      <c r="S277" s="14"/>
      <c r="T277" s="14"/>
      <c r="U277" s="14"/>
      <c r="V277" s="14"/>
      <c r="W277" s="14"/>
      <c r="X277" s="4"/>
      <c r="Y277" s="4"/>
    </row>
    <row r="278" spans="1:25" x14ac:dyDescent="0.25">
      <c r="A278" s="34"/>
      <c r="B278" s="3"/>
      <c r="C278" s="3"/>
      <c r="D278" s="3"/>
      <c r="E278" s="3"/>
      <c r="F278" s="3"/>
      <c r="G278" s="3"/>
      <c r="H278" s="3"/>
      <c r="I278" s="3"/>
      <c r="J278" s="3"/>
      <c r="K278" s="3"/>
      <c r="L278" s="3"/>
      <c r="N278" s="3"/>
      <c r="O278" s="27"/>
      <c r="P278" s="27"/>
      <c r="Q278" s="27"/>
      <c r="R278" s="27"/>
      <c r="S278" s="27"/>
      <c r="T278" s="27"/>
      <c r="U278" s="27"/>
      <c r="V278" s="27"/>
      <c r="W278" s="27"/>
    </row>
    <row r="279" spans="1:25" x14ac:dyDescent="0.25">
      <c r="A279" s="34"/>
      <c r="B279" s="3"/>
      <c r="C279" s="3"/>
      <c r="D279" s="3"/>
      <c r="E279" s="3"/>
      <c r="F279" s="3"/>
      <c r="G279" s="3"/>
      <c r="H279" s="3"/>
      <c r="I279" s="3"/>
      <c r="J279" s="3"/>
      <c r="K279" s="3"/>
      <c r="L279" s="3"/>
      <c r="N279" s="3"/>
      <c r="O279" s="27"/>
      <c r="P279" s="27"/>
      <c r="Q279" s="27"/>
      <c r="R279" s="27"/>
      <c r="S279" s="27"/>
      <c r="T279" s="27"/>
      <c r="U279" s="27"/>
      <c r="V279" s="27"/>
      <c r="W279" s="27"/>
    </row>
    <row r="280" spans="1:25" x14ac:dyDescent="0.25">
      <c r="A280" s="34"/>
      <c r="B280" s="3"/>
      <c r="C280" s="3"/>
      <c r="D280" s="3"/>
      <c r="E280" s="3"/>
      <c r="F280" s="3"/>
      <c r="G280" s="3"/>
      <c r="H280" s="3"/>
      <c r="I280" s="3"/>
      <c r="J280" s="3"/>
      <c r="K280" s="3"/>
      <c r="L280" s="3"/>
      <c r="N280" s="3"/>
      <c r="O280" s="27"/>
      <c r="P280" s="27"/>
      <c r="Q280" s="27"/>
      <c r="R280" s="27"/>
      <c r="S280" s="27"/>
      <c r="T280" s="27"/>
      <c r="U280" s="27"/>
      <c r="V280" s="27"/>
      <c r="W280" s="27"/>
    </row>
    <row r="281" spans="1:25" x14ac:dyDescent="0.25">
      <c r="A281" s="43"/>
      <c r="B281" s="12"/>
      <c r="C281" s="12"/>
      <c r="D281" s="12"/>
      <c r="E281" s="12"/>
      <c r="F281" s="12"/>
      <c r="G281" s="12"/>
      <c r="H281" s="12"/>
      <c r="I281" s="12"/>
      <c r="J281" s="12"/>
      <c r="K281" s="12"/>
      <c r="L281" s="12"/>
      <c r="M281" s="207"/>
      <c r="N281" s="12"/>
      <c r="O281" s="28"/>
      <c r="P281" s="28"/>
      <c r="Q281" s="28"/>
      <c r="R281" s="28"/>
      <c r="S281" s="28"/>
      <c r="T281" s="28"/>
      <c r="U281" s="28"/>
      <c r="V281" s="28"/>
      <c r="W281" s="28"/>
    </row>
    <row r="282" spans="1:25" x14ac:dyDescent="0.25">
      <c r="A282" s="43"/>
      <c r="B282" s="12"/>
      <c r="C282" s="12"/>
      <c r="D282" s="12"/>
      <c r="E282" s="12"/>
      <c r="F282" s="12"/>
      <c r="G282" s="12"/>
      <c r="H282" s="12"/>
      <c r="I282" s="12"/>
      <c r="J282" s="12"/>
      <c r="K282" s="12"/>
      <c r="L282" s="12"/>
      <c r="M282" s="207"/>
      <c r="N282" s="12"/>
      <c r="O282" s="28"/>
      <c r="P282" s="28"/>
      <c r="Q282" s="28"/>
      <c r="R282" s="28"/>
      <c r="S282" s="28"/>
      <c r="T282" s="28"/>
      <c r="U282" s="28"/>
      <c r="V282" s="28"/>
      <c r="W282" s="28"/>
    </row>
    <row r="283" spans="1:25" x14ac:dyDescent="0.25">
      <c r="A283" s="34"/>
      <c r="B283" s="3"/>
      <c r="C283" s="3"/>
      <c r="D283" s="3"/>
      <c r="E283" s="3"/>
      <c r="F283" s="3"/>
      <c r="G283" s="3"/>
      <c r="H283" s="3"/>
      <c r="I283" s="3"/>
      <c r="J283" s="3"/>
      <c r="K283" s="3"/>
      <c r="L283" s="3"/>
      <c r="N283" s="3"/>
      <c r="O283" s="27"/>
      <c r="P283" s="27"/>
      <c r="Q283" s="27"/>
      <c r="R283" s="27"/>
      <c r="S283" s="27"/>
      <c r="T283" s="27"/>
      <c r="U283" s="27"/>
      <c r="V283" s="27"/>
      <c r="W283" s="27"/>
    </row>
    <row r="284" spans="1:25" x14ac:dyDescent="0.25">
      <c r="A284" s="34"/>
      <c r="B284" s="3"/>
      <c r="C284" s="3"/>
      <c r="D284" s="3"/>
      <c r="E284" s="3"/>
      <c r="F284" s="3"/>
      <c r="G284" s="3"/>
      <c r="H284" s="3"/>
      <c r="I284" s="3"/>
      <c r="J284" s="3"/>
      <c r="K284" s="3"/>
      <c r="L284" s="3"/>
      <c r="N284" s="3"/>
      <c r="O284" s="27"/>
      <c r="P284" s="27"/>
      <c r="Q284" s="27"/>
      <c r="R284" s="27"/>
      <c r="S284" s="27"/>
      <c r="T284" s="27"/>
      <c r="U284" s="27"/>
      <c r="V284" s="27"/>
      <c r="W284" s="27"/>
    </row>
    <row r="285" spans="1:25" x14ac:dyDescent="0.25">
      <c r="A285" s="34"/>
      <c r="B285" s="3"/>
      <c r="C285" s="3"/>
      <c r="D285" s="3"/>
      <c r="E285" s="3"/>
      <c r="F285" s="3"/>
      <c r="G285" s="3"/>
      <c r="H285" s="3"/>
      <c r="I285" s="3"/>
      <c r="J285" s="3"/>
      <c r="K285" s="3"/>
      <c r="L285" s="3"/>
      <c r="N285" s="3"/>
      <c r="O285" s="27"/>
      <c r="P285" s="27"/>
      <c r="Q285" s="27"/>
      <c r="R285" s="27"/>
      <c r="S285" s="27"/>
      <c r="T285" s="27"/>
      <c r="U285" s="27"/>
      <c r="V285" s="27"/>
      <c r="W285" s="27"/>
    </row>
    <row r="286" spans="1:25" x14ac:dyDescent="0.25">
      <c r="A286" s="43"/>
      <c r="B286" s="12"/>
      <c r="C286" s="12"/>
      <c r="D286" s="12"/>
      <c r="E286" s="12"/>
      <c r="F286" s="12"/>
      <c r="G286" s="12"/>
      <c r="H286" s="12"/>
      <c r="I286" s="12"/>
      <c r="J286" s="12"/>
      <c r="K286" s="12"/>
      <c r="L286" s="12"/>
      <c r="M286" s="207"/>
      <c r="N286" s="12"/>
      <c r="O286" s="28"/>
      <c r="P286" s="28"/>
      <c r="Q286" s="28"/>
      <c r="R286" s="28"/>
      <c r="S286" s="28"/>
      <c r="T286" s="28"/>
      <c r="U286" s="28"/>
      <c r="V286" s="28"/>
      <c r="W286" s="28"/>
    </row>
    <row r="287" spans="1:25" x14ac:dyDescent="0.25">
      <c r="A287" s="43"/>
      <c r="B287" s="12"/>
      <c r="C287" s="12"/>
      <c r="D287" s="12"/>
      <c r="E287" s="12"/>
      <c r="F287" s="12"/>
      <c r="G287" s="12"/>
      <c r="H287" s="12"/>
      <c r="I287" s="12"/>
      <c r="J287" s="12"/>
      <c r="K287" s="12"/>
      <c r="L287" s="12"/>
      <c r="M287" s="207"/>
      <c r="N287" s="12"/>
      <c r="O287" s="28"/>
      <c r="P287" s="28"/>
      <c r="Q287" s="28"/>
      <c r="R287" s="28"/>
      <c r="S287" s="28"/>
      <c r="T287" s="28"/>
      <c r="U287" s="28"/>
      <c r="V287" s="28"/>
      <c r="W287" s="28"/>
    </row>
    <row r="288" spans="1:25" x14ac:dyDescent="0.25">
      <c r="A288" s="34"/>
      <c r="B288" s="3"/>
      <c r="C288" s="3"/>
      <c r="D288" s="3"/>
      <c r="E288" s="3"/>
      <c r="F288" s="3"/>
      <c r="G288" s="3"/>
      <c r="H288" s="3"/>
      <c r="I288" s="3"/>
      <c r="J288" s="3"/>
      <c r="K288" s="3"/>
      <c r="L288" s="3"/>
      <c r="N288" s="3"/>
      <c r="O288" s="27"/>
      <c r="P288" s="27"/>
      <c r="Q288" s="27"/>
      <c r="R288" s="27"/>
      <c r="S288" s="27"/>
      <c r="T288" s="27"/>
      <c r="U288" s="27"/>
      <c r="V288" s="27"/>
      <c r="W288" s="27"/>
    </row>
    <row r="289" spans="1:23" x14ac:dyDescent="0.25">
      <c r="A289" s="34"/>
      <c r="B289" s="3"/>
      <c r="C289" s="3"/>
      <c r="D289" s="3"/>
      <c r="E289" s="3"/>
      <c r="F289" s="3"/>
      <c r="G289" s="3"/>
      <c r="H289" s="3"/>
      <c r="I289" s="3"/>
      <c r="J289" s="3"/>
      <c r="K289" s="3"/>
      <c r="L289" s="3"/>
      <c r="N289" s="3"/>
      <c r="O289" s="27"/>
      <c r="P289" s="27"/>
      <c r="Q289" s="27"/>
      <c r="R289" s="27"/>
      <c r="S289" s="27"/>
      <c r="T289" s="27"/>
      <c r="U289" s="27"/>
      <c r="V289" s="27"/>
      <c r="W289" s="27"/>
    </row>
    <row r="290" spans="1:23" x14ac:dyDescent="0.25">
      <c r="A290" s="34"/>
      <c r="B290" s="3"/>
      <c r="C290" s="3"/>
      <c r="D290" s="3"/>
      <c r="E290" s="3"/>
      <c r="F290" s="3"/>
      <c r="G290" s="3"/>
      <c r="H290" s="3"/>
      <c r="I290" s="3"/>
      <c r="J290" s="3"/>
      <c r="K290" s="3"/>
      <c r="L290" s="3"/>
      <c r="N290" s="3"/>
      <c r="O290" s="27"/>
      <c r="P290" s="27"/>
      <c r="Q290" s="27"/>
      <c r="R290" s="27"/>
      <c r="S290" s="27"/>
      <c r="T290" s="27"/>
      <c r="U290" s="27"/>
      <c r="V290" s="27"/>
      <c r="W290" s="27"/>
    </row>
    <row r="291" spans="1:23" x14ac:dyDescent="0.25">
      <c r="A291" s="43"/>
      <c r="B291" s="12"/>
      <c r="C291" s="12"/>
      <c r="D291" s="12"/>
      <c r="E291" s="12"/>
      <c r="F291" s="12"/>
      <c r="G291" s="12"/>
      <c r="H291" s="12"/>
      <c r="I291" s="12"/>
      <c r="J291" s="12"/>
      <c r="K291" s="12"/>
      <c r="L291" s="12"/>
      <c r="M291" s="207"/>
      <c r="N291" s="12"/>
      <c r="O291" s="28"/>
      <c r="P291" s="28"/>
      <c r="Q291" s="28"/>
      <c r="R291" s="28"/>
      <c r="S291" s="28"/>
      <c r="T291" s="28"/>
      <c r="U291" s="28"/>
      <c r="V291" s="28"/>
      <c r="W291" s="28"/>
    </row>
    <row r="292" spans="1:23" x14ac:dyDescent="0.25">
      <c r="A292" s="43"/>
      <c r="B292" s="12"/>
      <c r="C292" s="12"/>
      <c r="D292" s="12"/>
      <c r="E292" s="12"/>
      <c r="F292" s="12"/>
      <c r="G292" s="12"/>
      <c r="H292" s="12"/>
      <c r="I292" s="12"/>
      <c r="J292" s="12"/>
      <c r="K292" s="12"/>
      <c r="L292" s="12"/>
      <c r="M292" s="207"/>
      <c r="N292" s="12"/>
      <c r="O292" s="28"/>
      <c r="P292" s="28"/>
      <c r="Q292" s="28"/>
      <c r="R292" s="28"/>
      <c r="S292" s="28"/>
      <c r="T292" s="28"/>
      <c r="U292" s="28"/>
      <c r="V292" s="28"/>
      <c r="W292" s="28"/>
    </row>
    <row r="293" spans="1:23" x14ac:dyDescent="0.25">
      <c r="A293" s="34"/>
      <c r="B293" s="3"/>
      <c r="C293" s="3"/>
      <c r="D293" s="3"/>
      <c r="E293" s="3"/>
      <c r="F293" s="3"/>
      <c r="G293" s="3"/>
      <c r="H293" s="3"/>
      <c r="I293" s="3"/>
      <c r="J293" s="3"/>
      <c r="K293" s="3"/>
      <c r="L293" s="3"/>
      <c r="N293" s="3"/>
      <c r="O293" s="27"/>
      <c r="P293" s="27"/>
      <c r="Q293" s="27"/>
      <c r="R293" s="27"/>
      <c r="S293" s="27"/>
      <c r="T293" s="27"/>
      <c r="U293" s="27"/>
      <c r="V293" s="27"/>
      <c r="W293" s="27"/>
    </row>
    <row r="294" spans="1:23" x14ac:dyDescent="0.25">
      <c r="A294" s="34"/>
      <c r="B294" s="3"/>
      <c r="C294" s="3"/>
      <c r="D294" s="3"/>
      <c r="E294" s="3"/>
      <c r="F294" s="3"/>
      <c r="G294" s="3"/>
      <c r="H294" s="3"/>
      <c r="I294" s="3"/>
      <c r="J294" s="3"/>
      <c r="K294" s="3"/>
      <c r="L294" s="3"/>
      <c r="N294" s="3"/>
      <c r="O294" s="27"/>
      <c r="P294" s="27"/>
      <c r="Q294" s="27"/>
      <c r="R294" s="27"/>
      <c r="S294" s="27"/>
      <c r="T294" s="27"/>
      <c r="U294" s="27"/>
      <c r="V294" s="27"/>
      <c r="W294" s="27"/>
    </row>
    <row r="295" spans="1:23" x14ac:dyDescent="0.25">
      <c r="A295" s="34"/>
      <c r="B295" s="3"/>
      <c r="C295" s="3"/>
      <c r="D295" s="3"/>
      <c r="E295" s="3"/>
      <c r="F295" s="3"/>
      <c r="G295" s="3"/>
      <c r="H295" s="3"/>
      <c r="I295" s="3"/>
      <c r="J295" s="3"/>
      <c r="K295" s="3"/>
      <c r="L295" s="3"/>
      <c r="N295" s="3"/>
      <c r="O295" s="27"/>
      <c r="P295" s="27"/>
      <c r="Q295" s="27"/>
      <c r="R295" s="27"/>
      <c r="S295" s="27"/>
      <c r="T295" s="27"/>
      <c r="U295" s="27"/>
      <c r="V295" s="27"/>
      <c r="W295" s="27"/>
    </row>
    <row r="296" spans="1:23" x14ac:dyDescent="0.25">
      <c r="A296" s="43"/>
      <c r="B296" s="12"/>
      <c r="C296" s="12"/>
      <c r="D296" s="12"/>
      <c r="E296" s="12"/>
      <c r="F296" s="12"/>
      <c r="G296" s="12"/>
      <c r="H296" s="12"/>
      <c r="I296" s="12"/>
      <c r="J296" s="12"/>
      <c r="K296" s="12"/>
      <c r="L296" s="12"/>
      <c r="M296" s="207"/>
      <c r="N296" s="12"/>
      <c r="O296" s="28"/>
      <c r="P296" s="28"/>
      <c r="Q296" s="28"/>
      <c r="R296" s="28"/>
      <c r="S296" s="28"/>
      <c r="T296" s="28"/>
      <c r="U296" s="28"/>
      <c r="V296" s="28"/>
      <c r="W296" s="28"/>
    </row>
    <row r="297" spans="1:23" x14ac:dyDescent="0.25">
      <c r="A297" s="43"/>
      <c r="B297" s="12"/>
      <c r="C297" s="12"/>
      <c r="D297" s="12"/>
      <c r="E297" s="12"/>
      <c r="F297" s="12"/>
      <c r="G297" s="12"/>
      <c r="H297" s="12"/>
      <c r="I297" s="12"/>
      <c r="J297" s="12"/>
      <c r="K297" s="12"/>
      <c r="L297" s="12"/>
      <c r="M297" s="207"/>
      <c r="N297" s="12"/>
      <c r="O297" s="28"/>
      <c r="P297" s="28"/>
      <c r="Q297" s="28"/>
      <c r="R297" s="28"/>
      <c r="S297" s="28"/>
      <c r="T297" s="28"/>
      <c r="U297" s="28"/>
      <c r="V297" s="28"/>
      <c r="W297" s="28"/>
    </row>
    <row r="298" spans="1:23" x14ac:dyDescent="0.25">
      <c r="A298" s="34"/>
      <c r="B298" s="3"/>
      <c r="C298" s="3"/>
      <c r="D298" s="3"/>
      <c r="E298" s="3"/>
      <c r="F298" s="3"/>
      <c r="G298" s="3"/>
      <c r="H298" s="3"/>
      <c r="I298" s="3"/>
      <c r="J298" s="3"/>
      <c r="K298" s="3"/>
      <c r="L298" s="3"/>
      <c r="N298" s="3"/>
      <c r="O298" s="27"/>
      <c r="P298" s="27"/>
      <c r="Q298" s="27"/>
      <c r="R298" s="27"/>
      <c r="S298" s="27"/>
      <c r="T298" s="27"/>
      <c r="U298" s="27"/>
      <c r="V298" s="27"/>
      <c r="W298" s="27"/>
    </row>
    <row r="299" spans="1:23" x14ac:dyDescent="0.25">
      <c r="A299" s="34"/>
      <c r="B299" s="3"/>
      <c r="C299" s="3"/>
      <c r="D299" s="3"/>
      <c r="E299" s="3"/>
      <c r="F299" s="3"/>
      <c r="G299" s="3"/>
      <c r="H299" s="3"/>
      <c r="I299" s="3"/>
      <c r="J299" s="3"/>
      <c r="K299" s="3"/>
      <c r="L299" s="3"/>
      <c r="N299" s="3"/>
      <c r="O299" s="27"/>
      <c r="P299" s="27"/>
      <c r="Q299" s="27"/>
      <c r="R299" s="27"/>
      <c r="S299" s="27"/>
      <c r="T299" s="27"/>
      <c r="U299" s="27"/>
      <c r="V299" s="27"/>
      <c r="W299" s="27"/>
    </row>
    <row r="300" spans="1:23" x14ac:dyDescent="0.25">
      <c r="A300" s="34"/>
      <c r="B300" s="3"/>
      <c r="C300" s="3"/>
      <c r="D300" s="3"/>
      <c r="E300" s="3"/>
      <c r="F300" s="3"/>
      <c r="G300" s="3"/>
      <c r="H300" s="3"/>
      <c r="I300" s="3"/>
      <c r="J300" s="3"/>
      <c r="K300" s="3"/>
      <c r="L300" s="3"/>
      <c r="N300" s="3"/>
      <c r="O300" s="27"/>
      <c r="P300" s="27"/>
      <c r="Q300" s="27"/>
      <c r="R300" s="27"/>
      <c r="S300" s="27"/>
      <c r="T300" s="27"/>
      <c r="U300" s="27"/>
      <c r="V300" s="27"/>
      <c r="W300" s="27"/>
    </row>
    <row r="301" spans="1:23" x14ac:dyDescent="0.25">
      <c r="A301" s="43"/>
      <c r="B301" s="12"/>
      <c r="C301" s="12"/>
      <c r="D301" s="12"/>
      <c r="E301" s="12"/>
      <c r="F301" s="12"/>
      <c r="G301" s="12"/>
      <c r="H301" s="12"/>
      <c r="I301" s="12"/>
      <c r="J301" s="12"/>
      <c r="K301" s="12"/>
      <c r="L301" s="12"/>
      <c r="M301" s="207"/>
      <c r="N301" s="12"/>
      <c r="O301" s="28"/>
      <c r="P301" s="28"/>
      <c r="Q301" s="28"/>
      <c r="R301" s="28"/>
      <c r="S301" s="28"/>
      <c r="T301" s="28"/>
      <c r="U301" s="28"/>
      <c r="V301" s="28"/>
      <c r="W301" s="28"/>
    </row>
    <row r="302" spans="1:23" x14ac:dyDescent="0.25">
      <c r="A302" s="43"/>
      <c r="B302" s="12"/>
      <c r="C302" s="12"/>
      <c r="D302" s="12"/>
      <c r="E302" s="12"/>
      <c r="F302" s="12"/>
      <c r="G302" s="12"/>
      <c r="H302" s="12"/>
      <c r="I302" s="12"/>
      <c r="J302" s="12"/>
      <c r="K302" s="12"/>
      <c r="L302" s="12"/>
      <c r="M302" s="207"/>
      <c r="N302" s="12"/>
      <c r="O302" s="28"/>
      <c r="P302" s="28"/>
      <c r="Q302" s="28"/>
      <c r="R302" s="28"/>
      <c r="S302" s="28"/>
      <c r="T302" s="28"/>
      <c r="U302" s="28"/>
      <c r="V302" s="28"/>
      <c r="W302" s="28"/>
    </row>
    <row r="303" spans="1:23" x14ac:dyDescent="0.25">
      <c r="A303" s="34"/>
      <c r="B303" s="3"/>
      <c r="C303" s="3"/>
      <c r="D303" s="3"/>
      <c r="E303" s="3"/>
      <c r="F303" s="3"/>
      <c r="G303" s="3"/>
      <c r="H303" s="3"/>
      <c r="I303" s="3"/>
      <c r="J303" s="3"/>
      <c r="K303" s="3"/>
      <c r="L303" s="3"/>
      <c r="N303" s="3"/>
      <c r="O303" s="27"/>
      <c r="P303" s="27"/>
      <c r="Q303" s="27"/>
      <c r="R303" s="27"/>
      <c r="S303" s="27"/>
      <c r="T303" s="27"/>
      <c r="U303" s="27"/>
      <c r="V303" s="27"/>
      <c r="W303" s="27"/>
    </row>
    <row r="304" spans="1:23" x14ac:dyDescent="0.25">
      <c r="A304" s="34"/>
      <c r="B304" s="3"/>
      <c r="C304" s="3"/>
      <c r="D304" s="3"/>
      <c r="E304" s="3"/>
      <c r="F304" s="3"/>
      <c r="G304" s="3"/>
      <c r="H304" s="3"/>
      <c r="I304" s="3"/>
      <c r="J304" s="3"/>
      <c r="K304" s="3"/>
      <c r="L304" s="3"/>
      <c r="N304" s="3"/>
      <c r="O304" s="27"/>
      <c r="P304" s="27"/>
      <c r="Q304" s="27"/>
      <c r="R304" s="27"/>
      <c r="S304" s="27"/>
      <c r="T304" s="27"/>
      <c r="U304" s="27"/>
      <c r="V304" s="27"/>
      <c r="W304" s="27"/>
    </row>
    <row r="305" spans="1:23" x14ac:dyDescent="0.25">
      <c r="A305" s="34"/>
      <c r="B305" s="3"/>
      <c r="C305" s="3"/>
      <c r="D305" s="3"/>
      <c r="E305" s="3"/>
      <c r="F305" s="3"/>
      <c r="G305" s="3"/>
      <c r="H305" s="3"/>
      <c r="I305" s="3"/>
      <c r="J305" s="3"/>
      <c r="K305" s="3"/>
      <c r="L305" s="3"/>
      <c r="N305" s="3"/>
      <c r="O305" s="27"/>
      <c r="P305" s="27"/>
      <c r="Q305" s="27"/>
      <c r="R305" s="27"/>
      <c r="S305" s="27"/>
      <c r="T305" s="27"/>
      <c r="U305" s="27"/>
      <c r="V305" s="27"/>
      <c r="W305" s="27"/>
    </row>
    <row r="306" spans="1:23" x14ac:dyDescent="0.25">
      <c r="A306" s="43"/>
      <c r="B306" s="12"/>
      <c r="C306" s="12"/>
      <c r="D306" s="12"/>
      <c r="E306" s="12"/>
      <c r="F306" s="12"/>
      <c r="G306" s="12"/>
      <c r="H306" s="12"/>
      <c r="I306" s="12"/>
      <c r="J306" s="12"/>
      <c r="K306" s="12"/>
      <c r="L306" s="12"/>
      <c r="M306" s="207"/>
      <c r="N306" s="12"/>
      <c r="O306" s="28"/>
      <c r="P306" s="28"/>
      <c r="Q306" s="28"/>
      <c r="R306" s="28"/>
      <c r="S306" s="28"/>
      <c r="T306" s="28"/>
      <c r="U306" s="28"/>
      <c r="V306" s="28"/>
      <c r="W306" s="28"/>
    </row>
    <row r="307" spans="1:23" x14ac:dyDescent="0.25">
      <c r="A307" s="43"/>
      <c r="B307" s="12"/>
      <c r="C307" s="12"/>
      <c r="D307" s="12"/>
      <c r="E307" s="12"/>
      <c r="F307" s="12"/>
      <c r="G307" s="12"/>
      <c r="H307" s="12"/>
      <c r="I307" s="12"/>
      <c r="J307" s="12"/>
      <c r="K307" s="12"/>
      <c r="L307" s="12"/>
      <c r="M307" s="207"/>
      <c r="N307" s="12"/>
      <c r="O307" s="28"/>
      <c r="P307" s="28"/>
      <c r="Q307" s="28"/>
      <c r="R307" s="28"/>
      <c r="S307" s="28"/>
      <c r="T307" s="28"/>
      <c r="U307" s="28"/>
      <c r="V307" s="28"/>
      <c r="W307" s="28"/>
    </row>
    <row r="308" spans="1:23" x14ac:dyDescent="0.25">
      <c r="A308" s="34"/>
      <c r="B308" s="3"/>
      <c r="C308" s="3"/>
      <c r="D308" s="3"/>
      <c r="E308" s="3"/>
      <c r="F308" s="3"/>
      <c r="G308" s="3"/>
      <c r="H308" s="3"/>
      <c r="I308" s="3"/>
      <c r="J308" s="3"/>
      <c r="K308" s="3"/>
      <c r="L308" s="3"/>
      <c r="N308" s="3"/>
      <c r="O308" s="27"/>
      <c r="P308" s="27"/>
      <c r="Q308" s="27"/>
      <c r="R308" s="27"/>
      <c r="S308" s="27"/>
      <c r="T308" s="27"/>
      <c r="U308" s="27"/>
      <c r="V308" s="27"/>
      <c r="W308" s="27"/>
    </row>
    <row r="309" spans="1:23" x14ac:dyDescent="0.25">
      <c r="A309" s="34"/>
      <c r="B309" s="3"/>
      <c r="C309" s="3"/>
      <c r="D309" s="3"/>
      <c r="E309" s="3"/>
      <c r="F309" s="3"/>
      <c r="G309" s="3"/>
      <c r="H309" s="3"/>
      <c r="I309" s="3"/>
      <c r="J309" s="3"/>
      <c r="K309" s="3"/>
      <c r="L309" s="3"/>
      <c r="N309" s="3"/>
      <c r="O309" s="27"/>
      <c r="P309" s="27"/>
      <c r="Q309" s="27"/>
      <c r="R309" s="27"/>
      <c r="S309" s="27"/>
      <c r="T309" s="27"/>
      <c r="U309" s="27"/>
      <c r="V309" s="27"/>
      <c r="W309" s="27"/>
    </row>
    <row r="310" spans="1:23" x14ac:dyDescent="0.25">
      <c r="A310" s="34"/>
      <c r="B310" s="3"/>
      <c r="C310" s="3"/>
      <c r="D310" s="3"/>
      <c r="E310" s="3"/>
      <c r="F310" s="3"/>
      <c r="G310" s="3"/>
      <c r="H310" s="3"/>
      <c r="I310" s="3"/>
      <c r="J310" s="3"/>
      <c r="K310" s="3"/>
      <c r="L310" s="3"/>
      <c r="N310" s="3"/>
      <c r="O310" s="27"/>
      <c r="P310" s="27"/>
      <c r="Q310" s="27"/>
      <c r="R310" s="27"/>
      <c r="S310" s="27"/>
      <c r="T310" s="27"/>
      <c r="U310" s="27"/>
      <c r="V310" s="27"/>
      <c r="W310" s="27"/>
    </row>
    <row r="311" spans="1:23" x14ac:dyDescent="0.25">
      <c r="A311" s="43"/>
      <c r="B311" s="12"/>
      <c r="C311" s="12"/>
      <c r="D311" s="12"/>
      <c r="E311" s="12"/>
      <c r="F311" s="12"/>
      <c r="G311" s="12"/>
      <c r="H311" s="12"/>
      <c r="I311" s="12"/>
      <c r="J311" s="12"/>
      <c r="K311" s="12"/>
      <c r="L311" s="12"/>
      <c r="M311" s="207"/>
      <c r="N311" s="12"/>
      <c r="O311" s="28"/>
      <c r="P311" s="28"/>
      <c r="Q311" s="28"/>
      <c r="R311" s="28"/>
      <c r="S311" s="28"/>
      <c r="T311" s="28"/>
      <c r="U311" s="28"/>
      <c r="V311" s="28"/>
      <c r="W311" s="28"/>
    </row>
    <row r="312" spans="1:23" x14ac:dyDescent="0.25">
      <c r="A312" s="43"/>
      <c r="B312" s="12"/>
      <c r="C312" s="12"/>
      <c r="D312" s="12"/>
      <c r="E312" s="12"/>
      <c r="F312" s="12"/>
      <c r="G312" s="12"/>
      <c r="H312" s="12"/>
      <c r="I312" s="12"/>
      <c r="J312" s="12"/>
      <c r="K312" s="12"/>
      <c r="L312" s="12"/>
      <c r="M312" s="207"/>
      <c r="N312" s="12"/>
      <c r="O312" s="28"/>
      <c r="P312" s="28"/>
      <c r="Q312" s="28"/>
      <c r="R312" s="28"/>
      <c r="S312" s="28"/>
      <c r="T312" s="28"/>
      <c r="U312" s="28"/>
      <c r="V312" s="28"/>
      <c r="W312" s="28"/>
    </row>
    <row r="313" spans="1:23" x14ac:dyDescent="0.25">
      <c r="A313" s="34"/>
      <c r="B313" s="3"/>
      <c r="C313" s="3"/>
      <c r="D313" s="3"/>
      <c r="E313" s="3"/>
      <c r="F313" s="3"/>
      <c r="G313" s="3"/>
      <c r="H313" s="3"/>
      <c r="I313" s="3"/>
      <c r="J313" s="3"/>
      <c r="K313" s="3"/>
      <c r="L313" s="3"/>
      <c r="N313" s="3"/>
      <c r="O313" s="27"/>
      <c r="P313" s="27"/>
      <c r="Q313" s="27"/>
      <c r="R313" s="27"/>
      <c r="S313" s="27"/>
      <c r="T313" s="27"/>
      <c r="U313" s="27"/>
      <c r="V313" s="27"/>
      <c r="W313" s="27"/>
    </row>
    <row r="314" spans="1:23" x14ac:dyDescent="0.25">
      <c r="A314" s="34"/>
      <c r="B314" s="3"/>
      <c r="C314" s="3"/>
      <c r="D314" s="3"/>
      <c r="E314" s="3"/>
      <c r="F314" s="3"/>
      <c r="G314" s="3"/>
      <c r="H314" s="3"/>
      <c r="I314" s="3"/>
      <c r="J314" s="3"/>
      <c r="K314" s="3"/>
      <c r="L314" s="3"/>
      <c r="N314" s="3"/>
      <c r="O314" s="27"/>
      <c r="P314" s="27"/>
      <c r="Q314" s="27"/>
      <c r="R314" s="27"/>
      <c r="S314" s="27"/>
      <c r="T314" s="27"/>
      <c r="U314" s="27"/>
      <c r="V314" s="27"/>
      <c r="W314" s="27"/>
    </row>
    <row r="315" spans="1:23" x14ac:dyDescent="0.25">
      <c r="A315" s="34"/>
      <c r="B315" s="3"/>
      <c r="C315" s="3"/>
      <c r="D315" s="3"/>
      <c r="E315" s="3"/>
      <c r="F315" s="3"/>
      <c r="G315" s="3"/>
      <c r="H315" s="3"/>
      <c r="I315" s="3"/>
      <c r="J315" s="3"/>
      <c r="K315" s="3"/>
      <c r="L315" s="3"/>
      <c r="N315" s="3"/>
      <c r="O315" s="27"/>
      <c r="P315" s="27"/>
      <c r="Q315" s="27"/>
      <c r="R315" s="27"/>
      <c r="S315" s="27"/>
      <c r="T315" s="27"/>
      <c r="U315" s="27"/>
      <c r="V315" s="27"/>
      <c r="W315" s="27"/>
    </row>
    <row r="316" spans="1:23" x14ac:dyDescent="0.25">
      <c r="A316" s="43"/>
      <c r="B316" s="12"/>
      <c r="C316" s="12"/>
      <c r="D316" s="12"/>
      <c r="E316" s="12"/>
      <c r="F316" s="12"/>
      <c r="G316" s="12"/>
      <c r="H316" s="12"/>
      <c r="I316" s="12"/>
      <c r="J316" s="12"/>
      <c r="K316" s="12"/>
      <c r="L316" s="12"/>
      <c r="M316" s="207"/>
      <c r="N316" s="12"/>
      <c r="O316" s="28"/>
      <c r="P316" s="28"/>
      <c r="Q316" s="28"/>
      <c r="R316" s="28"/>
      <c r="S316" s="28"/>
      <c r="T316" s="28"/>
      <c r="U316" s="28"/>
      <c r="V316" s="28"/>
      <c r="W316" s="28"/>
    </row>
    <row r="317" spans="1:23" x14ac:dyDescent="0.25">
      <c r="A317" s="43"/>
      <c r="B317" s="12"/>
      <c r="C317" s="12"/>
      <c r="D317" s="12"/>
      <c r="E317" s="12"/>
      <c r="F317" s="12"/>
      <c r="G317" s="12"/>
      <c r="H317" s="12"/>
      <c r="I317" s="12"/>
      <c r="J317" s="12"/>
      <c r="K317" s="12"/>
      <c r="L317" s="12"/>
      <c r="M317" s="207"/>
      <c r="N317" s="12"/>
      <c r="O317" s="28"/>
      <c r="P317" s="28"/>
      <c r="Q317" s="28"/>
      <c r="R317" s="28"/>
      <c r="S317" s="28"/>
      <c r="T317" s="28"/>
      <c r="U317" s="28"/>
      <c r="V317" s="28"/>
      <c r="W317" s="28"/>
    </row>
    <row r="318" spans="1:23" x14ac:dyDescent="0.25">
      <c r="A318" s="34"/>
      <c r="B318" s="3"/>
      <c r="C318" s="3"/>
      <c r="D318" s="3"/>
      <c r="E318" s="3"/>
      <c r="F318" s="3"/>
      <c r="G318" s="3"/>
      <c r="H318" s="3"/>
      <c r="I318" s="3"/>
      <c r="J318" s="3"/>
      <c r="K318" s="3"/>
      <c r="L318" s="3"/>
      <c r="N318" s="3"/>
      <c r="O318" s="27"/>
      <c r="P318" s="27"/>
      <c r="Q318" s="27"/>
      <c r="R318" s="27"/>
      <c r="S318" s="27"/>
      <c r="T318" s="27"/>
      <c r="U318" s="27"/>
      <c r="V318" s="27"/>
      <c r="W318" s="27"/>
    </row>
    <row r="319" spans="1:23" x14ac:dyDescent="0.25">
      <c r="A319" s="34"/>
      <c r="B319" s="3"/>
      <c r="C319" s="3"/>
      <c r="D319" s="3"/>
      <c r="E319" s="3"/>
      <c r="F319" s="3"/>
      <c r="G319" s="3"/>
      <c r="H319" s="3"/>
      <c r="I319" s="3"/>
      <c r="J319" s="3"/>
      <c r="K319" s="3"/>
      <c r="L319" s="3"/>
      <c r="N319" s="3"/>
      <c r="O319" s="27"/>
      <c r="P319" s="27"/>
      <c r="Q319" s="27"/>
      <c r="R319" s="27"/>
      <c r="S319" s="27"/>
      <c r="T319" s="27"/>
      <c r="U319" s="27"/>
      <c r="V319" s="27"/>
      <c r="W319" s="27"/>
    </row>
    <row r="320" spans="1:23" x14ac:dyDescent="0.25">
      <c r="A320" s="34"/>
      <c r="B320" s="3"/>
      <c r="C320" s="3"/>
      <c r="D320" s="3"/>
      <c r="E320" s="3"/>
      <c r="F320" s="3"/>
      <c r="G320" s="3"/>
      <c r="H320" s="3"/>
      <c r="I320" s="3"/>
      <c r="J320" s="3"/>
      <c r="K320" s="3"/>
      <c r="L320" s="3"/>
      <c r="N320" s="3"/>
      <c r="O320" s="27"/>
      <c r="P320" s="27"/>
      <c r="Q320" s="27"/>
      <c r="R320" s="27"/>
      <c r="S320" s="27"/>
      <c r="T320" s="27"/>
      <c r="U320" s="27"/>
      <c r="V320" s="27"/>
      <c r="W320" s="27"/>
    </row>
    <row r="321" spans="1:23" x14ac:dyDescent="0.25">
      <c r="A321" s="43"/>
      <c r="B321" s="12"/>
      <c r="C321" s="12"/>
      <c r="D321" s="12"/>
      <c r="E321" s="12"/>
      <c r="F321" s="12"/>
      <c r="G321" s="12"/>
      <c r="H321" s="12"/>
      <c r="I321" s="12"/>
      <c r="J321" s="12"/>
      <c r="K321" s="12"/>
      <c r="L321" s="12"/>
      <c r="M321" s="207"/>
      <c r="N321" s="12"/>
      <c r="O321" s="28"/>
      <c r="P321" s="28"/>
      <c r="Q321" s="28"/>
      <c r="R321" s="28"/>
      <c r="S321" s="28"/>
      <c r="T321" s="28"/>
      <c r="U321" s="28"/>
      <c r="V321" s="28"/>
      <c r="W321" s="28"/>
    </row>
    <row r="322" spans="1:23" x14ac:dyDescent="0.25">
      <c r="A322" s="43"/>
      <c r="B322" s="12"/>
      <c r="C322" s="12"/>
      <c r="D322" s="12"/>
      <c r="E322" s="12"/>
      <c r="F322" s="12"/>
      <c r="G322" s="12"/>
      <c r="H322" s="12"/>
      <c r="I322" s="12"/>
      <c r="J322" s="12"/>
      <c r="K322" s="12"/>
      <c r="L322" s="12"/>
      <c r="M322" s="207"/>
      <c r="N322" s="12"/>
      <c r="O322" s="28"/>
      <c r="P322" s="28"/>
      <c r="Q322" s="28"/>
      <c r="R322" s="28"/>
      <c r="S322" s="28"/>
      <c r="T322" s="28"/>
      <c r="U322" s="28"/>
      <c r="V322" s="28"/>
      <c r="W322" s="28"/>
    </row>
    <row r="323" spans="1:23" x14ac:dyDescent="0.25">
      <c r="A323" s="34"/>
      <c r="B323" s="3"/>
      <c r="C323" s="3"/>
      <c r="D323" s="3"/>
      <c r="E323" s="3"/>
      <c r="F323" s="3"/>
      <c r="G323" s="3"/>
      <c r="H323" s="3"/>
      <c r="I323" s="3"/>
      <c r="J323" s="3"/>
      <c r="K323" s="3"/>
      <c r="L323" s="3"/>
      <c r="N323" s="3"/>
      <c r="O323" s="27"/>
      <c r="P323" s="27"/>
      <c r="Q323" s="27"/>
      <c r="R323" s="27"/>
      <c r="S323" s="27"/>
      <c r="T323" s="27"/>
      <c r="U323" s="27"/>
      <c r="V323" s="27"/>
      <c r="W323" s="27"/>
    </row>
    <row r="324" spans="1:23" x14ac:dyDescent="0.25">
      <c r="A324" s="34"/>
      <c r="B324" s="3"/>
      <c r="C324" s="3"/>
      <c r="D324" s="3"/>
      <c r="E324" s="3"/>
      <c r="F324" s="3"/>
      <c r="G324" s="3"/>
      <c r="H324" s="3"/>
      <c r="I324" s="3"/>
      <c r="J324" s="3"/>
      <c r="K324" s="3"/>
      <c r="L324" s="3"/>
      <c r="N324" s="3"/>
      <c r="O324" s="27"/>
      <c r="P324" s="27"/>
      <c r="Q324" s="27"/>
      <c r="R324" s="27"/>
      <c r="S324" s="27"/>
      <c r="T324" s="27"/>
      <c r="U324" s="27"/>
      <c r="V324" s="27"/>
      <c r="W324" s="27"/>
    </row>
    <row r="325" spans="1:23" x14ac:dyDescent="0.25">
      <c r="A325" s="34"/>
      <c r="B325" s="3"/>
      <c r="C325" s="3"/>
      <c r="D325" s="3"/>
      <c r="E325" s="3"/>
      <c r="F325" s="3"/>
      <c r="G325" s="3"/>
      <c r="H325" s="3"/>
      <c r="I325" s="3"/>
      <c r="J325" s="3"/>
      <c r="K325" s="3"/>
      <c r="L325" s="3"/>
      <c r="N325" s="3"/>
      <c r="O325" s="27"/>
      <c r="P325" s="27"/>
      <c r="Q325" s="27"/>
      <c r="R325" s="27"/>
      <c r="S325" s="27"/>
      <c r="T325" s="27"/>
      <c r="U325" s="27"/>
      <c r="V325" s="27"/>
      <c r="W325" s="27"/>
    </row>
    <row r="326" spans="1:23" x14ac:dyDescent="0.25">
      <c r="A326" s="43"/>
      <c r="B326" s="12"/>
      <c r="C326" s="12"/>
      <c r="D326" s="12"/>
      <c r="E326" s="12"/>
      <c r="F326" s="12"/>
      <c r="G326" s="12"/>
      <c r="H326" s="12"/>
      <c r="I326" s="12"/>
      <c r="J326" s="12"/>
      <c r="K326" s="12"/>
      <c r="L326" s="12"/>
      <c r="M326" s="207"/>
      <c r="N326" s="12"/>
      <c r="O326" s="28"/>
      <c r="P326" s="28"/>
      <c r="Q326" s="28"/>
      <c r="R326" s="28"/>
      <c r="S326" s="28"/>
      <c r="T326" s="28"/>
      <c r="U326" s="28"/>
      <c r="V326" s="28"/>
      <c r="W326" s="28"/>
    </row>
    <row r="327" spans="1:23" x14ac:dyDescent="0.25">
      <c r="A327" s="43"/>
      <c r="B327" s="12"/>
      <c r="C327" s="12"/>
      <c r="D327" s="12"/>
      <c r="E327" s="12"/>
      <c r="F327" s="12"/>
      <c r="G327" s="12"/>
      <c r="H327" s="12"/>
      <c r="I327" s="12"/>
      <c r="J327" s="12"/>
      <c r="K327" s="12"/>
      <c r="L327" s="12"/>
      <c r="M327" s="207"/>
      <c r="N327" s="12"/>
      <c r="O327" s="28"/>
      <c r="P327" s="28"/>
      <c r="Q327" s="28"/>
      <c r="R327" s="28"/>
      <c r="S327" s="28"/>
      <c r="T327" s="28"/>
      <c r="U327" s="28"/>
      <c r="V327" s="28"/>
      <c r="W327" s="28"/>
    </row>
    <row r="328" spans="1:23" x14ac:dyDescent="0.25">
      <c r="A328" s="34"/>
      <c r="B328" s="3"/>
      <c r="C328" s="3"/>
      <c r="D328" s="3"/>
      <c r="E328" s="3"/>
      <c r="F328" s="3"/>
      <c r="G328" s="3"/>
      <c r="H328" s="3"/>
      <c r="I328" s="3"/>
      <c r="J328" s="3"/>
      <c r="K328" s="3"/>
      <c r="L328" s="3"/>
      <c r="N328" s="3"/>
      <c r="O328" s="27"/>
      <c r="P328" s="27"/>
      <c r="Q328" s="27"/>
      <c r="R328" s="27"/>
      <c r="S328" s="27"/>
      <c r="T328" s="27"/>
      <c r="U328" s="27"/>
      <c r="V328" s="27"/>
      <c r="W328" s="27"/>
    </row>
    <row r="329" spans="1:23" x14ac:dyDescent="0.25">
      <c r="A329" s="34"/>
      <c r="B329" s="3"/>
      <c r="C329" s="3"/>
      <c r="D329" s="3"/>
      <c r="E329" s="3"/>
      <c r="F329" s="3"/>
      <c r="G329" s="3"/>
      <c r="H329" s="3"/>
      <c r="I329" s="3"/>
      <c r="J329" s="3"/>
      <c r="K329" s="3"/>
      <c r="L329" s="3"/>
      <c r="N329" s="3"/>
      <c r="O329" s="27"/>
      <c r="P329" s="27"/>
      <c r="Q329" s="27"/>
      <c r="R329" s="27"/>
      <c r="S329" s="27"/>
      <c r="T329" s="27"/>
      <c r="U329" s="27"/>
      <c r="V329" s="27"/>
      <c r="W329" s="27"/>
    </row>
    <row r="330" spans="1:23" x14ac:dyDescent="0.25">
      <c r="A330" s="34"/>
      <c r="B330" s="3"/>
      <c r="C330" s="3"/>
      <c r="D330" s="3"/>
      <c r="E330" s="3"/>
      <c r="F330" s="3"/>
      <c r="G330" s="3"/>
      <c r="H330" s="3"/>
      <c r="I330" s="3"/>
      <c r="J330" s="3"/>
      <c r="K330" s="3"/>
      <c r="L330" s="3"/>
      <c r="N330" s="3"/>
      <c r="O330" s="27"/>
      <c r="P330" s="27"/>
      <c r="Q330" s="27"/>
      <c r="R330" s="27"/>
      <c r="S330" s="27"/>
      <c r="T330" s="27"/>
      <c r="U330" s="27"/>
      <c r="V330" s="27"/>
      <c r="W330" s="27"/>
    </row>
    <row r="331" spans="1:23" x14ac:dyDescent="0.25">
      <c r="A331" s="43"/>
      <c r="B331" s="12"/>
      <c r="C331" s="12"/>
      <c r="D331" s="12"/>
      <c r="E331" s="12"/>
      <c r="F331" s="12"/>
      <c r="G331" s="12"/>
      <c r="H331" s="12"/>
      <c r="I331" s="12"/>
      <c r="J331" s="12"/>
      <c r="K331" s="12"/>
      <c r="L331" s="12"/>
      <c r="M331" s="207"/>
      <c r="N331" s="12"/>
      <c r="O331" s="28"/>
      <c r="P331" s="28"/>
      <c r="Q331" s="28"/>
      <c r="R331" s="28"/>
      <c r="S331" s="28"/>
      <c r="T331" s="28"/>
      <c r="U331" s="28"/>
      <c r="V331" s="28"/>
      <c r="W331" s="28"/>
    </row>
    <row r="332" spans="1:23" x14ac:dyDescent="0.25">
      <c r="A332" s="43"/>
      <c r="B332" s="12"/>
      <c r="C332" s="12"/>
      <c r="D332" s="12"/>
      <c r="E332" s="12"/>
      <c r="F332" s="12"/>
      <c r="G332" s="12"/>
      <c r="H332" s="12"/>
      <c r="I332" s="12"/>
      <c r="J332" s="12"/>
      <c r="K332" s="12"/>
      <c r="L332" s="12"/>
      <c r="M332" s="207"/>
      <c r="N332" s="12"/>
      <c r="O332" s="28"/>
      <c r="P332" s="28"/>
      <c r="Q332" s="28"/>
      <c r="R332" s="28"/>
      <c r="S332" s="28"/>
      <c r="T332" s="28"/>
      <c r="U332" s="28"/>
      <c r="V332" s="28"/>
      <c r="W332" s="28"/>
    </row>
    <row r="333" spans="1:23" x14ac:dyDescent="0.25">
      <c r="A333" s="34"/>
      <c r="B333" s="3"/>
      <c r="C333" s="3"/>
      <c r="D333" s="3"/>
      <c r="E333" s="3"/>
      <c r="F333" s="3"/>
      <c r="G333" s="3"/>
      <c r="H333" s="3"/>
      <c r="I333" s="3"/>
      <c r="J333" s="3"/>
      <c r="K333" s="3"/>
      <c r="L333" s="3"/>
      <c r="N333" s="3"/>
      <c r="O333" s="27"/>
      <c r="P333" s="27"/>
      <c r="Q333" s="27"/>
      <c r="R333" s="27"/>
      <c r="S333" s="27"/>
      <c r="T333" s="27"/>
      <c r="U333" s="27"/>
      <c r="V333" s="27"/>
      <c r="W333" s="27"/>
    </row>
    <row r="334" spans="1:23" x14ac:dyDescent="0.25">
      <c r="A334" s="34"/>
      <c r="B334" s="3"/>
      <c r="C334" s="3"/>
      <c r="D334" s="3"/>
      <c r="E334" s="3"/>
      <c r="F334" s="3"/>
      <c r="G334" s="3"/>
      <c r="H334" s="3"/>
      <c r="I334" s="3"/>
      <c r="J334" s="3"/>
      <c r="K334" s="3"/>
      <c r="L334" s="3"/>
      <c r="N334" s="3"/>
      <c r="O334" s="27"/>
      <c r="P334" s="27"/>
      <c r="Q334" s="27"/>
      <c r="R334" s="27"/>
      <c r="S334" s="27"/>
      <c r="T334" s="27"/>
      <c r="U334" s="27"/>
      <c r="V334" s="27"/>
      <c r="W334" s="27"/>
    </row>
    <row r="335" spans="1:23" x14ac:dyDescent="0.25">
      <c r="A335" s="34"/>
      <c r="B335" s="3"/>
      <c r="C335" s="3"/>
      <c r="D335" s="3"/>
      <c r="E335" s="3"/>
      <c r="F335" s="3"/>
      <c r="G335" s="3"/>
      <c r="H335" s="3"/>
      <c r="I335" s="3"/>
      <c r="J335" s="3"/>
      <c r="K335" s="3"/>
      <c r="L335" s="3"/>
      <c r="N335" s="3"/>
      <c r="O335" s="27"/>
      <c r="P335" s="27"/>
      <c r="Q335" s="27"/>
      <c r="R335" s="27"/>
      <c r="S335" s="27"/>
      <c r="T335" s="27"/>
      <c r="U335" s="27"/>
      <c r="V335" s="27"/>
      <c r="W335" s="27"/>
    </row>
    <row r="336" spans="1:23" x14ac:dyDescent="0.25">
      <c r="A336" s="43"/>
      <c r="B336" s="12"/>
      <c r="C336" s="12"/>
      <c r="D336" s="12"/>
      <c r="E336" s="12"/>
      <c r="F336" s="12"/>
      <c r="G336" s="12"/>
      <c r="H336" s="12"/>
      <c r="I336" s="12"/>
      <c r="J336" s="12"/>
      <c r="K336" s="12"/>
      <c r="L336" s="12"/>
      <c r="M336" s="207"/>
      <c r="N336" s="12"/>
      <c r="O336" s="28"/>
      <c r="P336" s="28"/>
      <c r="Q336" s="28"/>
      <c r="R336" s="28"/>
      <c r="S336" s="28"/>
      <c r="T336" s="28"/>
      <c r="U336" s="28"/>
      <c r="V336" s="28"/>
      <c r="W336" s="28"/>
    </row>
    <row r="337" spans="1:23" x14ac:dyDescent="0.25">
      <c r="A337" s="43"/>
      <c r="B337" s="12"/>
      <c r="C337" s="12"/>
      <c r="D337" s="12"/>
      <c r="E337" s="12"/>
      <c r="F337" s="12"/>
      <c r="G337" s="12"/>
      <c r="H337" s="12"/>
      <c r="I337" s="12"/>
      <c r="J337" s="12"/>
      <c r="K337" s="12"/>
      <c r="L337" s="12"/>
      <c r="M337" s="207"/>
      <c r="N337" s="12"/>
      <c r="O337" s="28"/>
      <c r="P337" s="28"/>
      <c r="Q337" s="28"/>
      <c r="R337" s="28"/>
      <c r="S337" s="28"/>
      <c r="T337" s="28"/>
      <c r="U337" s="28"/>
      <c r="V337" s="28"/>
      <c r="W337" s="28"/>
    </row>
    <row r="338" spans="1:23" x14ac:dyDescent="0.25">
      <c r="A338" s="34"/>
      <c r="B338" s="3"/>
      <c r="C338" s="3"/>
      <c r="D338" s="3"/>
      <c r="E338" s="3"/>
      <c r="F338" s="3"/>
      <c r="G338" s="3"/>
      <c r="H338" s="3"/>
      <c r="I338" s="3"/>
      <c r="J338" s="3"/>
      <c r="K338" s="3"/>
      <c r="L338" s="3"/>
      <c r="N338" s="3"/>
      <c r="O338" s="27"/>
      <c r="P338" s="27"/>
      <c r="Q338" s="27"/>
      <c r="R338" s="27"/>
      <c r="S338" s="27"/>
      <c r="T338" s="27"/>
      <c r="U338" s="27"/>
      <c r="V338" s="27"/>
      <c r="W338" s="27"/>
    </row>
    <row r="339" spans="1:23" x14ac:dyDescent="0.25">
      <c r="A339" s="34"/>
      <c r="B339" s="3"/>
      <c r="C339" s="3"/>
      <c r="D339" s="3"/>
      <c r="E339" s="3"/>
      <c r="F339" s="3"/>
      <c r="G339" s="3"/>
      <c r="H339" s="3"/>
      <c r="I339" s="3"/>
      <c r="J339" s="3"/>
      <c r="K339" s="3"/>
      <c r="L339" s="3"/>
      <c r="N339" s="3"/>
      <c r="O339" s="27"/>
      <c r="P339" s="27"/>
      <c r="Q339" s="27"/>
      <c r="R339" s="27"/>
      <c r="S339" s="27"/>
      <c r="T339" s="27"/>
      <c r="U339" s="27"/>
      <c r="V339" s="27"/>
      <c r="W339" s="27"/>
    </row>
    <row r="340" spans="1:23" x14ac:dyDescent="0.25">
      <c r="A340" s="34"/>
      <c r="B340" s="3"/>
      <c r="C340" s="3"/>
      <c r="D340" s="3"/>
      <c r="E340" s="3"/>
      <c r="F340" s="3"/>
      <c r="G340" s="3"/>
      <c r="H340" s="3"/>
      <c r="I340" s="3"/>
      <c r="J340" s="3"/>
      <c r="K340" s="3"/>
      <c r="L340" s="3"/>
      <c r="N340" s="3"/>
      <c r="O340" s="27"/>
      <c r="P340" s="27"/>
      <c r="Q340" s="27"/>
      <c r="R340" s="27"/>
      <c r="S340" s="27"/>
      <c r="T340" s="27"/>
      <c r="U340" s="27"/>
      <c r="V340" s="27"/>
      <c r="W340" s="27"/>
    </row>
    <row r="341" spans="1:23" x14ac:dyDescent="0.25">
      <c r="A341" s="43"/>
      <c r="B341" s="12"/>
      <c r="C341" s="12"/>
      <c r="D341" s="12"/>
      <c r="E341" s="12"/>
      <c r="F341" s="12"/>
      <c r="G341" s="12"/>
      <c r="H341" s="12"/>
      <c r="I341" s="12"/>
      <c r="J341" s="12"/>
      <c r="K341" s="12"/>
      <c r="L341" s="12"/>
      <c r="M341" s="207"/>
      <c r="N341" s="12"/>
      <c r="O341" s="28"/>
      <c r="P341" s="28"/>
      <c r="Q341" s="28"/>
      <c r="R341" s="28"/>
      <c r="S341" s="28"/>
      <c r="T341" s="28"/>
      <c r="U341" s="28"/>
      <c r="V341" s="28"/>
      <c r="W341" s="28"/>
    </row>
    <row r="342" spans="1:23" x14ac:dyDescent="0.25">
      <c r="A342" s="43"/>
      <c r="B342" s="12"/>
      <c r="C342" s="12"/>
      <c r="D342" s="12"/>
      <c r="E342" s="12"/>
      <c r="F342" s="12"/>
      <c r="G342" s="12"/>
      <c r="H342" s="12"/>
      <c r="I342" s="12"/>
      <c r="J342" s="12"/>
      <c r="K342" s="12"/>
      <c r="L342" s="12"/>
      <c r="M342" s="207"/>
      <c r="N342" s="12"/>
      <c r="O342" s="28"/>
      <c r="P342" s="28"/>
      <c r="Q342" s="28"/>
      <c r="R342" s="28"/>
      <c r="S342" s="28"/>
      <c r="T342" s="28"/>
      <c r="U342" s="28"/>
      <c r="V342" s="28"/>
      <c r="W342" s="28"/>
    </row>
    <row r="343" spans="1:23" x14ac:dyDescent="0.25">
      <c r="A343" s="34"/>
      <c r="B343" s="3"/>
      <c r="C343" s="3"/>
      <c r="D343" s="3"/>
      <c r="E343" s="3"/>
      <c r="F343" s="3"/>
      <c r="G343" s="3"/>
      <c r="H343" s="3"/>
      <c r="I343" s="3"/>
      <c r="J343" s="3"/>
      <c r="K343" s="3"/>
      <c r="L343" s="3"/>
      <c r="N343" s="3"/>
      <c r="O343" s="27"/>
      <c r="P343" s="27"/>
      <c r="Q343" s="27"/>
      <c r="R343" s="27"/>
      <c r="S343" s="27"/>
      <c r="T343" s="27"/>
      <c r="U343" s="27"/>
      <c r="V343" s="27"/>
      <c r="W343" s="27"/>
    </row>
    <row r="344" spans="1:23" x14ac:dyDescent="0.25">
      <c r="A344" s="34"/>
      <c r="B344" s="3"/>
      <c r="C344" s="3"/>
      <c r="D344" s="3"/>
      <c r="E344" s="3"/>
      <c r="F344" s="3"/>
      <c r="G344" s="3"/>
      <c r="H344" s="3"/>
      <c r="I344" s="3"/>
      <c r="J344" s="3"/>
      <c r="K344" s="3"/>
      <c r="L344" s="3"/>
      <c r="N344" s="3"/>
      <c r="O344" s="27"/>
      <c r="P344" s="27"/>
      <c r="Q344" s="27"/>
      <c r="R344" s="27"/>
      <c r="S344" s="27"/>
      <c r="T344" s="27"/>
      <c r="U344" s="27"/>
      <c r="V344" s="27"/>
      <c r="W344" s="27"/>
    </row>
    <row r="345" spans="1:23" x14ac:dyDescent="0.25">
      <c r="A345" s="34"/>
      <c r="B345" s="3"/>
      <c r="C345" s="3"/>
      <c r="D345" s="3"/>
      <c r="E345" s="3"/>
      <c r="F345" s="3"/>
      <c r="G345" s="3"/>
      <c r="H345" s="3"/>
      <c r="I345" s="3"/>
      <c r="J345" s="3"/>
      <c r="K345" s="3"/>
      <c r="L345" s="3"/>
      <c r="N345" s="3"/>
      <c r="O345" s="27"/>
      <c r="P345" s="27"/>
      <c r="Q345" s="27"/>
      <c r="R345" s="27"/>
      <c r="S345" s="27"/>
      <c r="T345" s="27"/>
      <c r="U345" s="27"/>
      <c r="V345" s="27"/>
      <c r="W345" s="27"/>
    </row>
    <row r="346" spans="1:23" x14ac:dyDescent="0.25">
      <c r="A346" s="43"/>
      <c r="B346" s="12"/>
      <c r="C346" s="12"/>
      <c r="D346" s="12"/>
      <c r="E346" s="12"/>
      <c r="F346" s="12"/>
      <c r="G346" s="12"/>
      <c r="H346" s="12"/>
      <c r="I346" s="12"/>
      <c r="J346" s="12"/>
      <c r="K346" s="12"/>
      <c r="L346" s="12"/>
      <c r="M346" s="207"/>
      <c r="N346" s="12"/>
      <c r="O346" s="28"/>
      <c r="P346" s="28"/>
      <c r="Q346" s="28"/>
      <c r="R346" s="28"/>
      <c r="S346" s="28"/>
      <c r="T346" s="28"/>
      <c r="U346" s="28"/>
      <c r="V346" s="28"/>
      <c r="W346" s="28"/>
    </row>
    <row r="347" spans="1:23" x14ac:dyDescent="0.25">
      <c r="A347" s="43"/>
      <c r="B347" s="12"/>
      <c r="C347" s="12"/>
      <c r="D347" s="12"/>
      <c r="E347" s="12"/>
      <c r="F347" s="12"/>
      <c r="G347" s="12"/>
      <c r="H347" s="12"/>
      <c r="I347" s="12"/>
      <c r="J347" s="12"/>
      <c r="K347" s="12"/>
      <c r="L347" s="12"/>
      <c r="M347" s="207"/>
      <c r="N347" s="12"/>
      <c r="O347" s="28"/>
      <c r="P347" s="28"/>
      <c r="Q347" s="28"/>
      <c r="R347" s="28"/>
      <c r="S347" s="28"/>
      <c r="T347" s="28"/>
      <c r="U347" s="28"/>
      <c r="V347" s="28"/>
      <c r="W347" s="28"/>
    </row>
    <row r="348" spans="1:23" x14ac:dyDescent="0.25">
      <c r="A348" s="34"/>
      <c r="B348" s="3"/>
      <c r="C348" s="3"/>
      <c r="D348" s="3"/>
      <c r="E348" s="3"/>
      <c r="F348" s="3"/>
      <c r="G348" s="3"/>
      <c r="H348" s="3"/>
      <c r="I348" s="3"/>
      <c r="J348" s="3"/>
      <c r="K348" s="3"/>
      <c r="L348" s="3"/>
      <c r="N348" s="3"/>
      <c r="O348" s="27"/>
      <c r="P348" s="27"/>
      <c r="Q348" s="27"/>
      <c r="R348" s="27"/>
      <c r="S348" s="27"/>
      <c r="T348" s="27"/>
      <c r="U348" s="27"/>
      <c r="V348" s="27"/>
      <c r="W348" s="27"/>
    </row>
    <row r="349" spans="1:23" x14ac:dyDescent="0.25">
      <c r="A349" s="34"/>
      <c r="B349" s="3"/>
      <c r="C349" s="3"/>
      <c r="D349" s="3"/>
      <c r="E349" s="3"/>
      <c r="F349" s="3"/>
      <c r="G349" s="3"/>
      <c r="H349" s="3"/>
      <c r="I349" s="3"/>
      <c r="J349" s="3"/>
      <c r="K349" s="3"/>
      <c r="L349" s="3"/>
      <c r="N349" s="3"/>
      <c r="O349" s="27"/>
      <c r="P349" s="27"/>
      <c r="Q349" s="27"/>
      <c r="R349" s="27"/>
      <c r="S349" s="27"/>
      <c r="T349" s="27"/>
      <c r="U349" s="27"/>
      <c r="V349" s="27"/>
      <c r="W349" s="27"/>
    </row>
    <row r="350" spans="1:23" x14ac:dyDescent="0.25">
      <c r="A350" s="34"/>
      <c r="B350" s="3"/>
      <c r="C350" s="3"/>
      <c r="D350" s="3"/>
      <c r="E350" s="3"/>
      <c r="F350" s="3"/>
      <c r="G350" s="3"/>
      <c r="H350" s="3"/>
      <c r="I350" s="3"/>
      <c r="J350" s="3"/>
      <c r="K350" s="3"/>
      <c r="L350" s="3"/>
      <c r="N350" s="3"/>
      <c r="O350" s="27"/>
      <c r="P350" s="27"/>
      <c r="Q350" s="27"/>
      <c r="R350" s="27"/>
      <c r="S350" s="27"/>
      <c r="T350" s="27"/>
      <c r="U350" s="27"/>
      <c r="V350" s="27"/>
      <c r="W350" s="27"/>
    </row>
    <row r="351" spans="1:23" x14ac:dyDescent="0.25">
      <c r="A351" s="43"/>
      <c r="B351" s="12"/>
      <c r="C351" s="12"/>
      <c r="D351" s="12"/>
      <c r="E351" s="12"/>
      <c r="F351" s="12"/>
      <c r="G351" s="12"/>
      <c r="H351" s="12"/>
      <c r="I351" s="12"/>
      <c r="J351" s="12"/>
      <c r="K351" s="12"/>
      <c r="L351" s="12"/>
      <c r="M351" s="207"/>
      <c r="N351" s="12"/>
      <c r="O351" s="28"/>
      <c r="P351" s="28"/>
      <c r="Q351" s="28"/>
      <c r="R351" s="28"/>
      <c r="S351" s="28"/>
      <c r="T351" s="28"/>
      <c r="U351" s="28"/>
      <c r="V351" s="28"/>
      <c r="W351" s="28"/>
    </row>
    <row r="352" spans="1:23" x14ac:dyDescent="0.25">
      <c r="A352" s="43"/>
      <c r="B352" s="12"/>
      <c r="C352" s="12"/>
      <c r="D352" s="12"/>
      <c r="E352" s="12"/>
      <c r="F352" s="12"/>
      <c r="G352" s="12"/>
      <c r="H352" s="12"/>
      <c r="I352" s="12"/>
      <c r="J352" s="12"/>
      <c r="K352" s="12"/>
      <c r="L352" s="12"/>
      <c r="M352" s="207"/>
      <c r="N352" s="12"/>
      <c r="O352" s="28"/>
      <c r="P352" s="28"/>
      <c r="Q352" s="28"/>
      <c r="R352" s="28"/>
      <c r="S352" s="28"/>
      <c r="T352" s="28"/>
      <c r="U352" s="28"/>
      <c r="V352" s="28"/>
      <c r="W352" s="28"/>
    </row>
    <row r="353" spans="1:23" x14ac:dyDescent="0.25">
      <c r="A353" s="34"/>
      <c r="B353" s="3"/>
      <c r="C353" s="3"/>
      <c r="D353" s="3"/>
      <c r="E353" s="3"/>
      <c r="F353" s="3"/>
      <c r="G353" s="3"/>
      <c r="H353" s="3"/>
      <c r="I353" s="3"/>
      <c r="J353" s="3"/>
      <c r="K353" s="3"/>
      <c r="L353" s="3"/>
      <c r="N353" s="3"/>
      <c r="O353" s="27"/>
      <c r="P353" s="27"/>
      <c r="Q353" s="27"/>
      <c r="R353" s="27"/>
      <c r="S353" s="27"/>
      <c r="T353" s="27"/>
      <c r="U353" s="27"/>
      <c r="V353" s="27"/>
      <c r="W353" s="27"/>
    </row>
    <row r="354" spans="1:23" x14ac:dyDescent="0.25">
      <c r="A354" s="34"/>
      <c r="B354" s="3"/>
      <c r="C354" s="3"/>
      <c r="D354" s="3"/>
      <c r="E354" s="3"/>
      <c r="F354" s="3"/>
      <c r="G354" s="3"/>
      <c r="H354" s="3"/>
      <c r="I354" s="3"/>
      <c r="J354" s="3"/>
      <c r="K354" s="3"/>
      <c r="L354" s="3"/>
      <c r="N354" s="3"/>
      <c r="O354" s="27"/>
      <c r="P354" s="27"/>
      <c r="Q354" s="27"/>
      <c r="R354" s="27"/>
      <c r="S354" s="27"/>
      <c r="T354" s="27"/>
      <c r="U354" s="27"/>
      <c r="V354" s="27"/>
      <c r="W354" s="27"/>
    </row>
    <row r="355" spans="1:23" x14ac:dyDescent="0.25">
      <c r="A355" s="34"/>
      <c r="B355" s="3"/>
      <c r="C355" s="3"/>
      <c r="D355" s="3"/>
      <c r="E355" s="3"/>
      <c r="F355" s="3"/>
      <c r="G355" s="3"/>
      <c r="H355" s="3"/>
      <c r="I355" s="3"/>
      <c r="J355" s="3"/>
      <c r="K355" s="3"/>
      <c r="L355" s="3"/>
      <c r="N355" s="3"/>
      <c r="O355" s="27"/>
      <c r="P355" s="27"/>
      <c r="Q355" s="27"/>
      <c r="R355" s="27"/>
      <c r="S355" s="27"/>
      <c r="T355" s="27"/>
      <c r="U355" s="27"/>
      <c r="V355" s="27"/>
      <c r="W355" s="27"/>
    </row>
    <row r="356" spans="1:23" x14ac:dyDescent="0.25">
      <c r="A356" s="43"/>
      <c r="B356" s="12"/>
      <c r="C356" s="12"/>
      <c r="D356" s="12"/>
      <c r="E356" s="12"/>
      <c r="F356" s="12"/>
      <c r="G356" s="12"/>
      <c r="H356" s="12"/>
      <c r="I356" s="12"/>
      <c r="J356" s="12"/>
      <c r="K356" s="12"/>
      <c r="L356" s="12"/>
      <c r="M356" s="207"/>
      <c r="N356" s="12"/>
      <c r="O356" s="28"/>
      <c r="P356" s="28"/>
      <c r="Q356" s="28"/>
      <c r="R356" s="28"/>
      <c r="S356" s="28"/>
      <c r="T356" s="28"/>
      <c r="U356" s="28"/>
      <c r="V356" s="28"/>
      <c r="W356" s="28"/>
    </row>
    <row r="357" spans="1:23" x14ac:dyDescent="0.25">
      <c r="A357" s="43"/>
      <c r="B357" s="12"/>
      <c r="C357" s="12"/>
      <c r="D357" s="12"/>
      <c r="E357" s="12"/>
      <c r="F357" s="12"/>
      <c r="G357" s="12"/>
      <c r="H357" s="12"/>
      <c r="I357" s="12"/>
      <c r="J357" s="12"/>
      <c r="K357" s="12"/>
      <c r="L357" s="12"/>
      <c r="M357" s="207"/>
      <c r="N357" s="12"/>
      <c r="O357" s="28"/>
      <c r="P357" s="28"/>
      <c r="Q357" s="28"/>
      <c r="R357" s="28"/>
      <c r="S357" s="28"/>
      <c r="T357" s="28"/>
      <c r="U357" s="28"/>
      <c r="V357" s="28"/>
      <c r="W357" s="28"/>
    </row>
    <row r="358" spans="1:23" x14ac:dyDescent="0.25">
      <c r="A358" s="34"/>
      <c r="B358" s="3"/>
      <c r="C358" s="3"/>
      <c r="D358" s="3"/>
      <c r="E358" s="3"/>
      <c r="F358" s="3"/>
      <c r="G358" s="3"/>
      <c r="H358" s="3"/>
      <c r="I358" s="3"/>
      <c r="J358" s="3"/>
      <c r="K358" s="3"/>
      <c r="L358" s="3"/>
      <c r="N358" s="3"/>
      <c r="O358" s="27"/>
      <c r="P358" s="27"/>
      <c r="Q358" s="27"/>
      <c r="R358" s="27"/>
      <c r="S358" s="27"/>
      <c r="T358" s="27"/>
      <c r="U358" s="27"/>
      <c r="V358" s="27"/>
      <c r="W358" s="27"/>
    </row>
    <row r="359" spans="1:23" x14ac:dyDescent="0.25">
      <c r="A359" s="34"/>
      <c r="B359" s="3"/>
      <c r="C359" s="3"/>
      <c r="D359" s="3"/>
      <c r="E359" s="3"/>
      <c r="F359" s="3"/>
      <c r="G359" s="3"/>
      <c r="H359" s="3"/>
      <c r="I359" s="3"/>
      <c r="J359" s="3"/>
      <c r="K359" s="3"/>
      <c r="L359" s="3"/>
      <c r="N359" s="3"/>
      <c r="O359" s="27"/>
      <c r="P359" s="27"/>
      <c r="Q359" s="27"/>
      <c r="R359" s="27"/>
      <c r="S359" s="27"/>
      <c r="T359" s="27"/>
      <c r="U359" s="27"/>
      <c r="V359" s="27"/>
      <c r="W359" s="27"/>
    </row>
    <row r="360" spans="1:23" x14ac:dyDescent="0.25">
      <c r="A360" s="34"/>
      <c r="B360" s="3"/>
      <c r="C360" s="3"/>
      <c r="D360" s="3"/>
      <c r="E360" s="3"/>
      <c r="F360" s="3"/>
      <c r="G360" s="3"/>
      <c r="H360" s="3"/>
      <c r="I360" s="3"/>
      <c r="J360" s="3"/>
      <c r="K360" s="3"/>
      <c r="L360" s="3"/>
      <c r="N360" s="3"/>
      <c r="O360" s="27"/>
      <c r="P360" s="27"/>
      <c r="Q360" s="27"/>
      <c r="R360" s="27"/>
      <c r="S360" s="27"/>
      <c r="T360" s="27"/>
      <c r="U360" s="27"/>
      <c r="V360" s="27"/>
      <c r="W360" s="27"/>
    </row>
    <row r="361" spans="1:23" x14ac:dyDescent="0.25">
      <c r="A361" s="43"/>
      <c r="B361" s="12"/>
      <c r="C361" s="12"/>
      <c r="D361" s="12"/>
      <c r="E361" s="12"/>
      <c r="F361" s="12"/>
      <c r="G361" s="12"/>
      <c r="H361" s="12"/>
      <c r="I361" s="12"/>
      <c r="J361" s="12"/>
      <c r="K361" s="12"/>
      <c r="L361" s="12"/>
      <c r="M361" s="207"/>
      <c r="N361" s="12"/>
      <c r="O361" s="28"/>
      <c r="P361" s="28"/>
      <c r="Q361" s="28"/>
      <c r="R361" s="28"/>
      <c r="S361" s="28"/>
      <c r="T361" s="28"/>
      <c r="U361" s="28"/>
      <c r="V361" s="28"/>
      <c r="W361" s="28"/>
    </row>
    <row r="362" spans="1:23" x14ac:dyDescent="0.25">
      <c r="A362" s="43"/>
      <c r="B362" s="12"/>
      <c r="C362" s="12"/>
      <c r="D362" s="12"/>
      <c r="E362" s="12"/>
      <c r="F362" s="12"/>
      <c r="G362" s="12"/>
      <c r="H362" s="12"/>
      <c r="I362" s="12"/>
      <c r="J362" s="12"/>
      <c r="K362" s="12"/>
      <c r="L362" s="12"/>
      <c r="M362" s="207"/>
      <c r="N362" s="12"/>
      <c r="O362" s="28"/>
      <c r="P362" s="28"/>
      <c r="Q362" s="28"/>
      <c r="R362" s="28"/>
      <c r="S362" s="28"/>
      <c r="T362" s="28"/>
      <c r="U362" s="28"/>
      <c r="V362" s="28"/>
      <c r="W362" s="28"/>
    </row>
    <row r="363" spans="1:23" x14ac:dyDescent="0.25">
      <c r="A363" s="34"/>
      <c r="B363" s="3"/>
      <c r="C363" s="3"/>
      <c r="D363" s="3"/>
      <c r="E363" s="3"/>
      <c r="F363" s="3"/>
      <c r="G363" s="3"/>
      <c r="H363" s="3"/>
      <c r="I363" s="3"/>
      <c r="J363" s="3"/>
      <c r="K363" s="3"/>
      <c r="L363" s="3"/>
      <c r="N363" s="3"/>
      <c r="O363" s="27"/>
      <c r="P363" s="27"/>
      <c r="Q363" s="27"/>
      <c r="R363" s="27"/>
      <c r="S363" s="27"/>
      <c r="T363" s="27"/>
      <c r="U363" s="27"/>
      <c r="V363" s="27"/>
      <c r="W363" s="27"/>
    </row>
    <row r="364" spans="1:23" x14ac:dyDescent="0.25">
      <c r="A364" s="34"/>
      <c r="B364" s="3"/>
      <c r="C364" s="3"/>
      <c r="D364" s="3"/>
      <c r="E364" s="3"/>
      <c r="F364" s="3"/>
      <c r="G364" s="3"/>
      <c r="H364" s="3"/>
      <c r="I364" s="3"/>
      <c r="J364" s="3"/>
      <c r="K364" s="3"/>
      <c r="L364" s="3"/>
      <c r="N364" s="3"/>
      <c r="O364" s="27"/>
      <c r="P364" s="27"/>
      <c r="Q364" s="27"/>
      <c r="R364" s="27"/>
      <c r="S364" s="27"/>
      <c r="T364" s="27"/>
      <c r="U364" s="27"/>
      <c r="V364" s="27"/>
      <c r="W364" s="27"/>
    </row>
    <row r="365" spans="1:23" x14ac:dyDescent="0.25">
      <c r="A365" s="34"/>
      <c r="B365" s="3"/>
      <c r="C365" s="3"/>
      <c r="D365" s="3"/>
      <c r="E365" s="3"/>
      <c r="F365" s="3"/>
      <c r="G365" s="3"/>
      <c r="H365" s="3"/>
      <c r="I365" s="3"/>
      <c r="J365" s="3"/>
      <c r="K365" s="3"/>
      <c r="L365" s="3"/>
      <c r="N365" s="3"/>
      <c r="O365" s="27"/>
      <c r="P365" s="27"/>
      <c r="Q365" s="27"/>
      <c r="R365" s="27"/>
      <c r="S365" s="27"/>
      <c r="T365" s="27"/>
      <c r="U365" s="27"/>
      <c r="V365" s="27"/>
      <c r="W365" s="27"/>
    </row>
    <row r="366" spans="1:23" x14ac:dyDescent="0.25">
      <c r="A366" s="43"/>
      <c r="B366" s="12"/>
      <c r="C366" s="12"/>
      <c r="D366" s="12"/>
      <c r="E366" s="12"/>
      <c r="F366" s="12"/>
      <c r="G366" s="12"/>
      <c r="H366" s="12"/>
      <c r="I366" s="12"/>
      <c r="J366" s="12"/>
      <c r="K366" s="12"/>
      <c r="L366" s="12"/>
      <c r="M366" s="207"/>
      <c r="N366" s="12"/>
      <c r="O366" s="28"/>
      <c r="P366" s="28"/>
      <c r="Q366" s="28"/>
      <c r="R366" s="28"/>
      <c r="S366" s="28"/>
      <c r="T366" s="28"/>
      <c r="U366" s="28"/>
      <c r="V366" s="28"/>
      <c r="W366" s="28"/>
    </row>
    <row r="367" spans="1:23" x14ac:dyDescent="0.25">
      <c r="A367" s="43"/>
      <c r="B367" s="12"/>
      <c r="C367" s="12"/>
      <c r="D367" s="12"/>
      <c r="E367" s="12"/>
      <c r="F367" s="12"/>
      <c r="G367" s="12"/>
      <c r="H367" s="12"/>
      <c r="I367" s="12"/>
      <c r="J367" s="12"/>
      <c r="K367" s="12"/>
      <c r="L367" s="12"/>
      <c r="M367" s="207"/>
      <c r="N367" s="12"/>
      <c r="O367" s="28"/>
      <c r="P367" s="28"/>
      <c r="Q367" s="28"/>
      <c r="R367" s="28"/>
      <c r="S367" s="28"/>
      <c r="T367" s="28"/>
      <c r="U367" s="28"/>
      <c r="V367" s="28"/>
      <c r="W367" s="28"/>
    </row>
    <row r="368" spans="1:23" x14ac:dyDescent="0.25">
      <c r="A368" s="34"/>
      <c r="B368" s="3"/>
      <c r="C368" s="3"/>
      <c r="D368" s="3"/>
      <c r="E368" s="3"/>
      <c r="F368" s="3"/>
      <c r="G368" s="3"/>
      <c r="H368" s="3"/>
      <c r="I368" s="3"/>
      <c r="J368" s="3"/>
      <c r="K368" s="3"/>
      <c r="L368" s="3"/>
      <c r="N368" s="3"/>
      <c r="O368" s="27"/>
      <c r="P368" s="27"/>
      <c r="Q368" s="27"/>
      <c r="R368" s="27"/>
      <c r="S368" s="27"/>
      <c r="T368" s="27"/>
      <c r="U368" s="27"/>
      <c r="V368" s="27"/>
      <c r="W368" s="27"/>
    </row>
    <row r="369" spans="1:23" x14ac:dyDescent="0.25">
      <c r="A369" s="34"/>
      <c r="B369" s="3"/>
      <c r="C369" s="3"/>
      <c r="D369" s="3"/>
      <c r="E369" s="3"/>
      <c r="F369" s="3"/>
      <c r="G369" s="3"/>
      <c r="H369" s="3"/>
      <c r="I369" s="3"/>
      <c r="J369" s="3"/>
      <c r="K369" s="3"/>
      <c r="L369" s="3"/>
      <c r="N369" s="3"/>
      <c r="O369" s="27"/>
      <c r="P369" s="27"/>
      <c r="Q369" s="27"/>
      <c r="R369" s="27"/>
      <c r="S369" s="27"/>
      <c r="T369" s="27"/>
      <c r="U369" s="27"/>
      <c r="V369" s="27"/>
      <c r="W369" s="27"/>
    </row>
    <row r="370" spans="1:23" x14ac:dyDescent="0.25">
      <c r="A370" s="34"/>
      <c r="B370" s="3"/>
      <c r="C370" s="3"/>
      <c r="D370" s="3"/>
      <c r="E370" s="3"/>
      <c r="F370" s="3"/>
      <c r="G370" s="3"/>
      <c r="H370" s="3"/>
      <c r="I370" s="3"/>
      <c r="J370" s="3"/>
      <c r="K370" s="3"/>
      <c r="L370" s="3"/>
      <c r="N370" s="3"/>
      <c r="O370" s="27"/>
      <c r="P370" s="27"/>
      <c r="Q370" s="27"/>
      <c r="R370" s="27"/>
      <c r="S370" s="27"/>
      <c r="T370" s="27"/>
      <c r="U370" s="27"/>
      <c r="V370" s="27"/>
      <c r="W370" s="27"/>
    </row>
    <row r="371" spans="1:23" x14ac:dyDescent="0.25">
      <c r="A371" s="43"/>
      <c r="B371" s="12"/>
      <c r="C371" s="12"/>
      <c r="D371" s="12"/>
      <c r="E371" s="12"/>
      <c r="F371" s="12"/>
      <c r="G371" s="12"/>
      <c r="H371" s="12"/>
      <c r="I371" s="12"/>
      <c r="J371" s="12"/>
      <c r="K371" s="12"/>
      <c r="L371" s="12"/>
      <c r="M371" s="207"/>
      <c r="N371" s="12"/>
      <c r="O371" s="28"/>
      <c r="P371" s="28"/>
      <c r="Q371" s="28"/>
      <c r="R371" s="28"/>
      <c r="S371" s="28"/>
      <c r="T371" s="28"/>
      <c r="U371" s="28"/>
      <c r="V371" s="28"/>
      <c r="W371" s="28"/>
    </row>
    <row r="372" spans="1:23" x14ac:dyDescent="0.25">
      <c r="A372" s="43"/>
      <c r="B372" s="12"/>
      <c r="C372" s="12"/>
      <c r="D372" s="12"/>
      <c r="E372" s="12"/>
      <c r="F372" s="12"/>
      <c r="G372" s="12"/>
      <c r="H372" s="12"/>
      <c r="I372" s="12"/>
      <c r="J372" s="12"/>
      <c r="K372" s="12"/>
      <c r="L372" s="12"/>
      <c r="M372" s="207"/>
      <c r="N372" s="12"/>
      <c r="O372" s="28"/>
      <c r="P372" s="28"/>
      <c r="Q372" s="28"/>
      <c r="R372" s="28"/>
      <c r="S372" s="28"/>
      <c r="T372" s="28"/>
      <c r="U372" s="28"/>
      <c r="V372" s="28"/>
      <c r="W372" s="28"/>
    </row>
    <row r="373" spans="1:23" x14ac:dyDescent="0.25">
      <c r="A373" s="34"/>
      <c r="B373" s="3"/>
      <c r="C373" s="3"/>
      <c r="D373" s="3"/>
      <c r="E373" s="3"/>
      <c r="F373" s="3"/>
      <c r="G373" s="3"/>
      <c r="H373" s="3"/>
      <c r="I373" s="3"/>
      <c r="J373" s="3"/>
      <c r="K373" s="3"/>
      <c r="L373" s="3"/>
      <c r="N373" s="3"/>
      <c r="O373" s="27"/>
      <c r="P373" s="27"/>
      <c r="Q373" s="27"/>
      <c r="R373" s="27"/>
      <c r="S373" s="27"/>
      <c r="T373" s="27"/>
      <c r="U373" s="27"/>
      <c r="V373" s="27"/>
      <c r="W373" s="27"/>
    </row>
    <row r="374" spans="1:23" x14ac:dyDescent="0.25">
      <c r="A374" s="34"/>
      <c r="B374" s="3"/>
      <c r="C374" s="3"/>
      <c r="D374" s="3"/>
      <c r="E374" s="3"/>
      <c r="F374" s="3"/>
      <c r="G374" s="3"/>
      <c r="H374" s="3"/>
      <c r="I374" s="3"/>
      <c r="J374" s="3"/>
      <c r="K374" s="3"/>
      <c r="L374" s="3"/>
      <c r="N374" s="3"/>
      <c r="O374" s="27"/>
      <c r="P374" s="27"/>
      <c r="Q374" s="27"/>
      <c r="R374" s="27"/>
      <c r="S374" s="27"/>
      <c r="T374" s="27"/>
      <c r="U374" s="27"/>
      <c r="V374" s="27"/>
      <c r="W374" s="27"/>
    </row>
    <row r="375" spans="1:23" x14ac:dyDescent="0.25">
      <c r="A375" s="34"/>
      <c r="B375" s="3"/>
      <c r="C375" s="3"/>
      <c r="D375" s="3"/>
      <c r="E375" s="3"/>
      <c r="F375" s="3"/>
      <c r="G375" s="3"/>
      <c r="H375" s="3"/>
      <c r="I375" s="3"/>
      <c r="J375" s="3"/>
      <c r="K375" s="3"/>
      <c r="L375" s="3"/>
      <c r="N375" s="3"/>
      <c r="O375" s="27"/>
      <c r="P375" s="27"/>
      <c r="Q375" s="27"/>
      <c r="R375" s="27"/>
      <c r="S375" s="27"/>
      <c r="T375" s="27"/>
      <c r="U375" s="27"/>
      <c r="V375" s="27"/>
      <c r="W375" s="27"/>
    </row>
    <row r="376" spans="1:23" x14ac:dyDescent="0.25">
      <c r="A376" s="43"/>
      <c r="B376" s="12"/>
      <c r="C376" s="12"/>
      <c r="D376" s="12"/>
      <c r="E376" s="12"/>
      <c r="F376" s="12"/>
      <c r="G376" s="12"/>
      <c r="H376" s="12"/>
      <c r="I376" s="12"/>
      <c r="J376" s="12"/>
      <c r="K376" s="12"/>
      <c r="L376" s="12"/>
      <c r="M376" s="207"/>
      <c r="N376" s="12"/>
      <c r="O376" s="28"/>
      <c r="P376" s="28"/>
      <c r="Q376" s="28"/>
      <c r="R376" s="28"/>
      <c r="S376" s="28"/>
      <c r="T376" s="28"/>
      <c r="U376" s="28"/>
      <c r="V376" s="28"/>
      <c r="W376" s="28"/>
    </row>
    <row r="377" spans="1:23" x14ac:dyDescent="0.25">
      <c r="A377" s="43"/>
      <c r="B377" s="12"/>
      <c r="C377" s="12"/>
      <c r="D377" s="12"/>
      <c r="E377" s="12"/>
      <c r="F377" s="12"/>
      <c r="G377" s="12"/>
      <c r="H377" s="12"/>
      <c r="I377" s="12"/>
      <c r="J377" s="12"/>
      <c r="K377" s="12"/>
      <c r="L377" s="12"/>
      <c r="M377" s="207"/>
      <c r="N377" s="12"/>
      <c r="O377" s="28"/>
      <c r="P377" s="28"/>
      <c r="Q377" s="28"/>
      <c r="R377" s="28"/>
      <c r="S377" s="28"/>
      <c r="T377" s="28"/>
      <c r="U377" s="28"/>
      <c r="V377" s="28"/>
      <c r="W377" s="28"/>
    </row>
    <row r="378" spans="1:23" x14ac:dyDescent="0.25">
      <c r="A378" s="34"/>
      <c r="B378" s="3"/>
      <c r="C378" s="3"/>
      <c r="D378" s="3"/>
      <c r="E378" s="3"/>
      <c r="F378" s="3"/>
      <c r="G378" s="3"/>
      <c r="H378" s="3"/>
      <c r="I378" s="3"/>
      <c r="J378" s="3"/>
      <c r="K378" s="3"/>
      <c r="L378" s="3"/>
      <c r="N378" s="3"/>
      <c r="O378" s="27"/>
      <c r="P378" s="27"/>
      <c r="Q378" s="27"/>
      <c r="R378" s="27"/>
      <c r="S378" s="27"/>
      <c r="T378" s="27"/>
      <c r="U378" s="27"/>
      <c r="V378" s="27"/>
      <c r="W378" s="27"/>
    </row>
    <row r="379" spans="1:23" x14ac:dyDescent="0.25">
      <c r="A379" s="34"/>
      <c r="B379" s="3"/>
      <c r="C379" s="3"/>
      <c r="D379" s="3"/>
      <c r="E379" s="3"/>
      <c r="F379" s="3"/>
      <c r="G379" s="3"/>
      <c r="H379" s="3"/>
      <c r="I379" s="3"/>
      <c r="J379" s="3"/>
      <c r="K379" s="3"/>
      <c r="L379" s="3"/>
      <c r="N379" s="3"/>
      <c r="O379" s="27"/>
      <c r="P379" s="27"/>
      <c r="Q379" s="27"/>
      <c r="R379" s="27"/>
      <c r="S379" s="27"/>
      <c r="T379" s="27"/>
      <c r="U379" s="27"/>
      <c r="V379" s="27"/>
      <c r="W379" s="27"/>
    </row>
  </sheetData>
  <conditionalFormatting sqref="U6:U9">
    <cfRule type="iconSet" priority="42">
      <iconSet iconSet="5Arrows">
        <cfvo type="percent" val="0"/>
        <cfvo type="num" val="-0.2"/>
        <cfvo type="num" val="0"/>
        <cfvo type="num" val="0.2"/>
        <cfvo type="num" val="0.5"/>
      </iconSet>
    </cfRule>
  </conditionalFormatting>
  <conditionalFormatting sqref="U13:U16">
    <cfRule type="iconSet" priority="37">
      <iconSet iconSet="5Arrows">
        <cfvo type="percent" val="0"/>
        <cfvo type="num" val="-0.2"/>
        <cfvo type="num" val="0"/>
        <cfvo type="num" val="0.2"/>
        <cfvo type="num" val="0.5"/>
      </iconSet>
    </cfRule>
  </conditionalFormatting>
  <conditionalFormatting sqref="U20:U30">
    <cfRule type="iconSet" priority="32">
      <iconSet iconSet="5Arrows">
        <cfvo type="percent" val="0"/>
        <cfvo type="num" val="-0.2"/>
        <cfvo type="num" val="0"/>
        <cfvo type="num" val="0.2"/>
        <cfvo type="num" val="0.5"/>
      </iconSet>
    </cfRule>
  </conditionalFormatting>
  <conditionalFormatting sqref="U34:U41">
    <cfRule type="iconSet" priority="27">
      <iconSet iconSet="5Arrows">
        <cfvo type="percent" val="0"/>
        <cfvo type="num" val="-0.2"/>
        <cfvo type="num" val="0"/>
        <cfvo type="num" val="0.2"/>
        <cfvo type="num" val="0.5"/>
      </iconSet>
    </cfRule>
  </conditionalFormatting>
  <conditionalFormatting sqref="U47:U72 V71:W71 V52:W52">
    <cfRule type="iconSet" priority="22">
      <iconSet iconSet="5Arrows">
        <cfvo type="percent" val="0"/>
        <cfvo type="num" val="-0.2"/>
        <cfvo type="num" val="0"/>
        <cfvo type="num" val="0.2"/>
        <cfvo type="num" val="0.5"/>
      </iconSet>
    </cfRule>
  </conditionalFormatting>
  <conditionalFormatting sqref="U78:U81">
    <cfRule type="iconSet" priority="17">
      <iconSet iconSet="5Arrows">
        <cfvo type="percent" val="0"/>
        <cfvo type="num" val="-0.2"/>
        <cfvo type="num" val="0"/>
        <cfvo type="num" val="0.2"/>
        <cfvo type="num" val="0.5"/>
      </iconSet>
    </cfRule>
  </conditionalFormatting>
  <conditionalFormatting sqref="U85:U92">
    <cfRule type="iconSet" priority="12">
      <iconSet iconSet="5Arrows">
        <cfvo type="percent" val="0"/>
        <cfvo type="num" val="-0.2"/>
        <cfvo type="num" val="0"/>
        <cfvo type="num" val="0.2"/>
        <cfvo type="num" val="0.5"/>
      </iconSet>
    </cfRule>
  </conditionalFormatting>
  <conditionalFormatting sqref="U97:U113">
    <cfRule type="iconSet" priority="7">
      <iconSet iconSet="5Arrows">
        <cfvo type="percent" val="0"/>
        <cfvo type="num" val="-0.2"/>
        <cfvo type="num" val="0"/>
        <cfvo type="num" val="0.2"/>
        <cfvo type="num" val="0.5"/>
      </iconSet>
    </cfRule>
  </conditionalFormatting>
  <conditionalFormatting sqref="U117:U133">
    <cfRule type="iconSet" priority="2">
      <iconSet iconSet="5Arrows">
        <cfvo type="percent" val="0"/>
        <cfvo type="num" val="-0.2"/>
        <cfvo type="num" val="0"/>
        <cfvo type="num" val="0.2"/>
        <cfvo type="num" val="0.5"/>
      </iconSet>
    </cfRule>
  </conditionalFormatting>
  <conditionalFormatting sqref="V6:V9">
    <cfRule type="iconSet" priority="41">
      <iconSet iconSet="5Arrows">
        <cfvo type="percent" val="0"/>
        <cfvo type="num" val="-0.2"/>
        <cfvo type="num" val="0"/>
        <cfvo type="num" val="0.2"/>
        <cfvo type="num" val="0.5"/>
      </iconSet>
    </cfRule>
  </conditionalFormatting>
  <conditionalFormatting sqref="V13:V16">
    <cfRule type="iconSet" priority="36">
      <iconSet iconSet="5Arrows">
        <cfvo type="percent" val="0"/>
        <cfvo type="num" val="-0.2"/>
        <cfvo type="num" val="0"/>
        <cfvo type="num" val="0.2"/>
        <cfvo type="num" val="0.5"/>
      </iconSet>
    </cfRule>
  </conditionalFormatting>
  <conditionalFormatting sqref="V20:V30">
    <cfRule type="iconSet" priority="31">
      <iconSet iconSet="5Arrows">
        <cfvo type="percent" val="0"/>
        <cfvo type="num" val="-0.2"/>
        <cfvo type="num" val="0"/>
        <cfvo type="num" val="0.2"/>
        <cfvo type="num" val="0.5"/>
      </iconSet>
    </cfRule>
  </conditionalFormatting>
  <conditionalFormatting sqref="V34:V41">
    <cfRule type="iconSet" priority="26">
      <iconSet iconSet="5Arrows">
        <cfvo type="percent" val="0"/>
        <cfvo type="num" val="-0.2"/>
        <cfvo type="num" val="0"/>
        <cfvo type="num" val="0.2"/>
        <cfvo type="num" val="0.5"/>
      </iconSet>
    </cfRule>
  </conditionalFormatting>
  <conditionalFormatting sqref="V47:V51 V72 V53:V70">
    <cfRule type="iconSet" priority="21">
      <iconSet iconSet="5Arrows">
        <cfvo type="percent" val="0"/>
        <cfvo type="num" val="-0.2"/>
        <cfvo type="num" val="0"/>
        <cfvo type="num" val="0.2"/>
        <cfvo type="num" val="0.5"/>
      </iconSet>
    </cfRule>
  </conditionalFormatting>
  <conditionalFormatting sqref="V78:V81">
    <cfRule type="iconSet" priority="16">
      <iconSet iconSet="5Arrows">
        <cfvo type="percent" val="0"/>
        <cfvo type="num" val="-0.2"/>
        <cfvo type="num" val="0"/>
        <cfvo type="num" val="0.2"/>
        <cfvo type="num" val="0.5"/>
      </iconSet>
    </cfRule>
  </conditionalFormatting>
  <conditionalFormatting sqref="V85:V92">
    <cfRule type="iconSet" priority="11">
      <iconSet iconSet="5Arrows">
        <cfvo type="percent" val="0"/>
        <cfvo type="num" val="-0.2"/>
        <cfvo type="num" val="0"/>
        <cfvo type="num" val="0.2"/>
        <cfvo type="num" val="0.5"/>
      </iconSet>
    </cfRule>
  </conditionalFormatting>
  <conditionalFormatting sqref="V97:V113">
    <cfRule type="iconSet" priority="6">
      <iconSet iconSet="5Arrows">
        <cfvo type="percent" val="0"/>
        <cfvo type="num" val="-0.2"/>
        <cfvo type="num" val="0"/>
        <cfvo type="num" val="0.2"/>
        <cfvo type="num" val="0.5"/>
      </iconSet>
    </cfRule>
  </conditionalFormatting>
  <conditionalFormatting sqref="V117:V133">
    <cfRule type="iconSet" priority="1">
      <iconSet iconSet="5Arrows">
        <cfvo type="percent" val="0"/>
        <cfvo type="num" val="-0.2"/>
        <cfvo type="num" val="0"/>
        <cfvo type="num" val="0.2"/>
        <cfvo type="num" val="0.5"/>
      </iconSet>
    </cfRule>
  </conditionalFormatting>
  <conditionalFormatting sqref="W6:W9">
    <cfRule type="iconSet" priority="45">
      <iconSet iconSet="5Arrows">
        <cfvo type="percent" val="0"/>
        <cfvo type="num" val="-0.1"/>
        <cfvo type="num" val="0"/>
        <cfvo type="num" val="0.1"/>
        <cfvo type="num" val="0.2"/>
      </iconSet>
    </cfRule>
  </conditionalFormatting>
  <conditionalFormatting sqref="W13:W16">
    <cfRule type="iconSet" priority="40">
      <iconSet iconSet="5Arrows">
        <cfvo type="percent" val="0"/>
        <cfvo type="num" val="-0.1"/>
        <cfvo type="num" val="0"/>
        <cfvo type="num" val="0.1"/>
        <cfvo type="num" val="0.2"/>
      </iconSet>
    </cfRule>
  </conditionalFormatting>
  <conditionalFormatting sqref="W20:W30">
    <cfRule type="iconSet" priority="35">
      <iconSet iconSet="5Arrows">
        <cfvo type="percent" val="0"/>
        <cfvo type="num" val="-0.1"/>
        <cfvo type="num" val="0"/>
        <cfvo type="num" val="0.1"/>
        <cfvo type="num" val="0.2"/>
      </iconSet>
    </cfRule>
  </conditionalFormatting>
  <conditionalFormatting sqref="W34:W41">
    <cfRule type="iconSet" priority="30">
      <iconSet iconSet="5Arrows">
        <cfvo type="percent" val="0"/>
        <cfvo type="num" val="-0.1"/>
        <cfvo type="num" val="0"/>
        <cfvo type="num" val="0.1"/>
        <cfvo type="num" val="0.2"/>
      </iconSet>
    </cfRule>
  </conditionalFormatting>
  <conditionalFormatting sqref="W47:W51 W72 W53:W70">
    <cfRule type="iconSet" priority="25">
      <iconSet iconSet="5Arrows">
        <cfvo type="percent" val="0"/>
        <cfvo type="num" val="-0.1"/>
        <cfvo type="num" val="0"/>
        <cfvo type="num" val="0.1"/>
        <cfvo type="num" val="0.2"/>
      </iconSet>
    </cfRule>
  </conditionalFormatting>
  <conditionalFormatting sqref="W78:W81">
    <cfRule type="iconSet" priority="20">
      <iconSet iconSet="5Arrows">
        <cfvo type="percent" val="0"/>
        <cfvo type="num" val="-0.1"/>
        <cfvo type="num" val="0"/>
        <cfvo type="num" val="0.1"/>
        <cfvo type="num" val="0.2"/>
      </iconSet>
    </cfRule>
  </conditionalFormatting>
  <conditionalFormatting sqref="W85:W92">
    <cfRule type="iconSet" priority="15">
      <iconSet iconSet="5Arrows">
        <cfvo type="percent" val="0"/>
        <cfvo type="num" val="-0.1"/>
        <cfvo type="num" val="0"/>
        <cfvo type="num" val="0.1"/>
        <cfvo type="num" val="0.2"/>
      </iconSet>
    </cfRule>
  </conditionalFormatting>
  <conditionalFormatting sqref="W97:W113">
    <cfRule type="iconSet" priority="10">
      <iconSet iconSet="5Arrows">
        <cfvo type="percent" val="0"/>
        <cfvo type="num" val="-0.1"/>
        <cfvo type="num" val="0"/>
        <cfvo type="num" val="0.1"/>
        <cfvo type="num" val="0.2"/>
      </iconSet>
    </cfRule>
  </conditionalFormatting>
  <conditionalFormatting sqref="W117:W133">
    <cfRule type="iconSet" priority="5">
      <iconSet iconSet="5Arrows">
        <cfvo type="percent" val="0"/>
        <cfvo type="num" val="-0.1"/>
        <cfvo type="num" val="0"/>
        <cfvo type="num" val="0.1"/>
        <cfvo type="num" val="0.2"/>
      </iconSet>
    </cfRule>
  </conditionalFormatting>
  <conditionalFormatting sqref="X6:X8">
    <cfRule type="dataBar" priority="44">
      <dataBar>
        <cfvo type="min"/>
        <cfvo type="max"/>
        <color rgb="FF638EC6"/>
      </dataBar>
      <extLst>
        <ext xmlns:x14="http://schemas.microsoft.com/office/spreadsheetml/2009/9/main" uri="{B025F937-C7B1-47D3-B67F-A62EFF666E3E}">
          <x14:id>{2181E572-40CD-468E-AEBA-01A7A0E4013F}</x14:id>
        </ext>
      </extLst>
    </cfRule>
  </conditionalFormatting>
  <conditionalFormatting sqref="X13:X15">
    <cfRule type="dataBar" priority="39">
      <dataBar>
        <cfvo type="min"/>
        <cfvo type="max"/>
        <color rgb="FF638EC6"/>
      </dataBar>
      <extLst>
        <ext xmlns:x14="http://schemas.microsoft.com/office/spreadsheetml/2009/9/main" uri="{B025F937-C7B1-47D3-B67F-A62EFF666E3E}">
          <x14:id>{2C87DE4F-9789-4094-AB72-BCFBCDFF5BD3}</x14:id>
        </ext>
      </extLst>
    </cfRule>
  </conditionalFormatting>
  <conditionalFormatting sqref="X20:X29">
    <cfRule type="dataBar" priority="34">
      <dataBar>
        <cfvo type="min"/>
        <cfvo type="max"/>
        <color rgb="FF638EC6"/>
      </dataBar>
      <extLst>
        <ext xmlns:x14="http://schemas.microsoft.com/office/spreadsheetml/2009/9/main" uri="{B025F937-C7B1-47D3-B67F-A62EFF666E3E}">
          <x14:id>{725AC191-9BD9-4139-A8DF-5B37D761CC47}</x14:id>
        </ext>
      </extLst>
    </cfRule>
  </conditionalFormatting>
  <conditionalFormatting sqref="X34:X40">
    <cfRule type="dataBar" priority="29">
      <dataBar>
        <cfvo type="min"/>
        <cfvo type="max"/>
        <color rgb="FF638EC6"/>
      </dataBar>
      <extLst>
        <ext xmlns:x14="http://schemas.microsoft.com/office/spreadsheetml/2009/9/main" uri="{B025F937-C7B1-47D3-B67F-A62EFF666E3E}">
          <x14:id>{BE47AAA9-DD83-4F0A-9A4B-CE1AC5286F52}</x14:id>
        </ext>
      </extLst>
    </cfRule>
  </conditionalFormatting>
  <conditionalFormatting sqref="X47:X71">
    <cfRule type="dataBar" priority="24">
      <dataBar>
        <cfvo type="min"/>
        <cfvo type="max"/>
        <color rgb="FF638EC6"/>
      </dataBar>
      <extLst>
        <ext xmlns:x14="http://schemas.microsoft.com/office/spreadsheetml/2009/9/main" uri="{B025F937-C7B1-47D3-B67F-A62EFF666E3E}">
          <x14:id>{9FC6751D-DF0E-427B-A13A-B0E9FDB77D52}</x14:id>
        </ext>
      </extLst>
    </cfRule>
  </conditionalFormatting>
  <conditionalFormatting sqref="X78:X80">
    <cfRule type="dataBar" priority="19">
      <dataBar>
        <cfvo type="min"/>
        <cfvo type="max"/>
        <color rgb="FF638EC6"/>
      </dataBar>
      <extLst>
        <ext xmlns:x14="http://schemas.microsoft.com/office/spreadsheetml/2009/9/main" uri="{B025F937-C7B1-47D3-B67F-A62EFF666E3E}">
          <x14:id>{33BCA37C-0985-4036-98AE-198573974643}</x14:id>
        </ext>
      </extLst>
    </cfRule>
  </conditionalFormatting>
  <conditionalFormatting sqref="X85:X91">
    <cfRule type="dataBar" priority="14">
      <dataBar>
        <cfvo type="min"/>
        <cfvo type="max"/>
        <color rgb="FF638EC6"/>
      </dataBar>
      <extLst>
        <ext xmlns:x14="http://schemas.microsoft.com/office/spreadsheetml/2009/9/main" uri="{B025F937-C7B1-47D3-B67F-A62EFF666E3E}">
          <x14:id>{A9F99F3C-DB8B-4B2B-9B64-63A2B3F8C25B}</x14:id>
        </ext>
      </extLst>
    </cfRule>
  </conditionalFormatting>
  <conditionalFormatting sqref="X97:X112">
    <cfRule type="dataBar" priority="9">
      <dataBar>
        <cfvo type="min"/>
        <cfvo type="max"/>
        <color rgb="FF638EC6"/>
      </dataBar>
      <extLst>
        <ext xmlns:x14="http://schemas.microsoft.com/office/spreadsheetml/2009/9/main" uri="{B025F937-C7B1-47D3-B67F-A62EFF666E3E}">
          <x14:id>{23988D0A-52ED-48CA-B4E1-D9BC522F857A}</x14:id>
        </ext>
      </extLst>
    </cfRule>
  </conditionalFormatting>
  <conditionalFormatting sqref="X117:X132">
    <cfRule type="dataBar" priority="4">
      <dataBar>
        <cfvo type="min"/>
        <cfvo type="max"/>
        <color rgb="FF638EC6"/>
      </dataBar>
      <extLst>
        <ext xmlns:x14="http://schemas.microsoft.com/office/spreadsheetml/2009/9/main" uri="{B025F937-C7B1-47D3-B67F-A62EFF666E3E}">
          <x14:id>{17986E52-0E98-47E9-9283-A3318D551863}</x14:id>
        </ext>
      </extLst>
    </cfRule>
  </conditionalFormatting>
  <conditionalFormatting sqref="Y6:Y9">
    <cfRule type="dataBar" priority="43">
      <dataBar>
        <cfvo type="min"/>
        <cfvo type="max"/>
        <color rgb="FF63C384"/>
      </dataBar>
      <extLst>
        <ext xmlns:x14="http://schemas.microsoft.com/office/spreadsheetml/2009/9/main" uri="{B025F937-C7B1-47D3-B67F-A62EFF666E3E}">
          <x14:id>{04D481BF-787B-48AB-BCAC-5DA942003A9A}</x14:id>
        </ext>
      </extLst>
    </cfRule>
  </conditionalFormatting>
  <conditionalFormatting sqref="Y13:Y16">
    <cfRule type="dataBar" priority="38">
      <dataBar>
        <cfvo type="min"/>
        <cfvo type="max"/>
        <color rgb="FF63C384"/>
      </dataBar>
      <extLst>
        <ext xmlns:x14="http://schemas.microsoft.com/office/spreadsheetml/2009/9/main" uri="{B025F937-C7B1-47D3-B67F-A62EFF666E3E}">
          <x14:id>{B6DDE2E7-45A9-4911-B23C-0C66E012D54C}</x14:id>
        </ext>
      </extLst>
    </cfRule>
  </conditionalFormatting>
  <conditionalFormatting sqref="Y20:Y30">
    <cfRule type="dataBar" priority="33">
      <dataBar>
        <cfvo type="min"/>
        <cfvo type="max"/>
        <color rgb="FF63C384"/>
      </dataBar>
      <extLst>
        <ext xmlns:x14="http://schemas.microsoft.com/office/spreadsheetml/2009/9/main" uri="{B025F937-C7B1-47D3-B67F-A62EFF666E3E}">
          <x14:id>{380389A2-ABB6-49D1-BB1A-68B7283D2D9E}</x14:id>
        </ext>
      </extLst>
    </cfRule>
  </conditionalFormatting>
  <conditionalFormatting sqref="Y34:Y41">
    <cfRule type="dataBar" priority="28">
      <dataBar>
        <cfvo type="min"/>
        <cfvo type="max"/>
        <color rgb="FF63C384"/>
      </dataBar>
      <extLst>
        <ext xmlns:x14="http://schemas.microsoft.com/office/spreadsheetml/2009/9/main" uri="{B025F937-C7B1-47D3-B67F-A62EFF666E3E}">
          <x14:id>{0D4495DE-0BDF-4D2B-8A5C-E68086E0D32C}</x14:id>
        </ext>
      </extLst>
    </cfRule>
  </conditionalFormatting>
  <conditionalFormatting sqref="Y47:Y72">
    <cfRule type="dataBar" priority="23">
      <dataBar>
        <cfvo type="min"/>
        <cfvo type="max"/>
        <color rgb="FF63C384"/>
      </dataBar>
      <extLst>
        <ext xmlns:x14="http://schemas.microsoft.com/office/spreadsheetml/2009/9/main" uri="{B025F937-C7B1-47D3-B67F-A62EFF666E3E}">
          <x14:id>{243A28EA-C557-46F3-9CB0-7AC20BE3AD3A}</x14:id>
        </ext>
      </extLst>
    </cfRule>
  </conditionalFormatting>
  <conditionalFormatting sqref="Y78:Y81">
    <cfRule type="dataBar" priority="18">
      <dataBar>
        <cfvo type="min"/>
        <cfvo type="max"/>
        <color rgb="FF63C384"/>
      </dataBar>
      <extLst>
        <ext xmlns:x14="http://schemas.microsoft.com/office/spreadsheetml/2009/9/main" uri="{B025F937-C7B1-47D3-B67F-A62EFF666E3E}">
          <x14:id>{CD0FEB42-BD0B-423A-A8BF-2D61AF616895}</x14:id>
        </ext>
      </extLst>
    </cfRule>
  </conditionalFormatting>
  <conditionalFormatting sqref="Y85:Y92">
    <cfRule type="dataBar" priority="13">
      <dataBar>
        <cfvo type="min"/>
        <cfvo type="max"/>
        <color rgb="FF63C384"/>
      </dataBar>
      <extLst>
        <ext xmlns:x14="http://schemas.microsoft.com/office/spreadsheetml/2009/9/main" uri="{B025F937-C7B1-47D3-B67F-A62EFF666E3E}">
          <x14:id>{AD274E72-71F4-411E-8437-DAD38670D841}</x14:id>
        </ext>
      </extLst>
    </cfRule>
  </conditionalFormatting>
  <conditionalFormatting sqref="Y97:Y113">
    <cfRule type="dataBar" priority="8">
      <dataBar>
        <cfvo type="min"/>
        <cfvo type="max"/>
        <color rgb="FF63C384"/>
      </dataBar>
      <extLst>
        <ext xmlns:x14="http://schemas.microsoft.com/office/spreadsheetml/2009/9/main" uri="{B025F937-C7B1-47D3-B67F-A62EFF666E3E}">
          <x14:id>{C19FF388-FB9B-4F99-AFA5-D21B0D9BC2C4}</x14:id>
        </ext>
      </extLst>
    </cfRule>
  </conditionalFormatting>
  <conditionalFormatting sqref="Y117:Y133">
    <cfRule type="dataBar" priority="3">
      <dataBar>
        <cfvo type="min"/>
        <cfvo type="max"/>
        <color rgb="FF63C384"/>
      </dataBar>
      <extLst>
        <ext xmlns:x14="http://schemas.microsoft.com/office/spreadsheetml/2009/9/main" uri="{B025F937-C7B1-47D3-B67F-A62EFF666E3E}">
          <x14:id>{8BDACD76-EE64-45F2-8B07-D153EEE5EE3B}</x14:id>
        </ext>
      </extLst>
    </cfRule>
  </conditionalFormatting>
  <hyperlinks>
    <hyperlink ref="A137" location="Índice!C1" display="Volver al ïndice" xr:uid="{00000000-0004-0000-0200-000000000000}"/>
  </hyperlink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2181E572-40CD-468E-AEBA-01A7A0E4013F}">
            <x14:dataBar minLength="0" maxLength="100" border="1" negativeBarBorderColorSameAsPositive="0">
              <x14:cfvo type="autoMin"/>
              <x14:cfvo type="autoMax"/>
              <x14:borderColor rgb="FF638EC6"/>
              <x14:negativeFillColor rgb="FFFF0000"/>
              <x14:negativeBorderColor rgb="FFFF0000"/>
              <x14:axisColor rgb="FF000000"/>
            </x14:dataBar>
          </x14:cfRule>
          <xm:sqref>X6:X8</xm:sqref>
        </x14:conditionalFormatting>
        <x14:conditionalFormatting xmlns:xm="http://schemas.microsoft.com/office/excel/2006/main">
          <x14:cfRule type="dataBar" id="{2C87DE4F-9789-4094-AB72-BCFBCDFF5BD3}">
            <x14:dataBar minLength="0" maxLength="100" border="1" negativeBarBorderColorSameAsPositive="0">
              <x14:cfvo type="autoMin"/>
              <x14:cfvo type="autoMax"/>
              <x14:borderColor rgb="FF638EC6"/>
              <x14:negativeFillColor rgb="FFFF0000"/>
              <x14:negativeBorderColor rgb="FFFF0000"/>
              <x14:axisColor rgb="FF000000"/>
            </x14:dataBar>
          </x14:cfRule>
          <xm:sqref>X13:X15</xm:sqref>
        </x14:conditionalFormatting>
        <x14:conditionalFormatting xmlns:xm="http://schemas.microsoft.com/office/excel/2006/main">
          <x14:cfRule type="dataBar" id="{725AC191-9BD9-4139-A8DF-5B37D761CC47}">
            <x14:dataBar minLength="0" maxLength="100" border="1" negativeBarBorderColorSameAsPositive="0">
              <x14:cfvo type="autoMin"/>
              <x14:cfvo type="autoMax"/>
              <x14:borderColor rgb="FF638EC6"/>
              <x14:negativeFillColor rgb="FFFF0000"/>
              <x14:negativeBorderColor rgb="FFFF0000"/>
              <x14:axisColor rgb="FF000000"/>
            </x14:dataBar>
          </x14:cfRule>
          <xm:sqref>X20:X29</xm:sqref>
        </x14:conditionalFormatting>
        <x14:conditionalFormatting xmlns:xm="http://schemas.microsoft.com/office/excel/2006/main">
          <x14:cfRule type="dataBar" id="{BE47AAA9-DD83-4F0A-9A4B-CE1AC5286F52}">
            <x14:dataBar minLength="0" maxLength="100" border="1" negativeBarBorderColorSameAsPositive="0">
              <x14:cfvo type="autoMin"/>
              <x14:cfvo type="autoMax"/>
              <x14:borderColor rgb="FF638EC6"/>
              <x14:negativeFillColor rgb="FFFF0000"/>
              <x14:negativeBorderColor rgb="FFFF0000"/>
              <x14:axisColor rgb="FF000000"/>
            </x14:dataBar>
          </x14:cfRule>
          <xm:sqref>X34:X40</xm:sqref>
        </x14:conditionalFormatting>
        <x14:conditionalFormatting xmlns:xm="http://schemas.microsoft.com/office/excel/2006/main">
          <x14:cfRule type="dataBar" id="{9FC6751D-DF0E-427B-A13A-B0E9FDB77D52}">
            <x14:dataBar minLength="0" maxLength="100" border="1" negativeBarBorderColorSameAsPositive="0">
              <x14:cfvo type="autoMin"/>
              <x14:cfvo type="autoMax"/>
              <x14:borderColor rgb="FF638EC6"/>
              <x14:negativeFillColor rgb="FFFF0000"/>
              <x14:negativeBorderColor rgb="FFFF0000"/>
              <x14:axisColor rgb="FF000000"/>
            </x14:dataBar>
          </x14:cfRule>
          <xm:sqref>X47:X71</xm:sqref>
        </x14:conditionalFormatting>
        <x14:conditionalFormatting xmlns:xm="http://schemas.microsoft.com/office/excel/2006/main">
          <x14:cfRule type="dataBar" id="{33BCA37C-0985-4036-98AE-198573974643}">
            <x14:dataBar minLength="0" maxLength="100" border="1" negativeBarBorderColorSameAsPositive="0">
              <x14:cfvo type="autoMin"/>
              <x14:cfvo type="autoMax"/>
              <x14:borderColor rgb="FF638EC6"/>
              <x14:negativeFillColor rgb="FFFF0000"/>
              <x14:negativeBorderColor rgb="FFFF0000"/>
              <x14:axisColor rgb="FF000000"/>
            </x14:dataBar>
          </x14:cfRule>
          <xm:sqref>X78:X80</xm:sqref>
        </x14:conditionalFormatting>
        <x14:conditionalFormatting xmlns:xm="http://schemas.microsoft.com/office/excel/2006/main">
          <x14:cfRule type="dataBar" id="{A9F99F3C-DB8B-4B2B-9B64-63A2B3F8C25B}">
            <x14:dataBar minLength="0" maxLength="100" border="1" negativeBarBorderColorSameAsPositive="0">
              <x14:cfvo type="autoMin"/>
              <x14:cfvo type="autoMax"/>
              <x14:borderColor rgb="FF638EC6"/>
              <x14:negativeFillColor rgb="FFFF0000"/>
              <x14:negativeBorderColor rgb="FFFF0000"/>
              <x14:axisColor rgb="FF000000"/>
            </x14:dataBar>
          </x14:cfRule>
          <xm:sqref>X85:X91</xm:sqref>
        </x14:conditionalFormatting>
        <x14:conditionalFormatting xmlns:xm="http://schemas.microsoft.com/office/excel/2006/main">
          <x14:cfRule type="dataBar" id="{23988D0A-52ED-48CA-B4E1-D9BC522F857A}">
            <x14:dataBar minLength="0" maxLength="100" border="1" negativeBarBorderColorSameAsPositive="0">
              <x14:cfvo type="autoMin"/>
              <x14:cfvo type="autoMax"/>
              <x14:borderColor rgb="FF638EC6"/>
              <x14:negativeFillColor rgb="FFFF0000"/>
              <x14:negativeBorderColor rgb="FFFF0000"/>
              <x14:axisColor rgb="FF000000"/>
            </x14:dataBar>
          </x14:cfRule>
          <xm:sqref>X97:X112</xm:sqref>
        </x14:conditionalFormatting>
        <x14:conditionalFormatting xmlns:xm="http://schemas.microsoft.com/office/excel/2006/main">
          <x14:cfRule type="dataBar" id="{17986E52-0E98-47E9-9283-A3318D551863}">
            <x14:dataBar minLength="0" maxLength="100" border="1" negativeBarBorderColorSameAsPositive="0">
              <x14:cfvo type="autoMin"/>
              <x14:cfvo type="autoMax"/>
              <x14:borderColor rgb="FF638EC6"/>
              <x14:negativeFillColor rgb="FFFF0000"/>
              <x14:negativeBorderColor rgb="FFFF0000"/>
              <x14:axisColor rgb="FF000000"/>
            </x14:dataBar>
          </x14:cfRule>
          <xm:sqref>X117:X132</xm:sqref>
        </x14:conditionalFormatting>
        <x14:conditionalFormatting xmlns:xm="http://schemas.microsoft.com/office/excel/2006/main">
          <x14:cfRule type="dataBar" id="{04D481BF-787B-48AB-BCAC-5DA942003A9A}">
            <x14:dataBar minLength="0" maxLength="100" border="1" negativeBarBorderColorSameAsPositive="0">
              <x14:cfvo type="autoMin"/>
              <x14:cfvo type="autoMax"/>
              <x14:borderColor rgb="FF63C384"/>
              <x14:negativeFillColor rgb="FFFF0000"/>
              <x14:negativeBorderColor rgb="FFFF0000"/>
              <x14:axisColor rgb="FF000000"/>
            </x14:dataBar>
          </x14:cfRule>
          <xm:sqref>Y6:Y9</xm:sqref>
        </x14:conditionalFormatting>
        <x14:conditionalFormatting xmlns:xm="http://schemas.microsoft.com/office/excel/2006/main">
          <x14:cfRule type="dataBar" id="{B6DDE2E7-45A9-4911-B23C-0C66E012D54C}">
            <x14:dataBar minLength="0" maxLength="100" border="1" negativeBarBorderColorSameAsPositive="0">
              <x14:cfvo type="autoMin"/>
              <x14:cfvo type="autoMax"/>
              <x14:borderColor rgb="FF63C384"/>
              <x14:negativeFillColor rgb="FFFF0000"/>
              <x14:negativeBorderColor rgb="FFFF0000"/>
              <x14:axisColor rgb="FF000000"/>
            </x14:dataBar>
          </x14:cfRule>
          <xm:sqref>Y13:Y16</xm:sqref>
        </x14:conditionalFormatting>
        <x14:conditionalFormatting xmlns:xm="http://schemas.microsoft.com/office/excel/2006/main">
          <x14:cfRule type="dataBar" id="{380389A2-ABB6-49D1-BB1A-68B7283D2D9E}">
            <x14:dataBar minLength="0" maxLength="100" border="1" negativeBarBorderColorSameAsPositive="0">
              <x14:cfvo type="autoMin"/>
              <x14:cfvo type="autoMax"/>
              <x14:borderColor rgb="FF63C384"/>
              <x14:negativeFillColor rgb="FFFF0000"/>
              <x14:negativeBorderColor rgb="FFFF0000"/>
              <x14:axisColor rgb="FF000000"/>
            </x14:dataBar>
          </x14:cfRule>
          <xm:sqref>Y20:Y30</xm:sqref>
        </x14:conditionalFormatting>
        <x14:conditionalFormatting xmlns:xm="http://schemas.microsoft.com/office/excel/2006/main">
          <x14:cfRule type="dataBar" id="{0D4495DE-0BDF-4D2B-8A5C-E68086E0D32C}">
            <x14:dataBar minLength="0" maxLength="100" border="1" negativeBarBorderColorSameAsPositive="0">
              <x14:cfvo type="autoMin"/>
              <x14:cfvo type="autoMax"/>
              <x14:borderColor rgb="FF63C384"/>
              <x14:negativeFillColor rgb="FFFF0000"/>
              <x14:negativeBorderColor rgb="FFFF0000"/>
              <x14:axisColor rgb="FF000000"/>
            </x14:dataBar>
          </x14:cfRule>
          <xm:sqref>Y34:Y41</xm:sqref>
        </x14:conditionalFormatting>
        <x14:conditionalFormatting xmlns:xm="http://schemas.microsoft.com/office/excel/2006/main">
          <x14:cfRule type="dataBar" id="{243A28EA-C557-46F3-9CB0-7AC20BE3AD3A}">
            <x14:dataBar minLength="0" maxLength="100" border="1" negativeBarBorderColorSameAsPositive="0">
              <x14:cfvo type="autoMin"/>
              <x14:cfvo type="autoMax"/>
              <x14:borderColor rgb="FF63C384"/>
              <x14:negativeFillColor rgb="FFFF0000"/>
              <x14:negativeBorderColor rgb="FFFF0000"/>
              <x14:axisColor rgb="FF000000"/>
            </x14:dataBar>
          </x14:cfRule>
          <xm:sqref>Y47:Y72</xm:sqref>
        </x14:conditionalFormatting>
        <x14:conditionalFormatting xmlns:xm="http://schemas.microsoft.com/office/excel/2006/main">
          <x14:cfRule type="dataBar" id="{CD0FEB42-BD0B-423A-A8BF-2D61AF616895}">
            <x14:dataBar minLength="0" maxLength="100" border="1" negativeBarBorderColorSameAsPositive="0">
              <x14:cfvo type="autoMin"/>
              <x14:cfvo type="autoMax"/>
              <x14:borderColor rgb="FF63C384"/>
              <x14:negativeFillColor rgb="FFFF0000"/>
              <x14:negativeBorderColor rgb="FFFF0000"/>
              <x14:axisColor rgb="FF000000"/>
            </x14:dataBar>
          </x14:cfRule>
          <xm:sqref>Y78:Y81</xm:sqref>
        </x14:conditionalFormatting>
        <x14:conditionalFormatting xmlns:xm="http://schemas.microsoft.com/office/excel/2006/main">
          <x14:cfRule type="dataBar" id="{AD274E72-71F4-411E-8437-DAD38670D841}">
            <x14:dataBar minLength="0" maxLength="100" border="1" negativeBarBorderColorSameAsPositive="0">
              <x14:cfvo type="autoMin"/>
              <x14:cfvo type="autoMax"/>
              <x14:borderColor rgb="FF63C384"/>
              <x14:negativeFillColor rgb="FFFF0000"/>
              <x14:negativeBorderColor rgb="FFFF0000"/>
              <x14:axisColor rgb="FF000000"/>
            </x14:dataBar>
          </x14:cfRule>
          <xm:sqref>Y85:Y92</xm:sqref>
        </x14:conditionalFormatting>
        <x14:conditionalFormatting xmlns:xm="http://schemas.microsoft.com/office/excel/2006/main">
          <x14:cfRule type="dataBar" id="{C19FF388-FB9B-4F99-AFA5-D21B0D9BC2C4}">
            <x14:dataBar minLength="0" maxLength="100" border="1" negativeBarBorderColorSameAsPositive="0">
              <x14:cfvo type="autoMin"/>
              <x14:cfvo type="autoMax"/>
              <x14:borderColor rgb="FF63C384"/>
              <x14:negativeFillColor rgb="FFFF0000"/>
              <x14:negativeBorderColor rgb="FFFF0000"/>
              <x14:axisColor rgb="FF000000"/>
            </x14:dataBar>
          </x14:cfRule>
          <xm:sqref>Y97:Y113</xm:sqref>
        </x14:conditionalFormatting>
        <x14:conditionalFormatting xmlns:xm="http://schemas.microsoft.com/office/excel/2006/main">
          <x14:cfRule type="dataBar" id="{8BDACD76-EE64-45F2-8B07-D153EEE5EE3B}">
            <x14:dataBar minLength="0" maxLength="100" border="1" negativeBarBorderColorSameAsPositive="0">
              <x14:cfvo type="autoMin"/>
              <x14:cfvo type="autoMax"/>
              <x14:borderColor rgb="FF63C384"/>
              <x14:negativeFillColor rgb="FFFF0000"/>
              <x14:negativeBorderColor rgb="FFFF0000"/>
              <x14:axisColor rgb="FF000000"/>
            </x14:dataBar>
          </x14:cfRule>
          <xm:sqref>Y117:Y133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F375"/>
  <sheetViews>
    <sheetView showGridLines="0" zoomScaleNormal="100" workbookViewId="0">
      <pane ySplit="2" topLeftCell="A3" activePane="bottomLeft" state="frozen"/>
      <selection pane="bottomLeft"/>
    </sheetView>
  </sheetViews>
  <sheetFormatPr baseColWidth="10" defaultColWidth="14" defaultRowHeight="12.75" x14ac:dyDescent="0.25"/>
  <cols>
    <col min="1" max="1" width="44.85546875" style="147" customWidth="1"/>
    <col min="2" max="5" width="17" style="148" customWidth="1"/>
    <col min="6" max="6" width="14" style="147"/>
    <col min="7" max="16384" width="14" style="146"/>
  </cols>
  <sheetData>
    <row r="1" spans="1:6" ht="21" x14ac:dyDescent="0.25">
      <c r="A1" s="64" t="s">
        <v>503</v>
      </c>
      <c r="B1" s="145"/>
      <c r="C1" s="145"/>
      <c r="D1" s="145"/>
      <c r="E1" s="145"/>
      <c r="F1" s="146"/>
    </row>
    <row r="2" spans="1:6" ht="33.75" customHeight="1" x14ac:dyDescent="0.25">
      <c r="A2" s="146"/>
      <c r="B2" s="145"/>
      <c r="C2" s="145"/>
      <c r="D2" s="145"/>
      <c r="E2" s="145"/>
      <c r="F2" s="146"/>
    </row>
    <row r="3" spans="1:6" ht="15" customHeight="1" x14ac:dyDescent="0.25">
      <c r="A3" s="146"/>
      <c r="B3" s="145"/>
      <c r="C3" s="145"/>
      <c r="D3" s="145"/>
      <c r="E3" s="145"/>
      <c r="F3" s="146"/>
    </row>
    <row r="4" spans="1:6" ht="15.75" x14ac:dyDescent="0.25">
      <c r="A4" s="54" t="s">
        <v>504</v>
      </c>
      <c r="B4" s="212"/>
      <c r="C4" s="212"/>
      <c r="D4" s="212"/>
      <c r="E4" s="212"/>
      <c r="F4" s="146"/>
    </row>
    <row r="5" spans="1:6" ht="27" customHeight="1" x14ac:dyDescent="0.25">
      <c r="A5" s="127" t="s">
        <v>376</v>
      </c>
      <c r="B5" s="128" t="s">
        <v>2</v>
      </c>
      <c r="C5" s="128" t="s">
        <v>3</v>
      </c>
      <c r="D5" s="128" t="s">
        <v>4</v>
      </c>
      <c r="E5" s="128" t="s">
        <v>55</v>
      </c>
      <c r="F5" s="146"/>
    </row>
    <row r="6" spans="1:6" ht="15" customHeight="1" x14ac:dyDescent="0.25">
      <c r="A6" s="214" t="s">
        <v>260</v>
      </c>
      <c r="B6" s="215">
        <v>89357</v>
      </c>
      <c r="C6" s="215">
        <v>207040</v>
      </c>
      <c r="D6" s="215">
        <v>408528</v>
      </c>
      <c r="E6" s="215">
        <v>704925</v>
      </c>
      <c r="F6" s="200"/>
    </row>
    <row r="7" spans="1:6" ht="15" customHeight="1" x14ac:dyDescent="0.25">
      <c r="A7" s="214" t="s">
        <v>261</v>
      </c>
      <c r="B7" s="215">
        <v>63081</v>
      </c>
      <c r="C7" s="215">
        <v>235882</v>
      </c>
      <c r="D7" s="215">
        <v>323436</v>
      </c>
      <c r="E7" s="215">
        <v>622399</v>
      </c>
      <c r="F7" s="200"/>
    </row>
    <row r="8" spans="1:6" ht="15" customHeight="1" x14ac:dyDescent="0.25">
      <c r="A8" s="84" t="s">
        <v>681</v>
      </c>
      <c r="B8" s="98">
        <v>1</v>
      </c>
      <c r="C8" s="98">
        <v>2</v>
      </c>
      <c r="D8" s="98">
        <v>17</v>
      </c>
      <c r="E8" s="138">
        <v>20</v>
      </c>
      <c r="F8" s="146"/>
    </row>
    <row r="9" spans="1:6" ht="15" customHeight="1" x14ac:dyDescent="0.25">
      <c r="A9" s="66" t="s">
        <v>255</v>
      </c>
      <c r="B9" s="8">
        <v>152439</v>
      </c>
      <c r="C9" s="8">
        <v>442924</v>
      </c>
      <c r="D9" s="8">
        <v>731981</v>
      </c>
      <c r="E9" s="8">
        <v>1327344</v>
      </c>
      <c r="F9" s="146"/>
    </row>
    <row r="10" spans="1:6" ht="15" customHeight="1" x14ac:dyDescent="0.25">
      <c r="A10" s="146"/>
      <c r="B10" s="145"/>
      <c r="C10" s="145"/>
      <c r="D10" s="145"/>
      <c r="E10" s="145"/>
      <c r="F10" s="146"/>
    </row>
    <row r="11" spans="1:6" ht="15" customHeight="1" x14ac:dyDescent="0.25">
      <c r="A11" s="54" t="s">
        <v>505</v>
      </c>
      <c r="B11" s="212"/>
      <c r="C11" s="212"/>
      <c r="D11" s="212"/>
      <c r="E11" s="212"/>
      <c r="F11" s="146"/>
    </row>
    <row r="12" spans="1:6" ht="27.75" x14ac:dyDescent="0.25">
      <c r="A12" s="127" t="s">
        <v>376</v>
      </c>
      <c r="B12" s="128" t="s">
        <v>2</v>
      </c>
      <c r="C12" s="128" t="s">
        <v>3</v>
      </c>
      <c r="D12" s="129" t="s">
        <v>4</v>
      </c>
      <c r="E12" s="131" t="s">
        <v>262</v>
      </c>
      <c r="F12" s="146"/>
    </row>
    <row r="13" spans="1:6" ht="15" customHeight="1" x14ac:dyDescent="0.25">
      <c r="A13" s="214" t="s">
        <v>326</v>
      </c>
      <c r="B13" s="184">
        <v>38838</v>
      </c>
      <c r="C13" s="184">
        <v>64036</v>
      </c>
      <c r="D13" s="184">
        <v>88892</v>
      </c>
      <c r="E13" s="184">
        <v>191766</v>
      </c>
      <c r="F13" s="200"/>
    </row>
    <row r="14" spans="1:6" ht="15" customHeight="1" x14ac:dyDescent="0.25">
      <c r="A14" s="214" t="s">
        <v>285</v>
      </c>
      <c r="B14" s="184">
        <v>30061</v>
      </c>
      <c r="C14" s="184">
        <v>70611</v>
      </c>
      <c r="D14" s="184">
        <v>70229</v>
      </c>
      <c r="E14" s="184">
        <v>170901</v>
      </c>
      <c r="F14" s="200"/>
    </row>
    <row r="15" spans="1:6" ht="15" customHeight="1" x14ac:dyDescent="0.25">
      <c r="A15" s="214" t="s">
        <v>682</v>
      </c>
      <c r="B15" s="184">
        <v>1</v>
      </c>
      <c r="C15" s="184">
        <v>0</v>
      </c>
      <c r="D15" s="184">
        <v>1</v>
      </c>
      <c r="E15" s="184">
        <v>2</v>
      </c>
      <c r="F15" s="146"/>
    </row>
    <row r="16" spans="1:6" ht="15" customHeight="1" x14ac:dyDescent="0.25">
      <c r="A16" s="213" t="s">
        <v>115</v>
      </c>
      <c r="B16" s="108">
        <v>68900</v>
      </c>
      <c r="C16" s="108">
        <v>134647</v>
      </c>
      <c r="D16" s="108">
        <v>159122</v>
      </c>
      <c r="E16" s="108">
        <v>362669</v>
      </c>
      <c r="F16" s="146"/>
    </row>
    <row r="17" spans="1:6" ht="15" customHeight="1" x14ac:dyDescent="0.25">
      <c r="A17" s="146"/>
      <c r="B17" s="145"/>
      <c r="C17" s="145"/>
      <c r="D17" s="145"/>
      <c r="E17" s="145"/>
      <c r="F17" s="146"/>
    </row>
    <row r="18" spans="1:6" ht="15" customHeight="1" x14ac:dyDescent="0.25">
      <c r="A18" s="22" t="s">
        <v>506</v>
      </c>
      <c r="B18" s="145"/>
      <c r="C18" s="145"/>
      <c r="D18" s="145"/>
      <c r="E18" s="146"/>
      <c r="F18" s="146"/>
    </row>
    <row r="19" spans="1:6" ht="25.5" x14ac:dyDescent="0.25">
      <c r="A19" s="127" t="s">
        <v>93</v>
      </c>
      <c r="B19" s="128" t="s">
        <v>2</v>
      </c>
      <c r="C19" s="128" t="s">
        <v>3</v>
      </c>
      <c r="D19" s="129" t="s">
        <v>4</v>
      </c>
      <c r="E19" s="128" t="s">
        <v>55</v>
      </c>
      <c r="F19" s="146"/>
    </row>
    <row r="20" spans="1:6" ht="15" customHeight="1" x14ac:dyDescent="0.25">
      <c r="A20" s="84" t="s">
        <v>36</v>
      </c>
      <c r="B20" s="95">
        <v>30451</v>
      </c>
      <c r="C20" s="95">
        <v>46837</v>
      </c>
      <c r="D20" s="95">
        <v>162985</v>
      </c>
      <c r="E20" s="95">
        <v>240273</v>
      </c>
      <c r="F20" s="145"/>
    </row>
    <row r="21" spans="1:6" ht="15" customHeight="1" x14ac:dyDescent="0.25">
      <c r="A21" s="84" t="s">
        <v>37</v>
      </c>
      <c r="B21" s="95">
        <v>57087</v>
      </c>
      <c r="C21" s="95">
        <v>161086</v>
      </c>
      <c r="D21" s="95">
        <v>403481</v>
      </c>
      <c r="E21" s="95">
        <v>621654</v>
      </c>
      <c r="F21" s="145"/>
    </row>
    <row r="22" spans="1:6" ht="15" customHeight="1" x14ac:dyDescent="0.25">
      <c r="A22" s="84" t="s">
        <v>38</v>
      </c>
      <c r="B22" s="95">
        <v>21271</v>
      </c>
      <c r="C22" s="95">
        <v>73057</v>
      </c>
      <c r="D22" s="95">
        <v>89648</v>
      </c>
      <c r="E22" s="95">
        <v>183976</v>
      </c>
      <c r="F22" s="145"/>
    </row>
    <row r="23" spans="1:6" ht="15" customHeight="1" x14ac:dyDescent="0.25">
      <c r="A23" s="84" t="s">
        <v>39</v>
      </c>
      <c r="B23" s="95">
        <v>14704</v>
      </c>
      <c r="C23" s="95">
        <v>56329</v>
      </c>
      <c r="D23" s="95">
        <v>31122</v>
      </c>
      <c r="E23" s="95">
        <v>102155</v>
      </c>
      <c r="F23" s="145"/>
    </row>
    <row r="24" spans="1:6" ht="15" customHeight="1" x14ac:dyDescent="0.25">
      <c r="A24" s="84" t="s">
        <v>40</v>
      </c>
      <c r="B24" s="95">
        <v>11267</v>
      </c>
      <c r="C24" s="95">
        <v>45132</v>
      </c>
      <c r="D24" s="95">
        <v>19892</v>
      </c>
      <c r="E24" s="95">
        <v>76291</v>
      </c>
      <c r="F24" s="145"/>
    </row>
    <row r="25" spans="1:6" ht="15" customHeight="1" x14ac:dyDescent="0.25">
      <c r="A25" s="84" t="s">
        <v>1</v>
      </c>
      <c r="B25" s="95">
        <v>17657</v>
      </c>
      <c r="C25" s="95">
        <v>60481</v>
      </c>
      <c r="D25" s="95">
        <v>24852</v>
      </c>
      <c r="E25" s="95">
        <v>102990</v>
      </c>
      <c r="F25" s="145"/>
    </row>
    <row r="26" spans="1:6" ht="15" customHeight="1" x14ac:dyDescent="0.25">
      <c r="A26" s="84" t="s">
        <v>66</v>
      </c>
      <c r="B26" s="95">
        <v>2</v>
      </c>
      <c r="C26" s="95">
        <v>2</v>
      </c>
      <c r="D26" s="95">
        <v>1</v>
      </c>
      <c r="E26" s="95">
        <v>5</v>
      </c>
      <c r="F26" s="145"/>
    </row>
    <row r="27" spans="1:6" ht="15" customHeight="1" x14ac:dyDescent="0.25">
      <c r="A27" s="66" t="s">
        <v>0</v>
      </c>
      <c r="B27" s="21">
        <v>152439</v>
      </c>
      <c r="C27" s="21">
        <v>442924</v>
      </c>
      <c r="D27" s="21">
        <v>731981</v>
      </c>
      <c r="E27" s="21">
        <v>1327344</v>
      </c>
      <c r="F27" s="145"/>
    </row>
    <row r="28" spans="1:6" ht="15" customHeight="1" x14ac:dyDescent="0.25">
      <c r="A28" s="127" t="s">
        <v>110</v>
      </c>
      <c r="B28" s="130">
        <v>26.743093868286572</v>
      </c>
      <c r="C28" s="130">
        <v>28.415138557127442</v>
      </c>
      <c r="D28" s="130">
        <v>23.239685510533075</v>
      </c>
      <c r="E28" s="130">
        <v>25.369036847406729</v>
      </c>
      <c r="F28" s="146"/>
    </row>
    <row r="29" spans="1:6" ht="15" customHeight="1" x14ac:dyDescent="0.25">
      <c r="A29" s="146"/>
      <c r="B29" s="146"/>
      <c r="C29" s="146"/>
      <c r="D29" s="146"/>
      <c r="E29" s="146"/>
      <c r="F29" s="146"/>
    </row>
    <row r="30" spans="1:6" ht="15" customHeight="1" x14ac:dyDescent="0.25">
      <c r="A30" s="22" t="s">
        <v>660</v>
      </c>
      <c r="B30" s="145"/>
      <c r="C30" s="145"/>
      <c r="D30" s="145"/>
      <c r="E30" s="145"/>
      <c r="F30" s="146"/>
    </row>
    <row r="31" spans="1:6" ht="25.5" x14ac:dyDescent="0.25">
      <c r="A31" s="127" t="s">
        <v>86</v>
      </c>
      <c r="B31" s="128" t="s">
        <v>2</v>
      </c>
      <c r="C31" s="128" t="s">
        <v>3</v>
      </c>
      <c r="D31" s="129" t="s">
        <v>4</v>
      </c>
      <c r="E31" s="128" t="s">
        <v>55</v>
      </c>
      <c r="F31" s="146"/>
    </row>
    <row r="32" spans="1:6" ht="15" customHeight="1" x14ac:dyDescent="0.25">
      <c r="A32" s="84" t="s">
        <v>82</v>
      </c>
      <c r="B32" s="95">
        <v>152439</v>
      </c>
      <c r="C32" s="95">
        <v>149784</v>
      </c>
      <c r="D32" s="95">
        <v>19963</v>
      </c>
      <c r="E32" s="95">
        <v>322186</v>
      </c>
      <c r="F32" s="146"/>
    </row>
    <row r="33" spans="1:6" ht="15" customHeight="1" x14ac:dyDescent="0.25">
      <c r="A33" s="84" t="s">
        <v>85</v>
      </c>
      <c r="B33" s="95">
        <v>0</v>
      </c>
      <c r="C33" s="95">
        <v>293140</v>
      </c>
      <c r="D33" s="95">
        <v>10687</v>
      </c>
      <c r="E33" s="95">
        <v>303827</v>
      </c>
      <c r="F33" s="146"/>
    </row>
    <row r="34" spans="1:6" ht="15" customHeight="1" x14ac:dyDescent="0.25">
      <c r="A34" s="84" t="s">
        <v>286</v>
      </c>
      <c r="B34" s="95">
        <v>0</v>
      </c>
      <c r="C34" s="95">
        <v>0</v>
      </c>
      <c r="D34" s="95">
        <v>17086</v>
      </c>
      <c r="E34" s="95">
        <v>17086</v>
      </c>
      <c r="F34" s="146"/>
    </row>
    <row r="35" spans="1:6" ht="15" customHeight="1" x14ac:dyDescent="0.25">
      <c r="A35" s="84" t="s">
        <v>83</v>
      </c>
      <c r="B35" s="95">
        <v>0</v>
      </c>
      <c r="C35" s="95">
        <v>0</v>
      </c>
      <c r="D35" s="95">
        <v>12860</v>
      </c>
      <c r="E35" s="95">
        <v>12860</v>
      </c>
      <c r="F35" s="146"/>
    </row>
    <row r="36" spans="1:6" ht="15" customHeight="1" x14ac:dyDescent="0.25">
      <c r="A36" s="84" t="s">
        <v>84</v>
      </c>
      <c r="B36" s="95">
        <v>0</v>
      </c>
      <c r="C36" s="95">
        <v>0</v>
      </c>
      <c r="D36" s="95">
        <v>671385</v>
      </c>
      <c r="E36" s="95">
        <v>671385</v>
      </c>
      <c r="F36" s="146"/>
    </row>
    <row r="37" spans="1:6" ht="15" customHeight="1" x14ac:dyDescent="0.25">
      <c r="A37" s="66" t="s">
        <v>0</v>
      </c>
      <c r="B37" s="21">
        <v>152439</v>
      </c>
      <c r="C37" s="21">
        <v>442924</v>
      </c>
      <c r="D37" s="21">
        <v>731981</v>
      </c>
      <c r="E37" s="21">
        <v>1327344</v>
      </c>
      <c r="F37" s="146"/>
    </row>
    <row r="38" spans="1:6" ht="15" customHeight="1" x14ac:dyDescent="0.25">
      <c r="A38" s="146"/>
      <c r="B38" s="145"/>
      <c r="C38" s="145"/>
      <c r="D38" s="145"/>
      <c r="E38" s="145"/>
      <c r="F38" s="146"/>
    </row>
    <row r="39" spans="1:6" ht="15" customHeight="1" x14ac:dyDescent="0.25">
      <c r="A39" s="22" t="s">
        <v>507</v>
      </c>
      <c r="B39" s="145"/>
      <c r="C39" s="145"/>
      <c r="D39" s="145"/>
      <c r="E39" s="145"/>
      <c r="F39" s="146"/>
    </row>
    <row r="40" spans="1:6" ht="25.5" x14ac:dyDescent="0.25">
      <c r="A40" s="127" t="s">
        <v>54</v>
      </c>
      <c r="B40" s="128" t="s">
        <v>2</v>
      </c>
      <c r="C40" s="128" t="s">
        <v>3</v>
      </c>
      <c r="D40" s="129" t="s">
        <v>4</v>
      </c>
      <c r="E40" s="128" t="s">
        <v>55</v>
      </c>
      <c r="F40" s="146"/>
    </row>
    <row r="41" spans="1:6" ht="15" customHeight="1" x14ac:dyDescent="0.25">
      <c r="A41" s="84" t="s">
        <v>45</v>
      </c>
      <c r="B41" s="121">
        <v>35709</v>
      </c>
      <c r="C41" s="121">
        <v>126422</v>
      </c>
      <c r="D41" s="121">
        <v>81156</v>
      </c>
      <c r="E41" s="121">
        <v>243287</v>
      </c>
      <c r="F41" s="146"/>
    </row>
    <row r="42" spans="1:6" ht="15" customHeight="1" x14ac:dyDescent="0.25">
      <c r="A42" s="84" t="s">
        <v>46</v>
      </c>
      <c r="B42" s="121">
        <v>6748</v>
      </c>
      <c r="C42" s="121">
        <v>6835</v>
      </c>
      <c r="D42" s="121">
        <v>30848</v>
      </c>
      <c r="E42" s="121">
        <v>44431</v>
      </c>
      <c r="F42" s="146"/>
    </row>
    <row r="43" spans="1:6" ht="15" customHeight="1" x14ac:dyDescent="0.25">
      <c r="A43" s="84" t="s">
        <v>47</v>
      </c>
      <c r="B43" s="121">
        <v>6576</v>
      </c>
      <c r="C43" s="121">
        <v>27040</v>
      </c>
      <c r="D43" s="121">
        <v>40466</v>
      </c>
      <c r="E43" s="121">
        <v>74082</v>
      </c>
      <c r="F43" s="146"/>
    </row>
    <row r="44" spans="1:6" ht="15" customHeight="1" x14ac:dyDescent="0.25">
      <c r="A44" s="84" t="s">
        <v>48</v>
      </c>
      <c r="B44" s="121">
        <v>417</v>
      </c>
      <c r="C44" s="121">
        <v>2283</v>
      </c>
      <c r="D44" s="121">
        <v>21867</v>
      </c>
      <c r="E44" s="121">
        <v>24567</v>
      </c>
      <c r="F44" s="146"/>
    </row>
    <row r="45" spans="1:6" ht="15" customHeight="1" x14ac:dyDescent="0.25">
      <c r="A45" s="84" t="s">
        <v>49</v>
      </c>
      <c r="B45" s="121">
        <v>7036</v>
      </c>
      <c r="C45" s="121">
        <v>38257</v>
      </c>
      <c r="D45" s="121">
        <v>100899</v>
      </c>
      <c r="E45" s="121">
        <v>146192</v>
      </c>
      <c r="F45" s="146"/>
    </row>
    <row r="46" spans="1:6" ht="15" customHeight="1" x14ac:dyDescent="0.25">
      <c r="A46" s="84" t="s">
        <v>7</v>
      </c>
      <c r="B46" s="121">
        <v>995</v>
      </c>
      <c r="C46" s="121">
        <v>1840</v>
      </c>
      <c r="D46" s="121">
        <v>49878</v>
      </c>
      <c r="E46" s="121">
        <v>52713</v>
      </c>
      <c r="F46" s="146"/>
    </row>
    <row r="47" spans="1:6" ht="15" customHeight="1" x14ac:dyDescent="0.25">
      <c r="A47" s="84" t="s">
        <v>50</v>
      </c>
      <c r="B47" s="121">
        <v>20627</v>
      </c>
      <c r="C47" s="121">
        <v>29963</v>
      </c>
      <c r="D47" s="121">
        <v>68447</v>
      </c>
      <c r="E47" s="121">
        <v>119037</v>
      </c>
      <c r="F47" s="146"/>
    </row>
    <row r="48" spans="1:6" ht="15" customHeight="1" x14ac:dyDescent="0.25">
      <c r="A48" s="84" t="s">
        <v>51</v>
      </c>
      <c r="B48" s="121">
        <v>142</v>
      </c>
      <c r="C48" s="121">
        <v>1141</v>
      </c>
      <c r="D48" s="121">
        <v>7334</v>
      </c>
      <c r="E48" s="121">
        <v>8617</v>
      </c>
      <c r="F48" s="146"/>
    </row>
    <row r="49" spans="1:6" ht="15" customHeight="1" x14ac:dyDescent="0.25">
      <c r="A49" s="84" t="s">
        <v>52</v>
      </c>
      <c r="B49" s="121">
        <v>33605</v>
      </c>
      <c r="C49" s="121">
        <v>33215</v>
      </c>
      <c r="D49" s="121">
        <v>177851</v>
      </c>
      <c r="E49" s="121">
        <v>244671</v>
      </c>
      <c r="F49" s="146"/>
    </row>
    <row r="50" spans="1:6" ht="15" customHeight="1" x14ac:dyDescent="0.25">
      <c r="A50" s="84" t="s">
        <v>53</v>
      </c>
      <c r="B50" s="121">
        <v>40584</v>
      </c>
      <c r="C50" s="121">
        <v>175928</v>
      </c>
      <c r="D50" s="121">
        <v>153235</v>
      </c>
      <c r="E50" s="121">
        <v>369747</v>
      </c>
      <c r="F50" s="146"/>
    </row>
    <row r="51" spans="1:6" ht="15" customHeight="1" x14ac:dyDescent="0.25">
      <c r="A51" s="66" t="s">
        <v>0</v>
      </c>
      <c r="B51" s="90">
        <v>152439</v>
      </c>
      <c r="C51" s="90">
        <v>442924</v>
      </c>
      <c r="D51" s="90">
        <v>731981</v>
      </c>
      <c r="E51" s="90">
        <v>1327344</v>
      </c>
      <c r="F51" s="146"/>
    </row>
    <row r="52" spans="1:6" ht="15" customHeight="1" x14ac:dyDescent="0.25">
      <c r="F52" s="146"/>
    </row>
    <row r="53" spans="1:6" ht="15" customHeight="1" x14ac:dyDescent="0.25">
      <c r="A53" s="22" t="s">
        <v>508</v>
      </c>
      <c r="B53" s="145"/>
      <c r="C53" s="145"/>
      <c r="E53" s="145"/>
      <c r="F53" s="146"/>
    </row>
    <row r="54" spans="1:6" ht="25.5" x14ac:dyDescent="0.25">
      <c r="A54" s="127" t="s">
        <v>54</v>
      </c>
      <c r="B54" s="128" t="s">
        <v>135</v>
      </c>
      <c r="C54" s="128" t="s">
        <v>136</v>
      </c>
      <c r="D54" s="128" t="s">
        <v>683</v>
      </c>
      <c r="E54" s="128" t="s">
        <v>55</v>
      </c>
      <c r="F54" s="146"/>
    </row>
    <row r="55" spans="1:6" ht="15" customHeight="1" x14ac:dyDescent="0.25">
      <c r="A55" s="84" t="s">
        <v>45</v>
      </c>
      <c r="B55" s="121">
        <v>133648</v>
      </c>
      <c r="C55" s="121">
        <v>109637</v>
      </c>
      <c r="D55" s="95">
        <v>2</v>
      </c>
      <c r="E55" s="121">
        <v>243287</v>
      </c>
      <c r="F55" s="146"/>
    </row>
    <row r="56" spans="1:6" ht="15" customHeight="1" x14ac:dyDescent="0.25">
      <c r="A56" s="84" t="s">
        <v>46</v>
      </c>
      <c r="B56" s="121">
        <v>28057</v>
      </c>
      <c r="C56" s="121">
        <v>16374</v>
      </c>
      <c r="D56" s="95">
        <v>0</v>
      </c>
      <c r="E56" s="121">
        <v>44431</v>
      </c>
      <c r="F56" s="146"/>
    </row>
    <row r="57" spans="1:6" ht="15" customHeight="1" x14ac:dyDescent="0.25">
      <c r="A57" s="84" t="s">
        <v>47</v>
      </c>
      <c r="B57" s="121">
        <v>46833</v>
      </c>
      <c r="C57" s="121">
        <v>27242</v>
      </c>
      <c r="D57" s="95">
        <v>7</v>
      </c>
      <c r="E57" s="121">
        <v>74082</v>
      </c>
      <c r="F57" s="146"/>
    </row>
    <row r="58" spans="1:6" ht="15" customHeight="1" x14ac:dyDescent="0.25">
      <c r="A58" s="84" t="s">
        <v>48</v>
      </c>
      <c r="B58" s="121">
        <v>10553</v>
      </c>
      <c r="C58" s="121">
        <v>14014</v>
      </c>
      <c r="D58" s="95">
        <v>0</v>
      </c>
      <c r="E58" s="121">
        <v>24567</v>
      </c>
      <c r="F58" s="146"/>
    </row>
    <row r="59" spans="1:6" ht="15" customHeight="1" x14ac:dyDescent="0.25">
      <c r="A59" s="84" t="s">
        <v>49</v>
      </c>
      <c r="B59" s="121">
        <v>103257</v>
      </c>
      <c r="C59" s="121">
        <v>42930</v>
      </c>
      <c r="D59" s="95">
        <v>5</v>
      </c>
      <c r="E59" s="121">
        <v>146192</v>
      </c>
      <c r="F59" s="146"/>
    </row>
    <row r="60" spans="1:6" ht="15" customHeight="1" x14ac:dyDescent="0.25">
      <c r="A60" s="84" t="s">
        <v>7</v>
      </c>
      <c r="B60" s="121">
        <v>30458</v>
      </c>
      <c r="C60" s="121">
        <v>22255</v>
      </c>
      <c r="D60" s="95">
        <v>0</v>
      </c>
      <c r="E60" s="121">
        <v>52713</v>
      </c>
      <c r="F60" s="146"/>
    </row>
    <row r="61" spans="1:6" ht="15" customHeight="1" x14ac:dyDescent="0.25">
      <c r="A61" s="84" t="s">
        <v>50</v>
      </c>
      <c r="B61" s="121">
        <v>89546</v>
      </c>
      <c r="C61" s="121">
        <v>29489</v>
      </c>
      <c r="D61" s="95">
        <v>2</v>
      </c>
      <c r="E61" s="121">
        <v>119037</v>
      </c>
      <c r="F61" s="146"/>
    </row>
    <row r="62" spans="1:6" ht="15" customHeight="1" x14ac:dyDescent="0.25">
      <c r="A62" s="84" t="s">
        <v>51</v>
      </c>
      <c r="B62" s="121">
        <v>5658</v>
      </c>
      <c r="C62" s="121">
        <v>2959</v>
      </c>
      <c r="D62" s="95">
        <v>0</v>
      </c>
      <c r="E62" s="121">
        <v>8617</v>
      </c>
      <c r="F62" s="146"/>
    </row>
    <row r="63" spans="1:6" ht="15" customHeight="1" x14ac:dyDescent="0.25">
      <c r="A63" s="84" t="s">
        <v>52</v>
      </c>
      <c r="B63" s="121">
        <v>182331</v>
      </c>
      <c r="C63" s="121">
        <v>62338</v>
      </c>
      <c r="D63" s="95">
        <v>2</v>
      </c>
      <c r="E63" s="121">
        <v>244671</v>
      </c>
      <c r="F63" s="146"/>
    </row>
    <row r="64" spans="1:6" ht="15" customHeight="1" x14ac:dyDescent="0.25">
      <c r="A64" s="84" t="s">
        <v>53</v>
      </c>
      <c r="B64" s="121">
        <v>74584</v>
      </c>
      <c r="C64" s="121">
        <v>295161</v>
      </c>
      <c r="D64" s="95">
        <v>2</v>
      </c>
      <c r="E64" s="121">
        <v>369747</v>
      </c>
      <c r="F64" s="146"/>
    </row>
    <row r="65" spans="1:6" ht="15" customHeight="1" x14ac:dyDescent="0.25">
      <c r="A65" s="66" t="s">
        <v>0</v>
      </c>
      <c r="B65" s="90">
        <v>704925</v>
      </c>
      <c r="C65" s="90">
        <v>622399</v>
      </c>
      <c r="D65" s="21">
        <v>20</v>
      </c>
      <c r="E65" s="90">
        <v>1327344</v>
      </c>
      <c r="F65" s="146"/>
    </row>
    <row r="66" spans="1:6" ht="15" customHeight="1" x14ac:dyDescent="0.25">
      <c r="A66" s="146"/>
      <c r="B66" s="145"/>
      <c r="C66" s="145"/>
      <c r="D66" s="145"/>
      <c r="E66" s="145"/>
      <c r="F66" s="146"/>
    </row>
    <row r="67" spans="1:6" ht="15" customHeight="1" x14ac:dyDescent="0.25">
      <c r="A67" s="22" t="s">
        <v>561</v>
      </c>
      <c r="B67" s="145"/>
      <c r="C67" s="145"/>
      <c r="D67" s="145"/>
      <c r="E67" s="145"/>
      <c r="F67" s="146"/>
    </row>
    <row r="68" spans="1:6" ht="30" customHeight="1" x14ac:dyDescent="0.25">
      <c r="A68" s="127" t="s">
        <v>54</v>
      </c>
      <c r="B68" s="128" t="s">
        <v>2</v>
      </c>
      <c r="C68" s="128" t="s">
        <v>3</v>
      </c>
      <c r="D68" s="129" t="s">
        <v>4</v>
      </c>
      <c r="E68" s="128" t="s">
        <v>55</v>
      </c>
      <c r="F68" s="146"/>
    </row>
    <row r="69" spans="1:6" ht="15" customHeight="1" x14ac:dyDescent="0.25">
      <c r="A69" s="84" t="s">
        <v>552</v>
      </c>
      <c r="B69" s="121">
        <v>26768</v>
      </c>
      <c r="C69" s="121">
        <v>120324</v>
      </c>
      <c r="D69" s="121">
        <v>140451</v>
      </c>
      <c r="E69" s="121">
        <v>287543</v>
      </c>
      <c r="F69" s="146"/>
    </row>
    <row r="70" spans="1:6" ht="15" customHeight="1" x14ac:dyDescent="0.25">
      <c r="A70" s="84" t="s">
        <v>553</v>
      </c>
      <c r="B70" s="121">
        <v>6714</v>
      </c>
      <c r="C70" s="121">
        <v>6835</v>
      </c>
      <c r="D70" s="121">
        <v>30786</v>
      </c>
      <c r="E70" s="121">
        <v>44335</v>
      </c>
      <c r="F70" s="146"/>
    </row>
    <row r="71" spans="1:6" ht="15" customHeight="1" x14ac:dyDescent="0.25">
      <c r="A71" s="84" t="s">
        <v>554</v>
      </c>
      <c r="B71" s="121">
        <v>2663</v>
      </c>
      <c r="C71" s="121">
        <v>21923</v>
      </c>
      <c r="D71" s="121">
        <v>31680</v>
      </c>
      <c r="E71" s="121">
        <v>56266</v>
      </c>
      <c r="F71" s="146"/>
    </row>
    <row r="72" spans="1:6" ht="15" customHeight="1" x14ac:dyDescent="0.25">
      <c r="A72" s="84" t="s">
        <v>555</v>
      </c>
      <c r="B72" s="121">
        <v>781</v>
      </c>
      <c r="C72" s="121">
        <v>2862</v>
      </c>
      <c r="D72" s="121">
        <v>24630</v>
      </c>
      <c r="E72" s="121">
        <v>28273</v>
      </c>
      <c r="F72" s="146"/>
    </row>
    <row r="73" spans="1:6" ht="15" customHeight="1" x14ac:dyDescent="0.25">
      <c r="A73" s="84" t="s">
        <v>556</v>
      </c>
      <c r="B73" s="121">
        <v>279</v>
      </c>
      <c r="C73" s="121">
        <v>74</v>
      </c>
      <c r="D73" s="121">
        <v>74564</v>
      </c>
      <c r="E73" s="121">
        <v>74917</v>
      </c>
      <c r="F73" s="146"/>
    </row>
    <row r="74" spans="1:6" ht="15" customHeight="1" x14ac:dyDescent="0.25">
      <c r="A74" s="84" t="s">
        <v>50</v>
      </c>
      <c r="B74" s="121">
        <v>15616</v>
      </c>
      <c r="C74" s="121">
        <v>25306</v>
      </c>
      <c r="D74" s="121">
        <v>65526</v>
      </c>
      <c r="E74" s="121">
        <v>106448</v>
      </c>
      <c r="F74" s="146"/>
    </row>
    <row r="75" spans="1:6" ht="15" customHeight="1" x14ac:dyDescent="0.25">
      <c r="A75" s="84" t="s">
        <v>557</v>
      </c>
      <c r="B75" s="121">
        <v>31850</v>
      </c>
      <c r="C75" s="121">
        <v>118746</v>
      </c>
      <c r="D75" s="121">
        <v>137221</v>
      </c>
      <c r="E75" s="121">
        <v>287817</v>
      </c>
      <c r="F75" s="146"/>
    </row>
    <row r="76" spans="1:6" ht="15" customHeight="1" x14ac:dyDescent="0.25">
      <c r="A76" s="84" t="s">
        <v>558</v>
      </c>
      <c r="B76" s="121">
        <v>37887</v>
      </c>
      <c r="C76" s="121">
        <v>59137</v>
      </c>
      <c r="D76" s="121">
        <v>190555</v>
      </c>
      <c r="E76" s="121">
        <v>287579</v>
      </c>
      <c r="F76" s="146"/>
    </row>
    <row r="77" spans="1:6" ht="15" customHeight="1" x14ac:dyDescent="0.25">
      <c r="A77" s="84" t="s">
        <v>559</v>
      </c>
      <c r="B77" s="121">
        <v>23776</v>
      </c>
      <c r="C77" s="121">
        <v>44204</v>
      </c>
      <c r="D77" s="121">
        <v>8029</v>
      </c>
      <c r="E77" s="121">
        <v>76009</v>
      </c>
      <c r="F77" s="146"/>
    </row>
    <row r="78" spans="1:6" ht="15" customHeight="1" x14ac:dyDescent="0.25">
      <c r="A78" s="84" t="s">
        <v>560</v>
      </c>
      <c r="B78" s="121">
        <v>6105</v>
      </c>
      <c r="C78" s="121">
        <v>43513</v>
      </c>
      <c r="D78" s="121">
        <v>28539</v>
      </c>
      <c r="E78" s="121">
        <v>78157</v>
      </c>
      <c r="F78" s="146"/>
    </row>
    <row r="79" spans="1:6" ht="15" customHeight="1" x14ac:dyDescent="0.25">
      <c r="A79" s="66" t="s">
        <v>0</v>
      </c>
      <c r="B79" s="90">
        <v>152439</v>
      </c>
      <c r="C79" s="90">
        <v>442924</v>
      </c>
      <c r="D79" s="90">
        <v>731981</v>
      </c>
      <c r="E79" s="90">
        <v>1327344</v>
      </c>
      <c r="F79" s="146"/>
    </row>
    <row r="80" spans="1:6" ht="15" customHeight="1" x14ac:dyDescent="0.25">
      <c r="F80" s="146"/>
    </row>
    <row r="81" spans="1:6" ht="15" customHeight="1" x14ac:dyDescent="0.25">
      <c r="A81" s="22" t="s">
        <v>562</v>
      </c>
      <c r="B81" s="145"/>
      <c r="C81" s="145"/>
      <c r="E81" s="145"/>
      <c r="F81" s="146"/>
    </row>
    <row r="82" spans="1:6" ht="30" customHeight="1" x14ac:dyDescent="0.25">
      <c r="A82" s="127" t="s">
        <v>54</v>
      </c>
      <c r="B82" s="128" t="s">
        <v>135</v>
      </c>
      <c r="C82" s="128" t="s">
        <v>136</v>
      </c>
      <c r="D82" s="128" t="s">
        <v>683</v>
      </c>
      <c r="E82" s="128" t="s">
        <v>55</v>
      </c>
      <c r="F82" s="146"/>
    </row>
    <row r="83" spans="1:6" ht="15" customHeight="1" x14ac:dyDescent="0.25">
      <c r="A83" s="84" t="s">
        <v>552</v>
      </c>
      <c r="B83" s="121">
        <v>162012</v>
      </c>
      <c r="C83" s="121">
        <v>125528</v>
      </c>
      <c r="D83" s="95">
        <v>3</v>
      </c>
      <c r="E83" s="121">
        <v>287543</v>
      </c>
      <c r="F83" s="146"/>
    </row>
    <row r="84" spans="1:6" ht="15" customHeight="1" x14ac:dyDescent="0.25">
      <c r="A84" s="84" t="s">
        <v>553</v>
      </c>
      <c r="B84" s="121">
        <v>28005</v>
      </c>
      <c r="C84" s="121">
        <v>16330</v>
      </c>
      <c r="D84" s="95">
        <v>0</v>
      </c>
      <c r="E84" s="121">
        <v>44335</v>
      </c>
      <c r="F84" s="146"/>
    </row>
    <row r="85" spans="1:6" ht="15" customHeight="1" x14ac:dyDescent="0.25">
      <c r="A85" s="84" t="s">
        <v>554</v>
      </c>
      <c r="B85" s="121">
        <v>32994</v>
      </c>
      <c r="C85" s="121">
        <v>23266</v>
      </c>
      <c r="D85" s="95">
        <v>6</v>
      </c>
      <c r="E85" s="121">
        <v>56266</v>
      </c>
      <c r="F85" s="146"/>
    </row>
    <row r="86" spans="1:6" ht="15" customHeight="1" x14ac:dyDescent="0.25">
      <c r="A86" s="84" t="s">
        <v>555</v>
      </c>
      <c r="B86" s="121">
        <v>12381</v>
      </c>
      <c r="C86" s="121">
        <v>15891</v>
      </c>
      <c r="D86" s="95">
        <v>1</v>
      </c>
      <c r="E86" s="121">
        <v>28273</v>
      </c>
      <c r="F86" s="146"/>
    </row>
    <row r="87" spans="1:6" ht="15" customHeight="1" x14ac:dyDescent="0.25">
      <c r="A87" s="84" t="s">
        <v>556</v>
      </c>
      <c r="B87" s="121">
        <v>50396</v>
      </c>
      <c r="C87" s="121">
        <v>24518</v>
      </c>
      <c r="D87" s="95">
        <v>3</v>
      </c>
      <c r="E87" s="121">
        <v>74917</v>
      </c>
      <c r="F87" s="146"/>
    </row>
    <row r="88" spans="1:6" ht="15" customHeight="1" x14ac:dyDescent="0.25">
      <c r="A88" s="84" t="s">
        <v>50</v>
      </c>
      <c r="B88" s="121">
        <v>86837</v>
      </c>
      <c r="C88" s="121">
        <v>19609</v>
      </c>
      <c r="D88" s="95">
        <v>2</v>
      </c>
      <c r="E88" s="121">
        <v>106448</v>
      </c>
      <c r="F88" s="146"/>
    </row>
    <row r="89" spans="1:6" ht="15" customHeight="1" x14ac:dyDescent="0.25">
      <c r="A89" s="84" t="s">
        <v>557</v>
      </c>
      <c r="B89" s="121">
        <v>62494</v>
      </c>
      <c r="C89" s="121">
        <v>225322</v>
      </c>
      <c r="D89" s="95">
        <v>1</v>
      </c>
      <c r="E89" s="121">
        <v>287817</v>
      </c>
      <c r="F89" s="146"/>
    </row>
    <row r="90" spans="1:6" ht="15" customHeight="1" x14ac:dyDescent="0.25">
      <c r="A90" s="84" t="s">
        <v>558</v>
      </c>
      <c r="B90" s="121">
        <v>218023</v>
      </c>
      <c r="C90" s="121">
        <v>69553</v>
      </c>
      <c r="D90" s="95">
        <v>3</v>
      </c>
      <c r="E90" s="121">
        <v>287579</v>
      </c>
      <c r="F90" s="146"/>
    </row>
    <row r="91" spans="1:6" ht="15" customHeight="1" x14ac:dyDescent="0.25">
      <c r="A91" s="84" t="s">
        <v>559</v>
      </c>
      <c r="B91" s="121">
        <v>40543</v>
      </c>
      <c r="C91" s="121">
        <v>35466</v>
      </c>
      <c r="D91" s="95">
        <v>0</v>
      </c>
      <c r="E91" s="121">
        <v>76009</v>
      </c>
      <c r="F91" s="146"/>
    </row>
    <row r="92" spans="1:6" ht="15" customHeight="1" x14ac:dyDescent="0.25">
      <c r="A92" s="84" t="s">
        <v>560</v>
      </c>
      <c r="B92" s="121">
        <v>11240</v>
      </c>
      <c r="C92" s="121">
        <v>66916</v>
      </c>
      <c r="D92" s="95">
        <v>1</v>
      </c>
      <c r="E92" s="121">
        <v>78157</v>
      </c>
      <c r="F92" s="146"/>
    </row>
    <row r="93" spans="1:6" ht="15" customHeight="1" x14ac:dyDescent="0.25">
      <c r="A93" s="66" t="s">
        <v>0</v>
      </c>
      <c r="B93" s="90">
        <v>704925</v>
      </c>
      <c r="C93" s="90">
        <v>622399</v>
      </c>
      <c r="D93" s="21">
        <v>20</v>
      </c>
      <c r="E93" s="90">
        <v>1327344</v>
      </c>
      <c r="F93" s="146"/>
    </row>
    <row r="94" spans="1:6" s="85" customFormat="1" ht="15" customHeight="1" x14ac:dyDescent="0.25">
      <c r="E94" s="51"/>
    </row>
    <row r="95" spans="1:6" ht="15" customHeight="1" x14ac:dyDescent="0.25">
      <c r="A95" s="22" t="s">
        <v>509</v>
      </c>
      <c r="B95" s="145"/>
      <c r="C95" s="145"/>
      <c r="D95" s="145"/>
      <c r="E95" s="145"/>
      <c r="F95" s="146"/>
    </row>
    <row r="96" spans="1:6" ht="25.5" x14ac:dyDescent="0.25">
      <c r="A96" s="127" t="s">
        <v>56</v>
      </c>
      <c r="B96" s="128" t="s">
        <v>2</v>
      </c>
      <c r="C96" s="128" t="s">
        <v>3</v>
      </c>
      <c r="D96" s="128" t="s">
        <v>4</v>
      </c>
      <c r="E96" s="128" t="s">
        <v>55</v>
      </c>
      <c r="F96" s="146"/>
    </row>
    <row r="97" spans="1:6" ht="15" customHeight="1" x14ac:dyDescent="0.25">
      <c r="A97" s="84" t="s">
        <v>88</v>
      </c>
      <c r="B97" s="95">
        <v>91269</v>
      </c>
      <c r="C97" s="95">
        <v>183956</v>
      </c>
      <c r="D97" s="95">
        <v>639223</v>
      </c>
      <c r="E97" s="95">
        <v>914448</v>
      </c>
      <c r="F97" s="146"/>
    </row>
    <row r="98" spans="1:6" ht="15" customHeight="1" x14ac:dyDescent="0.25">
      <c r="A98" s="84" t="s">
        <v>89</v>
      </c>
      <c r="B98" s="95">
        <v>50526</v>
      </c>
      <c r="C98" s="95">
        <v>114722</v>
      </c>
      <c r="D98" s="95">
        <v>44824</v>
      </c>
      <c r="E98" s="95">
        <v>210072</v>
      </c>
      <c r="F98" s="146"/>
    </row>
    <row r="99" spans="1:6" ht="15" customHeight="1" x14ac:dyDescent="0.25">
      <c r="A99" s="84" t="s">
        <v>90</v>
      </c>
      <c r="B99" s="95">
        <v>711</v>
      </c>
      <c r="C99" s="95">
        <v>8450</v>
      </c>
      <c r="D99" s="95">
        <v>8390</v>
      </c>
      <c r="E99" s="95">
        <v>17551</v>
      </c>
      <c r="F99" s="146"/>
    </row>
    <row r="100" spans="1:6" ht="15" customHeight="1" x14ac:dyDescent="0.25">
      <c r="A100" s="84" t="s">
        <v>91</v>
      </c>
      <c r="B100" s="95">
        <v>9933</v>
      </c>
      <c r="C100" s="95">
        <v>135554</v>
      </c>
      <c r="D100" s="95">
        <v>38062</v>
      </c>
      <c r="E100" s="95">
        <v>183549</v>
      </c>
      <c r="F100" s="146"/>
    </row>
    <row r="101" spans="1:6" ht="15" customHeight="1" x14ac:dyDescent="0.25">
      <c r="A101" s="84" t="s">
        <v>92</v>
      </c>
      <c r="B101" s="95">
        <v>0</v>
      </c>
      <c r="C101" s="95">
        <v>242</v>
      </c>
      <c r="D101" s="95">
        <v>1482</v>
      </c>
      <c r="E101" s="95">
        <v>1724</v>
      </c>
      <c r="F101" s="146"/>
    </row>
    <row r="102" spans="1:6" ht="15" customHeight="1" x14ac:dyDescent="0.25">
      <c r="A102" s="66" t="s">
        <v>0</v>
      </c>
      <c r="B102" s="21">
        <v>152439</v>
      </c>
      <c r="C102" s="21">
        <v>442924</v>
      </c>
      <c r="D102" s="21">
        <v>731981</v>
      </c>
      <c r="E102" s="21">
        <v>1327344</v>
      </c>
      <c r="F102" s="146"/>
    </row>
    <row r="103" spans="1:6" ht="15" customHeight="1" x14ac:dyDescent="0.25">
      <c r="A103" s="146"/>
      <c r="B103" s="145"/>
      <c r="C103" s="145"/>
      <c r="D103" s="145"/>
      <c r="E103" s="145"/>
      <c r="F103" s="146"/>
    </row>
    <row r="104" spans="1:6" ht="15" customHeight="1" x14ac:dyDescent="0.25">
      <c r="A104" s="22" t="s">
        <v>510</v>
      </c>
      <c r="B104" s="145"/>
      <c r="C104" s="145"/>
      <c r="D104" s="145"/>
      <c r="E104" s="145"/>
      <c r="F104" s="146"/>
    </row>
    <row r="105" spans="1:6" ht="25.5" x14ac:dyDescent="0.25">
      <c r="A105" s="127" t="s">
        <v>44</v>
      </c>
      <c r="B105" s="128" t="s">
        <v>2</v>
      </c>
      <c r="C105" s="128" t="s">
        <v>3</v>
      </c>
      <c r="D105" s="128" t="s">
        <v>4</v>
      </c>
      <c r="E105" s="128" t="s">
        <v>55</v>
      </c>
      <c r="F105" s="146"/>
    </row>
    <row r="106" spans="1:6" ht="15" customHeight="1" x14ac:dyDescent="0.25">
      <c r="A106" s="84" t="s">
        <v>229</v>
      </c>
      <c r="B106" s="95">
        <v>4808</v>
      </c>
      <c r="C106" s="95">
        <v>2016</v>
      </c>
      <c r="D106" s="95">
        <v>10492</v>
      </c>
      <c r="E106" s="95">
        <v>17316</v>
      </c>
      <c r="F106" s="146"/>
    </row>
    <row r="107" spans="1:6" ht="15" customHeight="1" x14ac:dyDescent="0.25">
      <c r="A107" s="84" t="s">
        <v>230</v>
      </c>
      <c r="B107" s="95">
        <v>5016</v>
      </c>
      <c r="C107" s="95">
        <v>4915</v>
      </c>
      <c r="D107" s="95">
        <v>10285</v>
      </c>
      <c r="E107" s="95">
        <v>20216</v>
      </c>
      <c r="F107" s="146"/>
    </row>
    <row r="108" spans="1:6" ht="15" customHeight="1" x14ac:dyDescent="0.25">
      <c r="A108" s="84" t="s">
        <v>231</v>
      </c>
      <c r="B108" s="95">
        <v>6253</v>
      </c>
      <c r="C108" s="95">
        <v>13186</v>
      </c>
      <c r="D108" s="95">
        <v>17792</v>
      </c>
      <c r="E108" s="95">
        <v>37231</v>
      </c>
      <c r="F108" s="146"/>
    </row>
    <row r="109" spans="1:6" ht="15" customHeight="1" x14ac:dyDescent="0.25">
      <c r="A109" s="84" t="s">
        <v>232</v>
      </c>
      <c r="B109" s="95">
        <v>2508</v>
      </c>
      <c r="C109" s="95">
        <v>2239</v>
      </c>
      <c r="D109" s="95">
        <v>8080</v>
      </c>
      <c r="E109" s="95">
        <v>12827</v>
      </c>
      <c r="F109" s="146"/>
    </row>
    <row r="110" spans="1:6" ht="15" customHeight="1" x14ac:dyDescent="0.25">
      <c r="A110" s="84" t="s">
        <v>233</v>
      </c>
      <c r="B110" s="95">
        <v>11338</v>
      </c>
      <c r="C110" s="95">
        <v>12654</v>
      </c>
      <c r="D110" s="95">
        <v>22817</v>
      </c>
      <c r="E110" s="95">
        <v>46809</v>
      </c>
      <c r="F110" s="146"/>
    </row>
    <row r="111" spans="1:6" ht="15" customHeight="1" x14ac:dyDescent="0.25">
      <c r="A111" s="84" t="s">
        <v>234</v>
      </c>
      <c r="B111" s="95">
        <v>15491</v>
      </c>
      <c r="C111" s="95">
        <v>30524</v>
      </c>
      <c r="D111" s="95">
        <v>83160</v>
      </c>
      <c r="E111" s="95">
        <v>129175</v>
      </c>
      <c r="F111" s="146"/>
    </row>
    <row r="112" spans="1:6" ht="15" customHeight="1" x14ac:dyDescent="0.25">
      <c r="A112" s="84" t="s">
        <v>235</v>
      </c>
      <c r="B112" s="95">
        <v>44358</v>
      </c>
      <c r="C112" s="95">
        <v>281904</v>
      </c>
      <c r="D112" s="95">
        <v>351665</v>
      </c>
      <c r="E112" s="95">
        <v>677927</v>
      </c>
      <c r="F112" s="146"/>
    </row>
    <row r="113" spans="1:6" ht="15" customHeight="1" x14ac:dyDescent="0.25">
      <c r="A113" s="84" t="s">
        <v>325</v>
      </c>
      <c r="B113" s="95">
        <v>6643</v>
      </c>
      <c r="C113" s="95">
        <v>14814</v>
      </c>
      <c r="D113" s="95">
        <v>9709</v>
      </c>
      <c r="E113" s="95">
        <v>31166</v>
      </c>
      <c r="F113" s="146"/>
    </row>
    <row r="114" spans="1:6" ht="15" customHeight="1" x14ac:dyDescent="0.25">
      <c r="A114" s="84" t="s">
        <v>236</v>
      </c>
      <c r="B114" s="95">
        <v>15883</v>
      </c>
      <c r="C114" s="95">
        <v>10327</v>
      </c>
      <c r="D114" s="95">
        <v>35276</v>
      </c>
      <c r="E114" s="95">
        <v>61486</v>
      </c>
      <c r="F114" s="146"/>
    </row>
    <row r="115" spans="1:6" ht="15" customHeight="1" x14ac:dyDescent="0.25">
      <c r="A115" s="84" t="s">
        <v>293</v>
      </c>
      <c r="B115" s="95">
        <v>3993</v>
      </c>
      <c r="C115" s="95">
        <v>6731</v>
      </c>
      <c r="D115" s="95">
        <v>12273</v>
      </c>
      <c r="E115" s="95">
        <v>22997</v>
      </c>
      <c r="F115" s="146"/>
    </row>
    <row r="116" spans="1:6" ht="15" customHeight="1" x14ac:dyDescent="0.25">
      <c r="A116" s="84" t="s">
        <v>242</v>
      </c>
      <c r="B116" s="95">
        <v>12429</v>
      </c>
      <c r="C116" s="95">
        <v>32020</v>
      </c>
      <c r="D116" s="95">
        <v>82602</v>
      </c>
      <c r="E116" s="95">
        <v>127051</v>
      </c>
      <c r="F116" s="146"/>
    </row>
    <row r="117" spans="1:6" ht="15" customHeight="1" x14ac:dyDescent="0.25">
      <c r="A117" s="84" t="s">
        <v>237</v>
      </c>
      <c r="B117" s="95">
        <v>8091</v>
      </c>
      <c r="C117" s="95">
        <v>12356</v>
      </c>
      <c r="D117" s="95">
        <v>39209</v>
      </c>
      <c r="E117" s="95">
        <v>59656</v>
      </c>
      <c r="F117" s="146"/>
    </row>
    <row r="118" spans="1:6" ht="15" customHeight="1" x14ac:dyDescent="0.25">
      <c r="A118" s="84" t="s">
        <v>238</v>
      </c>
      <c r="B118" s="95">
        <v>4869</v>
      </c>
      <c r="C118" s="95">
        <v>3911</v>
      </c>
      <c r="D118" s="95">
        <v>19247</v>
      </c>
      <c r="E118" s="95">
        <v>28027</v>
      </c>
      <c r="F118" s="146"/>
    </row>
    <row r="119" spans="1:6" ht="15" customHeight="1" x14ac:dyDescent="0.25">
      <c r="A119" s="84" t="s">
        <v>239</v>
      </c>
      <c r="B119" s="95">
        <v>7270</v>
      </c>
      <c r="C119" s="95">
        <v>13741</v>
      </c>
      <c r="D119" s="95">
        <v>23960</v>
      </c>
      <c r="E119" s="95">
        <v>44971</v>
      </c>
      <c r="F119" s="146"/>
    </row>
    <row r="120" spans="1:6" ht="15" customHeight="1" x14ac:dyDescent="0.25">
      <c r="A120" s="84" t="s">
        <v>240</v>
      </c>
      <c r="B120" s="95">
        <v>1473</v>
      </c>
      <c r="C120" s="95">
        <v>301</v>
      </c>
      <c r="D120" s="95">
        <v>1025</v>
      </c>
      <c r="E120" s="95">
        <v>2799</v>
      </c>
      <c r="F120" s="146"/>
    </row>
    <row r="121" spans="1:6" ht="15" customHeight="1" x14ac:dyDescent="0.25">
      <c r="A121" s="84" t="s">
        <v>241</v>
      </c>
      <c r="B121" s="95">
        <v>2016</v>
      </c>
      <c r="C121" s="95">
        <v>1285</v>
      </c>
      <c r="D121" s="95">
        <v>4389</v>
      </c>
      <c r="E121" s="95">
        <v>7690</v>
      </c>
      <c r="F121" s="146"/>
    </row>
    <row r="122" spans="1:6" ht="15" customHeight="1" x14ac:dyDescent="0.25">
      <c r="A122" s="66" t="s">
        <v>0</v>
      </c>
      <c r="B122" s="21">
        <v>152439</v>
      </c>
      <c r="C122" s="21">
        <v>442924</v>
      </c>
      <c r="D122" s="21">
        <v>731981</v>
      </c>
      <c r="E122" s="21">
        <v>1327344</v>
      </c>
      <c r="F122" s="146"/>
    </row>
    <row r="123" spans="1:6" ht="15" customHeight="1" x14ac:dyDescent="0.25">
      <c r="A123" s="146"/>
      <c r="B123" s="145"/>
      <c r="C123" s="145"/>
      <c r="D123" s="145"/>
      <c r="E123" s="145"/>
      <c r="F123" s="146"/>
    </row>
    <row r="124" spans="1:6" ht="15" customHeight="1" x14ac:dyDescent="0.25">
      <c r="A124" s="22" t="s">
        <v>511</v>
      </c>
      <c r="B124" s="145"/>
      <c r="C124" s="145"/>
      <c r="D124" s="145"/>
      <c r="E124" s="145"/>
      <c r="F124" s="146"/>
    </row>
    <row r="125" spans="1:6" ht="30" customHeight="1" x14ac:dyDescent="0.25">
      <c r="A125" s="127" t="s">
        <v>44</v>
      </c>
      <c r="B125" s="128" t="s">
        <v>2</v>
      </c>
      <c r="C125" s="128" t="s">
        <v>3</v>
      </c>
      <c r="D125" s="128" t="s">
        <v>4</v>
      </c>
      <c r="E125" s="131" t="s">
        <v>262</v>
      </c>
      <c r="F125" s="146"/>
    </row>
    <row r="126" spans="1:6" ht="15" customHeight="1" x14ac:dyDescent="0.25">
      <c r="A126" s="84" t="s">
        <v>229</v>
      </c>
      <c r="B126" s="95">
        <v>2213</v>
      </c>
      <c r="C126" s="95">
        <v>466</v>
      </c>
      <c r="D126" s="95">
        <v>2212</v>
      </c>
      <c r="E126" s="95">
        <v>4891</v>
      </c>
      <c r="F126" s="146"/>
    </row>
    <row r="127" spans="1:6" ht="15" customHeight="1" x14ac:dyDescent="0.25">
      <c r="A127" s="84" t="s">
        <v>230</v>
      </c>
      <c r="B127" s="95">
        <v>2429</v>
      </c>
      <c r="C127" s="95">
        <v>1371</v>
      </c>
      <c r="D127" s="95">
        <v>2591</v>
      </c>
      <c r="E127" s="95">
        <v>6391</v>
      </c>
      <c r="F127" s="146"/>
    </row>
    <row r="128" spans="1:6" ht="15" customHeight="1" x14ac:dyDescent="0.25">
      <c r="A128" s="84" t="s">
        <v>231</v>
      </c>
      <c r="B128" s="95">
        <v>3053</v>
      </c>
      <c r="C128" s="95">
        <v>3968</v>
      </c>
      <c r="D128" s="95">
        <v>4046</v>
      </c>
      <c r="E128" s="95">
        <v>11067</v>
      </c>
      <c r="F128" s="146"/>
    </row>
    <row r="129" spans="1:6" ht="15" customHeight="1" x14ac:dyDescent="0.25">
      <c r="A129" s="84" t="s">
        <v>232</v>
      </c>
      <c r="B129" s="95">
        <v>1179</v>
      </c>
      <c r="C129" s="95">
        <v>632</v>
      </c>
      <c r="D129" s="95">
        <v>2137</v>
      </c>
      <c r="E129" s="95">
        <v>3948</v>
      </c>
      <c r="F129" s="146"/>
    </row>
    <row r="130" spans="1:6" ht="15" customHeight="1" x14ac:dyDescent="0.25">
      <c r="A130" s="84" t="s">
        <v>233</v>
      </c>
      <c r="B130" s="95">
        <v>5154</v>
      </c>
      <c r="C130" s="95">
        <v>3425</v>
      </c>
      <c r="D130" s="95">
        <v>5207</v>
      </c>
      <c r="E130" s="95">
        <v>13786</v>
      </c>
      <c r="F130" s="146"/>
    </row>
    <row r="131" spans="1:6" ht="15" customHeight="1" x14ac:dyDescent="0.25">
      <c r="A131" s="84" t="s">
        <v>234</v>
      </c>
      <c r="B131" s="95">
        <v>6794</v>
      </c>
      <c r="C131" s="95">
        <v>8989</v>
      </c>
      <c r="D131" s="95">
        <v>18268</v>
      </c>
      <c r="E131" s="95">
        <v>34051</v>
      </c>
      <c r="F131" s="146"/>
    </row>
    <row r="132" spans="1:6" ht="15" customHeight="1" x14ac:dyDescent="0.25">
      <c r="A132" s="84" t="s">
        <v>235</v>
      </c>
      <c r="B132" s="95">
        <v>19553</v>
      </c>
      <c r="C132" s="95">
        <v>89325</v>
      </c>
      <c r="D132" s="95">
        <v>72280</v>
      </c>
      <c r="E132" s="95">
        <v>181158</v>
      </c>
      <c r="F132" s="146"/>
    </row>
    <row r="133" spans="1:6" ht="15" customHeight="1" x14ac:dyDescent="0.25">
      <c r="A133" s="84" t="s">
        <v>325</v>
      </c>
      <c r="B133" s="95">
        <v>3357</v>
      </c>
      <c r="C133" s="95">
        <v>3851</v>
      </c>
      <c r="D133" s="95">
        <v>2645</v>
      </c>
      <c r="E133" s="95">
        <v>9853</v>
      </c>
      <c r="F133" s="146"/>
    </row>
    <row r="134" spans="1:6" ht="15" customHeight="1" x14ac:dyDescent="0.25">
      <c r="A134" s="84" t="s">
        <v>236</v>
      </c>
      <c r="B134" s="95">
        <v>6959</v>
      </c>
      <c r="C134" s="95">
        <v>2600</v>
      </c>
      <c r="D134" s="95">
        <v>7988</v>
      </c>
      <c r="E134" s="95">
        <v>17547</v>
      </c>
      <c r="F134" s="146"/>
    </row>
    <row r="135" spans="1:6" ht="15" customHeight="1" x14ac:dyDescent="0.25">
      <c r="A135" s="84" t="s">
        <v>293</v>
      </c>
      <c r="B135" s="95">
        <v>1817</v>
      </c>
      <c r="C135" s="95">
        <v>1820</v>
      </c>
      <c r="D135" s="95">
        <v>2982</v>
      </c>
      <c r="E135" s="95">
        <v>6619</v>
      </c>
      <c r="F135" s="146"/>
    </row>
    <row r="136" spans="1:6" ht="15" customHeight="1" x14ac:dyDescent="0.25">
      <c r="A136" s="84" t="s">
        <v>242</v>
      </c>
      <c r="B136" s="95">
        <v>5529</v>
      </c>
      <c r="C136" s="95">
        <v>9264</v>
      </c>
      <c r="D136" s="95">
        <v>18465</v>
      </c>
      <c r="E136" s="95">
        <v>33258</v>
      </c>
      <c r="F136" s="146"/>
    </row>
    <row r="137" spans="1:6" ht="15" customHeight="1" x14ac:dyDescent="0.25">
      <c r="A137" s="84" t="s">
        <v>237</v>
      </c>
      <c r="B137" s="95">
        <v>3491</v>
      </c>
      <c r="C137" s="95">
        <v>3610</v>
      </c>
      <c r="D137" s="95">
        <v>8766</v>
      </c>
      <c r="E137" s="95">
        <v>15867</v>
      </c>
      <c r="F137" s="146"/>
    </row>
    <row r="138" spans="1:6" ht="15" customHeight="1" x14ac:dyDescent="0.25">
      <c r="A138" s="84" t="s">
        <v>238</v>
      </c>
      <c r="B138" s="95">
        <v>2325</v>
      </c>
      <c r="C138" s="95">
        <v>888</v>
      </c>
      <c r="D138" s="95">
        <v>4121</v>
      </c>
      <c r="E138" s="95">
        <v>7334</v>
      </c>
      <c r="F138" s="146"/>
    </row>
    <row r="139" spans="1:6" ht="15" customHeight="1" x14ac:dyDescent="0.25">
      <c r="A139" s="84" t="s">
        <v>239</v>
      </c>
      <c r="B139" s="95">
        <v>3307</v>
      </c>
      <c r="C139" s="95">
        <v>4051</v>
      </c>
      <c r="D139" s="95">
        <v>5849</v>
      </c>
      <c r="E139" s="95">
        <v>13207</v>
      </c>
      <c r="F139" s="146"/>
    </row>
    <row r="140" spans="1:6" ht="15" customHeight="1" x14ac:dyDescent="0.25">
      <c r="A140" s="84" t="s">
        <v>240</v>
      </c>
      <c r="B140" s="95">
        <v>789</v>
      </c>
      <c r="C140" s="95">
        <v>87</v>
      </c>
      <c r="D140" s="95">
        <v>347</v>
      </c>
      <c r="E140" s="95">
        <v>1223</v>
      </c>
      <c r="F140" s="146"/>
    </row>
    <row r="141" spans="1:6" ht="15" customHeight="1" x14ac:dyDescent="0.25">
      <c r="A141" s="84" t="s">
        <v>241</v>
      </c>
      <c r="B141" s="95">
        <v>951</v>
      </c>
      <c r="C141" s="95">
        <v>300</v>
      </c>
      <c r="D141" s="95">
        <v>1218</v>
      </c>
      <c r="E141" s="95">
        <v>2469</v>
      </c>
      <c r="F141" s="146"/>
    </row>
    <row r="142" spans="1:6" ht="15" customHeight="1" x14ac:dyDescent="0.25">
      <c r="A142" s="66" t="s">
        <v>0</v>
      </c>
      <c r="B142" s="21">
        <v>68900</v>
      </c>
      <c r="C142" s="21">
        <v>134647</v>
      </c>
      <c r="D142" s="21">
        <v>159122</v>
      </c>
      <c r="E142" s="21">
        <v>362669</v>
      </c>
      <c r="F142" s="146"/>
    </row>
    <row r="143" spans="1:6" ht="15" customHeight="1" x14ac:dyDescent="0.25">
      <c r="A143" s="146"/>
      <c r="B143" s="145"/>
      <c r="C143" s="145"/>
      <c r="D143" s="145"/>
      <c r="E143" s="145"/>
      <c r="F143" s="146"/>
    </row>
    <row r="144" spans="1:6" ht="15" customHeight="1" x14ac:dyDescent="0.25">
      <c r="A144" s="22" t="s">
        <v>512</v>
      </c>
      <c r="B144" s="145"/>
      <c r="C144" s="145"/>
      <c r="D144" s="145"/>
      <c r="E144" s="145"/>
      <c r="F144" s="146"/>
    </row>
    <row r="145" spans="1:6" ht="30" customHeight="1" x14ac:dyDescent="0.25">
      <c r="A145" s="127" t="s">
        <v>44</v>
      </c>
      <c r="B145" s="128" t="s">
        <v>135</v>
      </c>
      <c r="C145" s="128" t="s">
        <v>136</v>
      </c>
      <c r="D145" s="128" t="s">
        <v>683</v>
      </c>
      <c r="E145" s="128" t="s">
        <v>55</v>
      </c>
      <c r="F145" s="146"/>
    </row>
    <row r="146" spans="1:6" ht="15" customHeight="1" x14ac:dyDescent="0.25">
      <c r="A146" s="84" t="s">
        <v>229</v>
      </c>
      <c r="B146" s="95">
        <v>9644</v>
      </c>
      <c r="C146" s="95">
        <v>7672</v>
      </c>
      <c r="D146" s="95">
        <v>0</v>
      </c>
      <c r="E146" s="95">
        <v>17316</v>
      </c>
      <c r="F146" s="146"/>
    </row>
    <row r="147" spans="1:6" ht="15" customHeight="1" x14ac:dyDescent="0.25">
      <c r="A147" s="84" t="s">
        <v>230</v>
      </c>
      <c r="B147" s="95">
        <v>11491</v>
      </c>
      <c r="C147" s="95">
        <v>8725</v>
      </c>
      <c r="D147" s="95">
        <v>0</v>
      </c>
      <c r="E147" s="95">
        <v>20216</v>
      </c>
      <c r="F147" s="146"/>
    </row>
    <row r="148" spans="1:6" ht="15" customHeight="1" x14ac:dyDescent="0.25">
      <c r="A148" s="84" t="s">
        <v>231</v>
      </c>
      <c r="B148" s="95">
        <v>19356</v>
      </c>
      <c r="C148" s="95">
        <v>17875</v>
      </c>
      <c r="D148" s="95">
        <v>0</v>
      </c>
      <c r="E148" s="95">
        <v>37231</v>
      </c>
      <c r="F148" s="146"/>
    </row>
    <row r="149" spans="1:6" ht="15" customHeight="1" x14ac:dyDescent="0.25">
      <c r="A149" s="84" t="s">
        <v>232</v>
      </c>
      <c r="B149" s="95">
        <v>6853</v>
      </c>
      <c r="C149" s="95">
        <v>5974</v>
      </c>
      <c r="D149" s="95">
        <v>0</v>
      </c>
      <c r="E149" s="95">
        <v>12827</v>
      </c>
      <c r="F149" s="146"/>
    </row>
    <row r="150" spans="1:6" ht="15" customHeight="1" x14ac:dyDescent="0.25">
      <c r="A150" s="84" t="s">
        <v>233</v>
      </c>
      <c r="B150" s="95">
        <v>25280</v>
      </c>
      <c r="C150" s="95">
        <v>21528</v>
      </c>
      <c r="D150" s="95">
        <v>1</v>
      </c>
      <c r="E150" s="95">
        <v>46809</v>
      </c>
      <c r="F150" s="146"/>
    </row>
    <row r="151" spans="1:6" ht="15" customHeight="1" x14ac:dyDescent="0.25">
      <c r="A151" s="84" t="s">
        <v>234</v>
      </c>
      <c r="B151" s="95">
        <v>70263</v>
      </c>
      <c r="C151" s="95">
        <v>58911</v>
      </c>
      <c r="D151" s="95">
        <v>1</v>
      </c>
      <c r="E151" s="95">
        <v>129175</v>
      </c>
      <c r="F151" s="146"/>
    </row>
    <row r="152" spans="1:6" ht="15" customHeight="1" x14ac:dyDescent="0.25">
      <c r="A152" s="84" t="s">
        <v>235</v>
      </c>
      <c r="B152" s="95">
        <v>350264</v>
      </c>
      <c r="C152" s="95">
        <v>327650</v>
      </c>
      <c r="D152" s="95">
        <v>13</v>
      </c>
      <c r="E152" s="95">
        <v>677927</v>
      </c>
      <c r="F152" s="146"/>
    </row>
    <row r="153" spans="1:6" ht="15" customHeight="1" x14ac:dyDescent="0.25">
      <c r="A153" s="84" t="s">
        <v>325</v>
      </c>
      <c r="B153" s="95">
        <v>16721</v>
      </c>
      <c r="C153" s="95">
        <v>14444</v>
      </c>
      <c r="D153" s="95">
        <v>1</v>
      </c>
      <c r="E153" s="95">
        <v>31166</v>
      </c>
      <c r="F153" s="146"/>
    </row>
    <row r="154" spans="1:6" ht="15" customHeight="1" x14ac:dyDescent="0.25">
      <c r="A154" s="84" t="s">
        <v>236</v>
      </c>
      <c r="B154" s="95">
        <v>34359</v>
      </c>
      <c r="C154" s="95">
        <v>27127</v>
      </c>
      <c r="D154" s="95">
        <v>0</v>
      </c>
      <c r="E154" s="95">
        <v>61486</v>
      </c>
      <c r="F154" s="146"/>
    </row>
    <row r="155" spans="1:6" ht="15" customHeight="1" x14ac:dyDescent="0.25">
      <c r="A155" s="84" t="s">
        <v>293</v>
      </c>
      <c r="B155" s="95">
        <v>12619</v>
      </c>
      <c r="C155" s="95">
        <v>10377</v>
      </c>
      <c r="D155" s="95">
        <v>1</v>
      </c>
      <c r="E155" s="95">
        <v>22997</v>
      </c>
      <c r="F155" s="146"/>
    </row>
    <row r="156" spans="1:6" ht="15" customHeight="1" x14ac:dyDescent="0.25">
      <c r="A156" s="84" t="s">
        <v>242</v>
      </c>
      <c r="B156" s="95">
        <v>67970</v>
      </c>
      <c r="C156" s="95">
        <v>59080</v>
      </c>
      <c r="D156" s="95">
        <v>1</v>
      </c>
      <c r="E156" s="95">
        <v>127051</v>
      </c>
      <c r="F156" s="146"/>
    </row>
    <row r="157" spans="1:6" ht="15" customHeight="1" x14ac:dyDescent="0.25">
      <c r="A157" s="84" t="s">
        <v>237</v>
      </c>
      <c r="B157" s="95">
        <v>33740</v>
      </c>
      <c r="C157" s="95">
        <v>25915</v>
      </c>
      <c r="D157" s="95">
        <v>1</v>
      </c>
      <c r="E157" s="95">
        <v>59656</v>
      </c>
      <c r="F157" s="146"/>
    </row>
    <row r="158" spans="1:6" ht="15" customHeight="1" x14ac:dyDescent="0.25">
      <c r="A158" s="84" t="s">
        <v>238</v>
      </c>
      <c r="B158" s="95">
        <v>15523</v>
      </c>
      <c r="C158" s="95">
        <v>12503</v>
      </c>
      <c r="D158" s="95">
        <v>1</v>
      </c>
      <c r="E158" s="95">
        <v>28027</v>
      </c>
      <c r="F158" s="146"/>
    </row>
    <row r="159" spans="1:6" ht="15" customHeight="1" x14ac:dyDescent="0.25">
      <c r="A159" s="84" t="s">
        <v>239</v>
      </c>
      <c r="B159" s="95">
        <v>25230</v>
      </c>
      <c r="C159" s="95">
        <v>19741</v>
      </c>
      <c r="D159" s="95">
        <v>0</v>
      </c>
      <c r="E159" s="95">
        <v>44971</v>
      </c>
      <c r="F159" s="146"/>
    </row>
    <row r="160" spans="1:6" ht="15" customHeight="1" x14ac:dyDescent="0.25">
      <c r="A160" s="84" t="s">
        <v>240</v>
      </c>
      <c r="B160" s="95">
        <v>1534</v>
      </c>
      <c r="C160" s="95">
        <v>1265</v>
      </c>
      <c r="D160" s="95">
        <v>0</v>
      </c>
      <c r="E160" s="95">
        <v>2799</v>
      </c>
      <c r="F160" s="146"/>
    </row>
    <row r="161" spans="1:6" ht="15" customHeight="1" x14ac:dyDescent="0.25">
      <c r="A161" s="84" t="s">
        <v>241</v>
      </c>
      <c r="B161" s="95">
        <v>4078</v>
      </c>
      <c r="C161" s="95">
        <v>3612</v>
      </c>
      <c r="D161" s="95">
        <v>0</v>
      </c>
      <c r="E161" s="95">
        <v>7690</v>
      </c>
      <c r="F161" s="146"/>
    </row>
    <row r="162" spans="1:6" s="85" customFormat="1" ht="15" customHeight="1" x14ac:dyDescent="0.25">
      <c r="A162" s="66" t="s">
        <v>0</v>
      </c>
      <c r="B162" s="21">
        <v>704925</v>
      </c>
      <c r="C162" s="21">
        <v>622399</v>
      </c>
      <c r="D162" s="21">
        <v>20</v>
      </c>
      <c r="E162" s="21">
        <v>1327344</v>
      </c>
      <c r="F162" s="146"/>
    </row>
    <row r="163" spans="1:6" ht="15" customHeight="1" x14ac:dyDescent="0.25">
      <c r="A163" s="146"/>
      <c r="B163" s="145"/>
      <c r="C163" s="145"/>
      <c r="D163" s="145"/>
      <c r="E163" s="145"/>
      <c r="F163" s="146"/>
    </row>
    <row r="164" spans="1:6" ht="15" customHeight="1" x14ac:dyDescent="0.25">
      <c r="A164" s="22" t="s">
        <v>513</v>
      </c>
      <c r="B164" s="145"/>
      <c r="C164" s="145"/>
      <c r="D164" s="145"/>
      <c r="E164" s="145"/>
      <c r="F164" s="146"/>
    </row>
    <row r="165" spans="1:6" ht="30" customHeight="1" x14ac:dyDescent="0.25">
      <c r="A165" s="127" t="s">
        <v>44</v>
      </c>
      <c r="B165" s="131" t="s">
        <v>287</v>
      </c>
      <c r="C165" s="131" t="s">
        <v>225</v>
      </c>
      <c r="D165" s="131" t="s">
        <v>684</v>
      </c>
      <c r="E165" s="131" t="s">
        <v>262</v>
      </c>
      <c r="F165" s="146"/>
    </row>
    <row r="166" spans="1:6" ht="15" customHeight="1" x14ac:dyDescent="0.25">
      <c r="A166" s="84" t="s">
        <v>229</v>
      </c>
      <c r="B166" s="95">
        <v>2639</v>
      </c>
      <c r="C166" s="95">
        <v>2252</v>
      </c>
      <c r="D166" s="95">
        <v>0</v>
      </c>
      <c r="E166" s="95">
        <v>4891</v>
      </c>
      <c r="F166" s="146"/>
    </row>
    <row r="167" spans="1:6" ht="15" customHeight="1" x14ac:dyDescent="0.25">
      <c r="A167" s="84" t="s">
        <v>230</v>
      </c>
      <c r="B167" s="95">
        <v>3551</v>
      </c>
      <c r="C167" s="95">
        <v>2840</v>
      </c>
      <c r="D167" s="95">
        <v>0</v>
      </c>
      <c r="E167" s="95">
        <v>6391</v>
      </c>
      <c r="F167" s="146"/>
    </row>
    <row r="168" spans="1:6" ht="15" customHeight="1" x14ac:dyDescent="0.25">
      <c r="A168" s="84" t="s">
        <v>231</v>
      </c>
      <c r="B168" s="95">
        <v>5659</v>
      </c>
      <c r="C168" s="95">
        <v>5408</v>
      </c>
      <c r="D168" s="95">
        <v>0</v>
      </c>
      <c r="E168" s="95">
        <v>11067</v>
      </c>
      <c r="F168" s="146"/>
    </row>
    <row r="169" spans="1:6" ht="15" customHeight="1" x14ac:dyDescent="0.25">
      <c r="A169" s="84" t="s">
        <v>232</v>
      </c>
      <c r="B169" s="95">
        <v>2110</v>
      </c>
      <c r="C169" s="95">
        <v>1838</v>
      </c>
      <c r="D169" s="95">
        <v>0</v>
      </c>
      <c r="E169" s="95">
        <v>3948</v>
      </c>
      <c r="F169" s="146"/>
    </row>
    <row r="170" spans="1:6" ht="15" customHeight="1" x14ac:dyDescent="0.25">
      <c r="A170" s="84" t="s">
        <v>233</v>
      </c>
      <c r="B170" s="95">
        <v>7290</v>
      </c>
      <c r="C170" s="95">
        <v>6496</v>
      </c>
      <c r="D170" s="95">
        <v>0</v>
      </c>
      <c r="E170" s="95">
        <v>13786</v>
      </c>
      <c r="F170" s="146"/>
    </row>
    <row r="171" spans="1:6" ht="15" customHeight="1" x14ac:dyDescent="0.25">
      <c r="A171" s="84" t="s">
        <v>234</v>
      </c>
      <c r="B171" s="95">
        <v>18382</v>
      </c>
      <c r="C171" s="95">
        <v>15669</v>
      </c>
      <c r="D171" s="95">
        <v>0</v>
      </c>
      <c r="E171" s="95">
        <v>34051</v>
      </c>
      <c r="F171" s="146"/>
    </row>
    <row r="172" spans="1:6" ht="15" customHeight="1" x14ac:dyDescent="0.25">
      <c r="A172" s="84" t="s">
        <v>235</v>
      </c>
      <c r="B172" s="95">
        <v>94266</v>
      </c>
      <c r="C172" s="95">
        <v>86891</v>
      </c>
      <c r="D172" s="95">
        <v>1</v>
      </c>
      <c r="E172" s="95">
        <v>181158</v>
      </c>
      <c r="F172" s="146"/>
    </row>
    <row r="173" spans="1:6" ht="15" customHeight="1" x14ac:dyDescent="0.25">
      <c r="A173" s="84" t="s">
        <v>325</v>
      </c>
      <c r="B173" s="95">
        <v>5305</v>
      </c>
      <c r="C173" s="95">
        <v>4548</v>
      </c>
      <c r="D173" s="95">
        <v>0</v>
      </c>
      <c r="E173" s="95">
        <v>9853</v>
      </c>
      <c r="F173" s="146"/>
    </row>
    <row r="174" spans="1:6" ht="15" customHeight="1" x14ac:dyDescent="0.25">
      <c r="A174" s="84" t="s">
        <v>236</v>
      </c>
      <c r="B174" s="95">
        <v>9646</v>
      </c>
      <c r="C174" s="95">
        <v>7901</v>
      </c>
      <c r="D174" s="95">
        <v>0</v>
      </c>
      <c r="E174" s="95">
        <v>17547</v>
      </c>
      <c r="F174" s="146"/>
    </row>
    <row r="175" spans="1:6" ht="15" customHeight="1" x14ac:dyDescent="0.25">
      <c r="A175" s="84" t="s">
        <v>293</v>
      </c>
      <c r="B175" s="95">
        <v>3599</v>
      </c>
      <c r="C175" s="95">
        <v>3019</v>
      </c>
      <c r="D175" s="95">
        <v>1</v>
      </c>
      <c r="E175" s="95">
        <v>6619</v>
      </c>
      <c r="F175" s="146"/>
    </row>
    <row r="176" spans="1:6" ht="15" customHeight="1" x14ac:dyDescent="0.25">
      <c r="A176" s="84" t="s">
        <v>242</v>
      </c>
      <c r="B176" s="95">
        <v>17366</v>
      </c>
      <c r="C176" s="95">
        <v>15892</v>
      </c>
      <c r="D176" s="95">
        <v>0</v>
      </c>
      <c r="E176" s="95">
        <v>33258</v>
      </c>
      <c r="F176" s="146"/>
    </row>
    <row r="177" spans="1:6" ht="15" customHeight="1" x14ac:dyDescent="0.25">
      <c r="A177" s="84" t="s">
        <v>237</v>
      </c>
      <c r="B177" s="95">
        <v>8768</v>
      </c>
      <c r="C177" s="95">
        <v>7099</v>
      </c>
      <c r="D177" s="95">
        <v>0</v>
      </c>
      <c r="E177" s="95">
        <v>15867</v>
      </c>
      <c r="F177" s="146"/>
    </row>
    <row r="178" spans="1:6" ht="15" customHeight="1" x14ac:dyDescent="0.25">
      <c r="A178" s="84" t="s">
        <v>238</v>
      </c>
      <c r="B178" s="95">
        <v>3980</v>
      </c>
      <c r="C178" s="95">
        <v>3354</v>
      </c>
      <c r="D178" s="95">
        <v>0</v>
      </c>
      <c r="E178" s="95">
        <v>7334</v>
      </c>
      <c r="F178" s="146"/>
    </row>
    <row r="179" spans="1:6" ht="15" customHeight="1" x14ac:dyDescent="0.25">
      <c r="A179" s="84" t="s">
        <v>239</v>
      </c>
      <c r="B179" s="95">
        <v>7240</v>
      </c>
      <c r="C179" s="95">
        <v>5967</v>
      </c>
      <c r="D179" s="95">
        <v>0</v>
      </c>
      <c r="E179" s="95">
        <v>13207</v>
      </c>
      <c r="F179" s="146"/>
    </row>
    <row r="180" spans="1:6" ht="15" customHeight="1" x14ac:dyDescent="0.25">
      <c r="A180" s="84" t="s">
        <v>240</v>
      </c>
      <c r="B180" s="95">
        <v>667</v>
      </c>
      <c r="C180" s="95">
        <v>556</v>
      </c>
      <c r="D180" s="95">
        <v>0</v>
      </c>
      <c r="E180" s="95">
        <v>1223</v>
      </c>
      <c r="F180" s="146"/>
    </row>
    <row r="181" spans="1:6" ht="15" customHeight="1" x14ac:dyDescent="0.25">
      <c r="A181" s="84" t="s">
        <v>241</v>
      </c>
      <c r="B181" s="95">
        <v>1298</v>
      </c>
      <c r="C181" s="95">
        <v>1171</v>
      </c>
      <c r="D181" s="95">
        <v>0</v>
      </c>
      <c r="E181" s="95">
        <v>2469</v>
      </c>
      <c r="F181" s="146"/>
    </row>
    <row r="182" spans="1:6" ht="15" customHeight="1" x14ac:dyDescent="0.25">
      <c r="A182" s="66" t="s">
        <v>0</v>
      </c>
      <c r="B182" s="21">
        <v>191766</v>
      </c>
      <c r="C182" s="21">
        <v>170901</v>
      </c>
      <c r="D182" s="21">
        <v>2</v>
      </c>
      <c r="E182" s="21">
        <v>362669</v>
      </c>
      <c r="F182" s="146"/>
    </row>
    <row r="183" spans="1:6" x14ac:dyDescent="0.25">
      <c r="A183" s="146"/>
      <c r="B183" s="145"/>
      <c r="C183" s="145"/>
      <c r="D183" s="145"/>
      <c r="E183" s="145"/>
      <c r="F183" s="146"/>
    </row>
    <row r="184" spans="1:6" ht="15" x14ac:dyDescent="0.25">
      <c r="A184" s="83" t="s">
        <v>254</v>
      </c>
      <c r="B184" s="145"/>
      <c r="C184" s="145"/>
      <c r="D184" s="145"/>
      <c r="E184" s="145"/>
      <c r="F184" s="146"/>
    </row>
    <row r="185" spans="1:6" ht="15" x14ac:dyDescent="0.25">
      <c r="A185" s="23" t="s">
        <v>243</v>
      </c>
      <c r="B185" s="145"/>
      <c r="C185" s="145"/>
      <c r="D185" s="145"/>
      <c r="E185" s="145"/>
      <c r="F185" s="146"/>
    </row>
    <row r="186" spans="1:6" ht="15" customHeight="1" x14ac:dyDescent="0.25">
      <c r="A186" s="145"/>
      <c r="B186" s="145"/>
      <c r="C186" s="145"/>
      <c r="D186" s="145"/>
      <c r="E186" s="145"/>
      <c r="F186" s="146"/>
    </row>
    <row r="187" spans="1:6" x14ac:dyDescent="0.25">
      <c r="A187" s="146"/>
      <c r="B187" s="145"/>
      <c r="C187" s="145"/>
      <c r="D187" s="145"/>
      <c r="E187" s="145"/>
      <c r="F187" s="146"/>
    </row>
    <row r="188" spans="1:6" x14ac:dyDescent="0.25">
      <c r="A188" s="146"/>
      <c r="B188" s="145"/>
      <c r="C188" s="145"/>
      <c r="D188" s="145"/>
      <c r="E188" s="145"/>
      <c r="F188" s="146"/>
    </row>
    <row r="189" spans="1:6" x14ac:dyDescent="0.25">
      <c r="A189" s="146"/>
      <c r="B189" s="145"/>
      <c r="C189" s="145"/>
      <c r="D189" s="145"/>
      <c r="E189" s="145"/>
      <c r="F189" s="146"/>
    </row>
    <row r="190" spans="1:6" x14ac:dyDescent="0.25">
      <c r="A190" s="146"/>
      <c r="B190" s="145"/>
      <c r="C190" s="145"/>
      <c r="D190" s="145"/>
      <c r="E190" s="145"/>
      <c r="F190" s="146"/>
    </row>
    <row r="191" spans="1:6" x14ac:dyDescent="0.25">
      <c r="A191" s="146"/>
      <c r="B191" s="145"/>
      <c r="C191" s="145"/>
      <c r="D191" s="145"/>
      <c r="E191" s="145"/>
      <c r="F191" s="146"/>
    </row>
    <row r="192" spans="1:6" x14ac:dyDescent="0.25">
      <c r="A192" s="146"/>
      <c r="B192" s="145"/>
      <c r="C192" s="145"/>
      <c r="D192" s="145"/>
      <c r="E192" s="145"/>
      <c r="F192" s="146"/>
    </row>
    <row r="193" spans="2:5" s="146" customFormat="1" x14ac:dyDescent="0.25">
      <c r="B193" s="145"/>
      <c r="C193" s="145"/>
      <c r="D193" s="145"/>
      <c r="E193" s="145"/>
    </row>
    <row r="194" spans="2:5" s="146" customFormat="1" x14ac:dyDescent="0.25">
      <c r="B194" s="145"/>
      <c r="C194" s="145"/>
      <c r="D194" s="145"/>
      <c r="E194" s="145"/>
    </row>
    <row r="195" spans="2:5" s="146" customFormat="1" x14ac:dyDescent="0.25">
      <c r="B195" s="145"/>
      <c r="C195" s="145"/>
      <c r="D195" s="145"/>
      <c r="E195" s="145"/>
    </row>
    <row r="196" spans="2:5" s="146" customFormat="1" x14ac:dyDescent="0.25">
      <c r="B196" s="145"/>
      <c r="C196" s="145"/>
      <c r="D196" s="145"/>
      <c r="E196" s="145"/>
    </row>
    <row r="197" spans="2:5" s="146" customFormat="1" x14ac:dyDescent="0.25">
      <c r="B197" s="145"/>
      <c r="C197" s="145"/>
      <c r="D197" s="145"/>
      <c r="E197" s="145"/>
    </row>
    <row r="198" spans="2:5" s="146" customFormat="1" x14ac:dyDescent="0.25">
      <c r="B198" s="145"/>
      <c r="C198" s="145"/>
      <c r="D198" s="145"/>
      <c r="E198" s="145"/>
    </row>
    <row r="199" spans="2:5" s="146" customFormat="1" x14ac:dyDescent="0.25">
      <c r="B199" s="145"/>
      <c r="C199" s="145"/>
      <c r="D199" s="145"/>
      <c r="E199" s="145"/>
    </row>
    <row r="200" spans="2:5" s="146" customFormat="1" x14ac:dyDescent="0.25">
      <c r="B200" s="145"/>
      <c r="C200" s="145"/>
      <c r="D200" s="145"/>
      <c r="E200" s="145"/>
    </row>
    <row r="201" spans="2:5" s="146" customFormat="1" x14ac:dyDescent="0.25">
      <c r="B201" s="145"/>
      <c r="C201" s="145"/>
      <c r="D201" s="145"/>
      <c r="E201" s="145"/>
    </row>
    <row r="202" spans="2:5" s="146" customFormat="1" x14ac:dyDescent="0.25">
      <c r="B202" s="145"/>
      <c r="C202" s="145"/>
      <c r="D202" s="145"/>
      <c r="E202" s="145"/>
    </row>
    <row r="203" spans="2:5" s="146" customFormat="1" x14ac:dyDescent="0.25">
      <c r="B203" s="145"/>
      <c r="C203" s="145"/>
      <c r="D203" s="145"/>
      <c r="E203" s="145"/>
    </row>
    <row r="204" spans="2:5" s="146" customFormat="1" x14ac:dyDescent="0.25">
      <c r="B204" s="145"/>
      <c r="C204" s="145"/>
      <c r="D204" s="145"/>
      <c r="E204" s="145"/>
    </row>
    <row r="205" spans="2:5" s="146" customFormat="1" x14ac:dyDescent="0.25">
      <c r="B205" s="145"/>
      <c r="C205" s="145"/>
      <c r="D205" s="145"/>
      <c r="E205" s="145"/>
    </row>
    <row r="206" spans="2:5" s="146" customFormat="1" x14ac:dyDescent="0.25">
      <c r="B206" s="145"/>
      <c r="C206" s="145"/>
      <c r="D206" s="145"/>
      <c r="E206" s="145"/>
    </row>
    <row r="207" spans="2:5" s="146" customFormat="1" x14ac:dyDescent="0.25">
      <c r="B207" s="145"/>
      <c r="C207" s="145"/>
      <c r="D207" s="145"/>
      <c r="E207" s="145"/>
    </row>
    <row r="208" spans="2:5" s="146" customFormat="1" x14ac:dyDescent="0.25">
      <c r="B208" s="145"/>
      <c r="C208" s="145"/>
      <c r="D208" s="145"/>
      <c r="E208" s="145"/>
    </row>
    <row r="209" spans="2:5" s="146" customFormat="1" x14ac:dyDescent="0.25">
      <c r="B209" s="145"/>
      <c r="C209" s="145"/>
      <c r="D209" s="145"/>
      <c r="E209" s="145"/>
    </row>
    <row r="210" spans="2:5" s="146" customFormat="1" x14ac:dyDescent="0.25">
      <c r="B210" s="145"/>
      <c r="C210" s="145"/>
      <c r="D210" s="145"/>
      <c r="E210" s="145"/>
    </row>
    <row r="211" spans="2:5" s="146" customFormat="1" x14ac:dyDescent="0.25">
      <c r="B211" s="145"/>
      <c r="C211" s="145"/>
      <c r="D211" s="145"/>
      <c r="E211" s="145"/>
    </row>
    <row r="212" spans="2:5" s="146" customFormat="1" x14ac:dyDescent="0.25">
      <c r="B212" s="145"/>
      <c r="C212" s="145"/>
      <c r="D212" s="145"/>
      <c r="E212" s="145"/>
    </row>
    <row r="213" spans="2:5" s="146" customFormat="1" x14ac:dyDescent="0.25">
      <c r="B213" s="145"/>
      <c r="C213" s="145"/>
      <c r="D213" s="145"/>
      <c r="E213" s="145"/>
    </row>
    <row r="214" spans="2:5" s="146" customFormat="1" x14ac:dyDescent="0.25">
      <c r="B214" s="145"/>
      <c r="C214" s="145"/>
      <c r="D214" s="145"/>
      <c r="E214" s="145"/>
    </row>
    <row r="215" spans="2:5" s="146" customFormat="1" x14ac:dyDescent="0.25">
      <c r="B215" s="145"/>
      <c r="C215" s="145"/>
      <c r="D215" s="145"/>
      <c r="E215" s="145"/>
    </row>
    <row r="216" spans="2:5" s="146" customFormat="1" x14ac:dyDescent="0.25">
      <c r="B216" s="145"/>
      <c r="C216" s="145"/>
      <c r="D216" s="145"/>
      <c r="E216" s="145"/>
    </row>
    <row r="217" spans="2:5" s="146" customFormat="1" x14ac:dyDescent="0.25">
      <c r="B217" s="145"/>
      <c r="C217" s="145"/>
      <c r="D217" s="145"/>
      <c r="E217" s="145"/>
    </row>
    <row r="218" spans="2:5" s="146" customFormat="1" x14ac:dyDescent="0.25">
      <c r="B218" s="145"/>
      <c r="C218" s="145"/>
      <c r="D218" s="145"/>
      <c r="E218" s="145"/>
    </row>
    <row r="219" spans="2:5" s="146" customFormat="1" x14ac:dyDescent="0.25">
      <c r="B219" s="145"/>
      <c r="C219" s="145"/>
      <c r="D219" s="145"/>
      <c r="E219" s="145"/>
    </row>
    <row r="220" spans="2:5" s="146" customFormat="1" x14ac:dyDescent="0.25">
      <c r="B220" s="145"/>
      <c r="C220" s="145"/>
      <c r="D220" s="145"/>
      <c r="E220" s="145"/>
    </row>
    <row r="221" spans="2:5" s="146" customFormat="1" x14ac:dyDescent="0.25">
      <c r="B221" s="145"/>
      <c r="C221" s="145"/>
      <c r="D221" s="145"/>
      <c r="E221" s="145"/>
    </row>
    <row r="222" spans="2:5" s="146" customFormat="1" x14ac:dyDescent="0.25">
      <c r="B222" s="145"/>
      <c r="C222" s="145"/>
      <c r="D222" s="145"/>
      <c r="E222" s="145"/>
    </row>
    <row r="223" spans="2:5" s="146" customFormat="1" x14ac:dyDescent="0.25">
      <c r="B223" s="145"/>
      <c r="C223" s="145"/>
      <c r="D223" s="145"/>
      <c r="E223" s="145"/>
    </row>
    <row r="224" spans="2:5" s="146" customFormat="1" x14ac:dyDescent="0.25">
      <c r="B224" s="145"/>
      <c r="C224" s="145"/>
      <c r="D224" s="145"/>
      <c r="E224" s="145"/>
    </row>
    <row r="225" spans="2:5" s="146" customFormat="1" x14ac:dyDescent="0.25">
      <c r="B225" s="145"/>
      <c r="C225" s="145"/>
      <c r="D225" s="145"/>
      <c r="E225" s="145"/>
    </row>
    <row r="226" spans="2:5" s="146" customFormat="1" x14ac:dyDescent="0.25">
      <c r="B226" s="145"/>
      <c r="C226" s="145"/>
      <c r="D226" s="145"/>
      <c r="E226" s="145"/>
    </row>
    <row r="227" spans="2:5" s="146" customFormat="1" x14ac:dyDescent="0.25">
      <c r="B227" s="145"/>
      <c r="C227" s="145"/>
      <c r="D227" s="145"/>
      <c r="E227" s="145"/>
    </row>
    <row r="228" spans="2:5" s="146" customFormat="1" x14ac:dyDescent="0.25">
      <c r="B228" s="145"/>
      <c r="C228" s="145"/>
      <c r="D228" s="145"/>
      <c r="E228" s="145"/>
    </row>
    <row r="229" spans="2:5" s="146" customFormat="1" x14ac:dyDescent="0.25">
      <c r="B229" s="145"/>
      <c r="C229" s="145"/>
      <c r="D229" s="145"/>
      <c r="E229" s="145"/>
    </row>
    <row r="230" spans="2:5" s="146" customFormat="1" x14ac:dyDescent="0.25">
      <c r="B230" s="145"/>
      <c r="C230" s="145"/>
      <c r="D230" s="145"/>
      <c r="E230" s="145"/>
    </row>
    <row r="231" spans="2:5" s="146" customFormat="1" x14ac:dyDescent="0.25">
      <c r="B231" s="145"/>
      <c r="C231" s="145"/>
      <c r="D231" s="145"/>
      <c r="E231" s="145"/>
    </row>
    <row r="232" spans="2:5" s="146" customFormat="1" x14ac:dyDescent="0.25">
      <c r="B232" s="145"/>
      <c r="C232" s="145"/>
      <c r="D232" s="145"/>
      <c r="E232" s="145"/>
    </row>
    <row r="233" spans="2:5" s="146" customFormat="1" x14ac:dyDescent="0.25">
      <c r="B233" s="145"/>
      <c r="C233" s="145"/>
      <c r="D233" s="145"/>
      <c r="E233" s="145"/>
    </row>
    <row r="234" spans="2:5" s="146" customFormat="1" x14ac:dyDescent="0.25">
      <c r="B234" s="145"/>
      <c r="C234" s="145"/>
      <c r="D234" s="145"/>
      <c r="E234" s="145"/>
    </row>
    <row r="235" spans="2:5" s="146" customFormat="1" x14ac:dyDescent="0.25">
      <c r="B235" s="145"/>
      <c r="C235" s="145"/>
      <c r="D235" s="145"/>
      <c r="E235" s="145"/>
    </row>
    <row r="236" spans="2:5" s="146" customFormat="1" x14ac:dyDescent="0.25">
      <c r="B236" s="145"/>
      <c r="C236" s="145"/>
      <c r="D236" s="145"/>
      <c r="E236" s="145"/>
    </row>
    <row r="237" spans="2:5" s="146" customFormat="1" x14ac:dyDescent="0.25">
      <c r="B237" s="145"/>
      <c r="C237" s="145"/>
      <c r="D237" s="145"/>
      <c r="E237" s="145"/>
    </row>
    <row r="238" spans="2:5" s="146" customFormat="1" x14ac:dyDescent="0.25">
      <c r="B238" s="145"/>
      <c r="C238" s="145"/>
      <c r="D238" s="145"/>
      <c r="E238" s="145"/>
    </row>
    <row r="239" spans="2:5" s="146" customFormat="1" x14ac:dyDescent="0.25">
      <c r="B239" s="145"/>
      <c r="C239" s="145"/>
      <c r="D239" s="145"/>
      <c r="E239" s="145"/>
    </row>
    <row r="240" spans="2:5" s="146" customFormat="1" x14ac:dyDescent="0.25">
      <c r="B240" s="145"/>
      <c r="C240" s="145"/>
      <c r="D240" s="145"/>
      <c r="E240" s="145"/>
    </row>
    <row r="241" spans="2:5" s="146" customFormat="1" x14ac:dyDescent="0.25">
      <c r="B241" s="145"/>
      <c r="C241" s="145"/>
      <c r="D241" s="145"/>
      <c r="E241" s="145"/>
    </row>
    <row r="242" spans="2:5" s="146" customFormat="1" x14ac:dyDescent="0.25">
      <c r="B242" s="145"/>
      <c r="C242" s="145"/>
      <c r="D242" s="145"/>
      <c r="E242" s="145"/>
    </row>
    <row r="243" spans="2:5" s="146" customFormat="1" x14ac:dyDescent="0.25">
      <c r="B243" s="145"/>
      <c r="C243" s="145"/>
      <c r="D243" s="145"/>
      <c r="E243" s="145"/>
    </row>
    <row r="244" spans="2:5" s="146" customFormat="1" x14ac:dyDescent="0.25">
      <c r="B244" s="145"/>
      <c r="C244" s="145"/>
      <c r="D244" s="145"/>
      <c r="E244" s="145"/>
    </row>
    <row r="245" spans="2:5" s="146" customFormat="1" x14ac:dyDescent="0.25">
      <c r="B245" s="145"/>
      <c r="C245" s="145"/>
      <c r="D245" s="145"/>
      <c r="E245" s="145"/>
    </row>
    <row r="246" spans="2:5" s="146" customFormat="1" x14ac:dyDescent="0.25">
      <c r="B246" s="145"/>
      <c r="C246" s="145"/>
      <c r="D246" s="145"/>
      <c r="E246" s="145"/>
    </row>
    <row r="247" spans="2:5" s="146" customFormat="1" x14ac:dyDescent="0.25">
      <c r="B247" s="145"/>
      <c r="C247" s="145"/>
      <c r="D247" s="145"/>
      <c r="E247" s="145"/>
    </row>
    <row r="248" spans="2:5" s="146" customFormat="1" x14ac:dyDescent="0.25">
      <c r="B248" s="145"/>
      <c r="C248" s="145"/>
      <c r="D248" s="145"/>
      <c r="E248" s="145"/>
    </row>
    <row r="249" spans="2:5" s="146" customFormat="1" x14ac:dyDescent="0.25">
      <c r="B249" s="145"/>
      <c r="C249" s="145"/>
      <c r="D249" s="145"/>
      <c r="E249" s="145"/>
    </row>
    <row r="250" spans="2:5" s="146" customFormat="1" x14ac:dyDescent="0.25">
      <c r="B250" s="145"/>
      <c r="C250" s="145"/>
      <c r="D250" s="145"/>
      <c r="E250" s="145"/>
    </row>
    <row r="251" spans="2:5" s="146" customFormat="1" x14ac:dyDescent="0.25">
      <c r="B251" s="145"/>
      <c r="C251" s="145"/>
      <c r="D251" s="145"/>
      <c r="E251" s="145"/>
    </row>
    <row r="252" spans="2:5" s="146" customFormat="1" x14ac:dyDescent="0.25">
      <c r="B252" s="145"/>
      <c r="C252" s="145"/>
      <c r="D252" s="145"/>
      <c r="E252" s="145"/>
    </row>
    <row r="253" spans="2:5" s="146" customFormat="1" x14ac:dyDescent="0.25">
      <c r="B253" s="145"/>
      <c r="C253" s="145"/>
      <c r="D253" s="145"/>
      <c r="E253" s="145"/>
    </row>
    <row r="254" spans="2:5" s="146" customFormat="1" x14ac:dyDescent="0.25">
      <c r="B254" s="145"/>
      <c r="C254" s="145"/>
      <c r="D254" s="145"/>
      <c r="E254" s="145"/>
    </row>
    <row r="255" spans="2:5" s="146" customFormat="1" x14ac:dyDescent="0.25">
      <c r="B255" s="145"/>
      <c r="C255" s="145"/>
      <c r="D255" s="145"/>
      <c r="E255" s="145"/>
    </row>
    <row r="256" spans="2:5" s="146" customFormat="1" x14ac:dyDescent="0.25">
      <c r="B256" s="145"/>
      <c r="C256" s="145"/>
      <c r="D256" s="145"/>
      <c r="E256" s="145"/>
    </row>
    <row r="257" spans="2:5" s="146" customFormat="1" x14ac:dyDescent="0.25">
      <c r="B257" s="145"/>
      <c r="C257" s="145"/>
      <c r="D257" s="145"/>
      <c r="E257" s="145"/>
    </row>
    <row r="258" spans="2:5" s="146" customFormat="1" x14ac:dyDescent="0.25">
      <c r="B258" s="145"/>
      <c r="C258" s="145"/>
      <c r="D258" s="145"/>
      <c r="E258" s="145"/>
    </row>
    <row r="259" spans="2:5" s="146" customFormat="1" x14ac:dyDescent="0.25">
      <c r="B259" s="145"/>
      <c r="C259" s="145"/>
      <c r="D259" s="145"/>
      <c r="E259" s="145"/>
    </row>
    <row r="260" spans="2:5" s="146" customFormat="1" x14ac:dyDescent="0.25">
      <c r="B260" s="145"/>
      <c r="C260" s="145"/>
      <c r="D260" s="145"/>
      <c r="E260" s="145"/>
    </row>
    <row r="261" spans="2:5" s="146" customFormat="1" x14ac:dyDescent="0.25">
      <c r="B261" s="145"/>
      <c r="C261" s="145"/>
      <c r="D261" s="145"/>
      <c r="E261" s="145"/>
    </row>
    <row r="262" spans="2:5" s="146" customFormat="1" x14ac:dyDescent="0.25">
      <c r="B262" s="145"/>
      <c r="C262" s="145"/>
      <c r="D262" s="145"/>
      <c r="E262" s="145"/>
    </row>
    <row r="263" spans="2:5" s="146" customFormat="1" x14ac:dyDescent="0.25">
      <c r="B263" s="145"/>
      <c r="C263" s="145"/>
      <c r="D263" s="145"/>
      <c r="E263" s="145"/>
    </row>
    <row r="264" spans="2:5" s="146" customFormat="1" x14ac:dyDescent="0.25">
      <c r="B264" s="145"/>
      <c r="C264" s="145"/>
      <c r="D264" s="145"/>
      <c r="E264" s="145"/>
    </row>
    <row r="265" spans="2:5" s="146" customFormat="1" x14ac:dyDescent="0.25">
      <c r="B265" s="145"/>
      <c r="C265" s="145"/>
      <c r="D265" s="145"/>
      <c r="E265" s="145"/>
    </row>
    <row r="266" spans="2:5" s="146" customFormat="1" x14ac:dyDescent="0.25">
      <c r="B266" s="145"/>
      <c r="C266" s="145"/>
      <c r="D266" s="145"/>
      <c r="E266" s="145"/>
    </row>
    <row r="267" spans="2:5" s="146" customFormat="1" x14ac:dyDescent="0.25">
      <c r="B267" s="145"/>
      <c r="C267" s="145"/>
      <c r="D267" s="145"/>
      <c r="E267" s="145"/>
    </row>
    <row r="268" spans="2:5" s="146" customFormat="1" x14ac:dyDescent="0.25">
      <c r="B268" s="145"/>
      <c r="C268" s="145"/>
      <c r="D268" s="145"/>
      <c r="E268" s="145"/>
    </row>
    <row r="269" spans="2:5" s="146" customFormat="1" x14ac:dyDescent="0.25">
      <c r="B269" s="145"/>
      <c r="C269" s="145"/>
      <c r="D269" s="145"/>
      <c r="E269" s="145"/>
    </row>
    <row r="270" spans="2:5" s="146" customFormat="1" x14ac:dyDescent="0.25">
      <c r="B270" s="145"/>
      <c r="C270" s="145"/>
      <c r="D270" s="145"/>
      <c r="E270" s="145"/>
    </row>
    <row r="271" spans="2:5" s="146" customFormat="1" x14ac:dyDescent="0.25">
      <c r="B271" s="145"/>
      <c r="C271" s="145"/>
      <c r="D271" s="145"/>
      <c r="E271" s="145"/>
    </row>
    <row r="272" spans="2:5" s="146" customFormat="1" x14ac:dyDescent="0.25">
      <c r="B272" s="145"/>
      <c r="C272" s="145"/>
      <c r="D272" s="145"/>
      <c r="E272" s="145"/>
    </row>
    <row r="273" spans="2:5" s="146" customFormat="1" x14ac:dyDescent="0.25">
      <c r="B273" s="145"/>
      <c r="C273" s="145"/>
      <c r="D273" s="145"/>
      <c r="E273" s="145"/>
    </row>
    <row r="274" spans="2:5" s="146" customFormat="1" x14ac:dyDescent="0.25">
      <c r="B274" s="145"/>
      <c r="C274" s="145"/>
      <c r="D274" s="145"/>
      <c r="E274" s="145"/>
    </row>
    <row r="275" spans="2:5" s="146" customFormat="1" x14ac:dyDescent="0.25">
      <c r="B275" s="145"/>
      <c r="C275" s="145"/>
      <c r="D275" s="145"/>
      <c r="E275" s="145"/>
    </row>
    <row r="276" spans="2:5" s="146" customFormat="1" x14ac:dyDescent="0.25">
      <c r="B276" s="145"/>
      <c r="C276" s="145"/>
      <c r="D276" s="145"/>
      <c r="E276" s="145"/>
    </row>
    <row r="277" spans="2:5" s="146" customFormat="1" x14ac:dyDescent="0.25">
      <c r="B277" s="145"/>
      <c r="C277" s="145"/>
      <c r="D277" s="145"/>
      <c r="E277" s="145"/>
    </row>
    <row r="278" spans="2:5" s="146" customFormat="1" x14ac:dyDescent="0.25">
      <c r="B278" s="145"/>
      <c r="C278" s="145"/>
      <c r="D278" s="145"/>
      <c r="E278" s="145"/>
    </row>
    <row r="279" spans="2:5" s="146" customFormat="1" x14ac:dyDescent="0.25">
      <c r="B279" s="145"/>
      <c r="C279" s="145"/>
      <c r="D279" s="145"/>
      <c r="E279" s="145"/>
    </row>
    <row r="280" spans="2:5" s="146" customFormat="1" x14ac:dyDescent="0.25">
      <c r="B280" s="145"/>
      <c r="C280" s="145"/>
      <c r="D280" s="145"/>
      <c r="E280" s="145"/>
    </row>
    <row r="281" spans="2:5" s="146" customFormat="1" x14ac:dyDescent="0.25">
      <c r="B281" s="145"/>
      <c r="C281" s="145"/>
      <c r="D281" s="145"/>
      <c r="E281" s="145"/>
    </row>
    <row r="282" spans="2:5" s="146" customFormat="1" x14ac:dyDescent="0.25">
      <c r="B282" s="145"/>
      <c r="C282" s="145"/>
      <c r="D282" s="145"/>
      <c r="E282" s="145"/>
    </row>
    <row r="283" spans="2:5" s="146" customFormat="1" x14ac:dyDescent="0.25">
      <c r="B283" s="145"/>
      <c r="C283" s="145"/>
      <c r="D283" s="145"/>
      <c r="E283" s="145"/>
    </row>
    <row r="284" spans="2:5" s="146" customFormat="1" x14ac:dyDescent="0.25">
      <c r="B284" s="145"/>
      <c r="C284" s="145"/>
      <c r="D284" s="145"/>
      <c r="E284" s="145"/>
    </row>
    <row r="285" spans="2:5" s="146" customFormat="1" x14ac:dyDescent="0.25">
      <c r="B285" s="145"/>
      <c r="C285" s="145"/>
      <c r="D285" s="145"/>
      <c r="E285" s="145"/>
    </row>
    <row r="286" spans="2:5" s="146" customFormat="1" x14ac:dyDescent="0.25">
      <c r="B286" s="145"/>
      <c r="C286" s="145"/>
      <c r="D286" s="145"/>
      <c r="E286" s="145"/>
    </row>
    <row r="287" spans="2:5" s="146" customFormat="1" x14ac:dyDescent="0.25">
      <c r="B287" s="145"/>
      <c r="C287" s="145"/>
      <c r="D287" s="145"/>
      <c r="E287" s="145"/>
    </row>
    <row r="288" spans="2:5" s="146" customFormat="1" x14ac:dyDescent="0.25">
      <c r="B288" s="145"/>
      <c r="C288" s="145"/>
      <c r="D288" s="145"/>
      <c r="E288" s="145"/>
    </row>
    <row r="289" spans="2:5" s="146" customFormat="1" x14ac:dyDescent="0.25">
      <c r="B289" s="145"/>
      <c r="C289" s="145"/>
      <c r="D289" s="145"/>
      <c r="E289" s="145"/>
    </row>
    <row r="290" spans="2:5" s="146" customFormat="1" x14ac:dyDescent="0.25">
      <c r="B290" s="145"/>
      <c r="C290" s="145"/>
      <c r="D290" s="145"/>
      <c r="E290" s="145"/>
    </row>
    <row r="291" spans="2:5" s="146" customFormat="1" x14ac:dyDescent="0.25">
      <c r="B291" s="145"/>
      <c r="C291" s="145"/>
      <c r="D291" s="145"/>
      <c r="E291" s="145"/>
    </row>
    <row r="292" spans="2:5" s="146" customFormat="1" x14ac:dyDescent="0.25">
      <c r="B292" s="145"/>
      <c r="C292" s="145"/>
      <c r="D292" s="145"/>
      <c r="E292" s="145"/>
    </row>
    <row r="293" spans="2:5" s="146" customFormat="1" x14ac:dyDescent="0.25">
      <c r="B293" s="145"/>
      <c r="C293" s="145"/>
      <c r="D293" s="145"/>
      <c r="E293" s="145"/>
    </row>
    <row r="294" spans="2:5" s="146" customFormat="1" x14ac:dyDescent="0.25">
      <c r="B294" s="145"/>
      <c r="C294" s="145"/>
      <c r="D294" s="145"/>
      <c r="E294" s="145"/>
    </row>
    <row r="295" spans="2:5" s="146" customFormat="1" x14ac:dyDescent="0.25">
      <c r="B295" s="145"/>
      <c r="C295" s="145"/>
      <c r="D295" s="145"/>
      <c r="E295" s="145"/>
    </row>
    <row r="296" spans="2:5" s="146" customFormat="1" x14ac:dyDescent="0.25">
      <c r="B296" s="145"/>
      <c r="C296" s="145"/>
      <c r="D296" s="145"/>
      <c r="E296" s="145"/>
    </row>
    <row r="297" spans="2:5" s="146" customFormat="1" x14ac:dyDescent="0.25">
      <c r="B297" s="145"/>
      <c r="C297" s="145"/>
      <c r="D297" s="145"/>
      <c r="E297" s="145"/>
    </row>
    <row r="298" spans="2:5" s="146" customFormat="1" x14ac:dyDescent="0.25">
      <c r="B298" s="145"/>
      <c r="C298" s="145"/>
      <c r="D298" s="145"/>
      <c r="E298" s="145"/>
    </row>
    <row r="299" spans="2:5" s="146" customFormat="1" x14ac:dyDescent="0.25">
      <c r="B299" s="145"/>
      <c r="C299" s="145"/>
      <c r="D299" s="145"/>
      <c r="E299" s="145"/>
    </row>
    <row r="300" spans="2:5" s="146" customFormat="1" x14ac:dyDescent="0.25">
      <c r="B300" s="145"/>
      <c r="C300" s="145"/>
      <c r="D300" s="145"/>
      <c r="E300" s="145"/>
    </row>
    <row r="301" spans="2:5" s="146" customFormat="1" x14ac:dyDescent="0.25">
      <c r="B301" s="145"/>
      <c r="C301" s="145"/>
      <c r="D301" s="145"/>
      <c r="E301" s="145"/>
    </row>
    <row r="302" spans="2:5" s="146" customFormat="1" x14ac:dyDescent="0.25">
      <c r="B302" s="145"/>
      <c r="C302" s="145"/>
      <c r="D302" s="145"/>
      <c r="E302" s="145"/>
    </row>
    <row r="303" spans="2:5" s="146" customFormat="1" x14ac:dyDescent="0.25">
      <c r="B303" s="145"/>
      <c r="C303" s="145"/>
      <c r="D303" s="145"/>
      <c r="E303" s="145"/>
    </row>
    <row r="304" spans="2:5" s="146" customFormat="1" x14ac:dyDescent="0.25">
      <c r="B304" s="145"/>
      <c r="C304" s="145"/>
      <c r="D304" s="145"/>
      <c r="E304" s="145"/>
    </row>
    <row r="305" spans="2:5" s="146" customFormat="1" x14ac:dyDescent="0.25">
      <c r="B305" s="145"/>
      <c r="C305" s="145"/>
      <c r="D305" s="145"/>
      <c r="E305" s="145"/>
    </row>
    <row r="306" spans="2:5" s="146" customFormat="1" x14ac:dyDescent="0.25">
      <c r="B306" s="145"/>
      <c r="C306" s="145"/>
      <c r="D306" s="145"/>
      <c r="E306" s="145"/>
    </row>
    <row r="307" spans="2:5" s="146" customFormat="1" x14ac:dyDescent="0.25">
      <c r="B307" s="145"/>
      <c r="C307" s="145"/>
      <c r="D307" s="145"/>
      <c r="E307" s="145"/>
    </row>
    <row r="308" spans="2:5" s="146" customFormat="1" x14ac:dyDescent="0.25">
      <c r="B308" s="145"/>
      <c r="C308" s="145"/>
      <c r="D308" s="145"/>
      <c r="E308" s="145"/>
    </row>
    <row r="309" spans="2:5" s="146" customFormat="1" x14ac:dyDescent="0.25">
      <c r="B309" s="145"/>
      <c r="C309" s="145"/>
      <c r="D309" s="145"/>
      <c r="E309" s="145"/>
    </row>
    <row r="310" spans="2:5" s="146" customFormat="1" x14ac:dyDescent="0.25">
      <c r="B310" s="145"/>
      <c r="C310" s="145"/>
      <c r="D310" s="145"/>
      <c r="E310" s="145"/>
    </row>
    <row r="311" spans="2:5" s="146" customFormat="1" x14ac:dyDescent="0.25">
      <c r="B311" s="145"/>
      <c r="C311" s="145"/>
      <c r="D311" s="145"/>
      <c r="E311" s="145"/>
    </row>
    <row r="312" spans="2:5" s="146" customFormat="1" x14ac:dyDescent="0.25">
      <c r="B312" s="145"/>
      <c r="C312" s="145"/>
      <c r="D312" s="145"/>
      <c r="E312" s="145"/>
    </row>
    <row r="313" spans="2:5" s="146" customFormat="1" x14ac:dyDescent="0.25">
      <c r="B313" s="145"/>
      <c r="C313" s="145"/>
      <c r="D313" s="145"/>
      <c r="E313" s="145"/>
    </row>
    <row r="314" spans="2:5" s="146" customFormat="1" x14ac:dyDescent="0.25">
      <c r="B314" s="145"/>
      <c r="C314" s="145"/>
      <c r="D314" s="145"/>
      <c r="E314" s="145"/>
    </row>
    <row r="315" spans="2:5" s="146" customFormat="1" x14ac:dyDescent="0.25">
      <c r="B315" s="145"/>
      <c r="C315" s="145"/>
      <c r="D315" s="145"/>
      <c r="E315" s="145"/>
    </row>
    <row r="316" spans="2:5" s="146" customFormat="1" x14ac:dyDescent="0.25">
      <c r="B316" s="145"/>
      <c r="C316" s="145"/>
      <c r="D316" s="145"/>
      <c r="E316" s="145"/>
    </row>
    <row r="317" spans="2:5" s="146" customFormat="1" x14ac:dyDescent="0.25">
      <c r="B317" s="145"/>
      <c r="C317" s="145"/>
      <c r="D317" s="145"/>
      <c r="E317" s="145"/>
    </row>
    <row r="318" spans="2:5" s="146" customFormat="1" x14ac:dyDescent="0.25">
      <c r="B318" s="145"/>
      <c r="C318" s="145"/>
      <c r="D318" s="145"/>
      <c r="E318" s="145"/>
    </row>
    <row r="319" spans="2:5" s="146" customFormat="1" x14ac:dyDescent="0.25">
      <c r="B319" s="145"/>
      <c r="C319" s="145"/>
      <c r="D319" s="145"/>
      <c r="E319" s="145"/>
    </row>
    <row r="320" spans="2:5" s="146" customFormat="1" x14ac:dyDescent="0.25">
      <c r="B320" s="145"/>
      <c r="C320" s="145"/>
      <c r="D320" s="145"/>
      <c r="E320" s="145"/>
    </row>
    <row r="321" spans="2:5" s="146" customFormat="1" x14ac:dyDescent="0.25">
      <c r="B321" s="145"/>
      <c r="C321" s="145"/>
      <c r="D321" s="145"/>
      <c r="E321" s="145"/>
    </row>
    <row r="322" spans="2:5" s="146" customFormat="1" x14ac:dyDescent="0.25">
      <c r="B322" s="145"/>
      <c r="C322" s="145"/>
      <c r="D322" s="145"/>
      <c r="E322" s="145"/>
    </row>
    <row r="323" spans="2:5" s="146" customFormat="1" x14ac:dyDescent="0.25">
      <c r="B323" s="145"/>
      <c r="C323" s="145"/>
      <c r="D323" s="145"/>
      <c r="E323" s="145"/>
    </row>
    <row r="324" spans="2:5" s="146" customFormat="1" x14ac:dyDescent="0.25">
      <c r="B324" s="145"/>
      <c r="C324" s="145"/>
      <c r="D324" s="145"/>
      <c r="E324" s="145"/>
    </row>
    <row r="325" spans="2:5" s="146" customFormat="1" x14ac:dyDescent="0.25">
      <c r="B325" s="145"/>
      <c r="C325" s="145"/>
      <c r="D325" s="145"/>
      <c r="E325" s="145"/>
    </row>
    <row r="326" spans="2:5" s="146" customFormat="1" x14ac:dyDescent="0.25">
      <c r="B326" s="145"/>
      <c r="C326" s="145"/>
      <c r="D326" s="145"/>
      <c r="E326" s="145"/>
    </row>
    <row r="327" spans="2:5" s="146" customFormat="1" x14ac:dyDescent="0.25">
      <c r="B327" s="145"/>
      <c r="C327" s="145"/>
      <c r="D327" s="145"/>
      <c r="E327" s="145"/>
    </row>
    <row r="328" spans="2:5" s="146" customFormat="1" x14ac:dyDescent="0.25">
      <c r="B328" s="145"/>
      <c r="C328" s="145"/>
      <c r="D328" s="145"/>
      <c r="E328" s="145"/>
    </row>
    <row r="329" spans="2:5" s="146" customFormat="1" x14ac:dyDescent="0.25">
      <c r="B329" s="145"/>
      <c r="C329" s="145"/>
      <c r="D329" s="145"/>
      <c r="E329" s="145"/>
    </row>
    <row r="330" spans="2:5" s="146" customFormat="1" x14ac:dyDescent="0.25">
      <c r="B330" s="145"/>
      <c r="C330" s="145"/>
      <c r="D330" s="145"/>
      <c r="E330" s="145"/>
    </row>
    <row r="331" spans="2:5" s="146" customFormat="1" x14ac:dyDescent="0.25">
      <c r="B331" s="145"/>
      <c r="C331" s="145"/>
      <c r="D331" s="145"/>
      <c r="E331" s="145"/>
    </row>
    <row r="332" spans="2:5" s="146" customFormat="1" x14ac:dyDescent="0.25">
      <c r="B332" s="145"/>
      <c r="C332" s="145"/>
      <c r="D332" s="145"/>
      <c r="E332" s="145"/>
    </row>
    <row r="333" spans="2:5" s="146" customFormat="1" x14ac:dyDescent="0.25">
      <c r="B333" s="145"/>
      <c r="C333" s="145"/>
      <c r="D333" s="145"/>
      <c r="E333" s="145"/>
    </row>
    <row r="334" spans="2:5" s="146" customFormat="1" x14ac:dyDescent="0.25">
      <c r="B334" s="145"/>
      <c r="C334" s="145"/>
      <c r="D334" s="145"/>
      <c r="E334" s="145"/>
    </row>
    <row r="335" spans="2:5" s="146" customFormat="1" x14ac:dyDescent="0.25">
      <c r="B335" s="145"/>
      <c r="C335" s="145"/>
      <c r="D335" s="145"/>
      <c r="E335" s="145"/>
    </row>
    <row r="336" spans="2:5" s="146" customFormat="1" x14ac:dyDescent="0.25">
      <c r="B336" s="145"/>
      <c r="C336" s="145"/>
      <c r="D336" s="145"/>
      <c r="E336" s="145"/>
    </row>
    <row r="337" spans="2:5" s="146" customFormat="1" x14ac:dyDescent="0.25">
      <c r="B337" s="145"/>
      <c r="C337" s="145"/>
      <c r="D337" s="145"/>
      <c r="E337" s="145"/>
    </row>
    <row r="338" spans="2:5" s="146" customFormat="1" x14ac:dyDescent="0.25">
      <c r="B338" s="145"/>
      <c r="C338" s="145"/>
      <c r="D338" s="145"/>
      <c r="E338" s="145"/>
    </row>
    <row r="339" spans="2:5" s="146" customFormat="1" x14ac:dyDescent="0.25">
      <c r="B339" s="145"/>
      <c r="C339" s="145"/>
      <c r="D339" s="145"/>
      <c r="E339" s="145"/>
    </row>
    <row r="340" spans="2:5" s="146" customFormat="1" x14ac:dyDescent="0.25">
      <c r="B340" s="145"/>
      <c r="C340" s="145"/>
      <c r="D340" s="145"/>
      <c r="E340" s="145"/>
    </row>
    <row r="341" spans="2:5" s="146" customFormat="1" x14ac:dyDescent="0.25">
      <c r="B341" s="145"/>
      <c r="C341" s="145"/>
      <c r="D341" s="145"/>
      <c r="E341" s="145"/>
    </row>
    <row r="342" spans="2:5" s="146" customFormat="1" x14ac:dyDescent="0.25">
      <c r="B342" s="145"/>
      <c r="C342" s="145"/>
      <c r="D342" s="145"/>
      <c r="E342" s="145"/>
    </row>
    <row r="343" spans="2:5" s="146" customFormat="1" x14ac:dyDescent="0.25">
      <c r="B343" s="145"/>
      <c r="C343" s="145"/>
      <c r="D343" s="145"/>
      <c r="E343" s="145"/>
    </row>
    <row r="344" spans="2:5" s="146" customFormat="1" x14ac:dyDescent="0.25">
      <c r="B344" s="145"/>
      <c r="C344" s="145"/>
      <c r="D344" s="145"/>
      <c r="E344" s="145"/>
    </row>
    <row r="345" spans="2:5" s="146" customFormat="1" x14ac:dyDescent="0.25">
      <c r="B345" s="145"/>
      <c r="C345" s="145"/>
      <c r="D345" s="145"/>
      <c r="E345" s="145"/>
    </row>
    <row r="346" spans="2:5" s="146" customFormat="1" x14ac:dyDescent="0.25">
      <c r="B346" s="145"/>
      <c r="C346" s="145"/>
      <c r="D346" s="145"/>
      <c r="E346" s="145"/>
    </row>
    <row r="347" spans="2:5" s="146" customFormat="1" x14ac:dyDescent="0.25">
      <c r="B347" s="145"/>
      <c r="C347" s="145"/>
      <c r="D347" s="145"/>
      <c r="E347" s="145"/>
    </row>
    <row r="348" spans="2:5" s="146" customFormat="1" x14ac:dyDescent="0.25">
      <c r="B348" s="145"/>
      <c r="C348" s="145"/>
      <c r="D348" s="145"/>
      <c r="E348" s="145"/>
    </row>
    <row r="349" spans="2:5" s="146" customFormat="1" x14ac:dyDescent="0.25">
      <c r="B349" s="145"/>
      <c r="C349" s="145"/>
      <c r="D349" s="145"/>
      <c r="E349" s="145"/>
    </row>
    <row r="350" spans="2:5" s="146" customFormat="1" x14ac:dyDescent="0.25">
      <c r="B350" s="145"/>
      <c r="C350" s="145"/>
      <c r="D350" s="145"/>
      <c r="E350" s="145"/>
    </row>
    <row r="351" spans="2:5" s="146" customFormat="1" x14ac:dyDescent="0.25">
      <c r="B351" s="145"/>
      <c r="C351" s="145"/>
      <c r="D351" s="145"/>
      <c r="E351" s="145"/>
    </row>
    <row r="352" spans="2:5" s="146" customFormat="1" x14ac:dyDescent="0.25">
      <c r="B352" s="145"/>
      <c r="C352" s="145"/>
      <c r="D352" s="145"/>
      <c r="E352" s="145"/>
    </row>
    <row r="353" spans="2:5" s="146" customFormat="1" x14ac:dyDescent="0.25">
      <c r="B353" s="145"/>
      <c r="C353" s="145"/>
      <c r="D353" s="145"/>
      <c r="E353" s="145"/>
    </row>
    <row r="354" spans="2:5" s="146" customFormat="1" x14ac:dyDescent="0.25">
      <c r="B354" s="145"/>
      <c r="C354" s="145"/>
      <c r="D354" s="145"/>
      <c r="E354" s="145"/>
    </row>
    <row r="355" spans="2:5" s="146" customFormat="1" x14ac:dyDescent="0.25">
      <c r="B355" s="145"/>
      <c r="C355" s="145"/>
      <c r="D355" s="145"/>
      <c r="E355" s="145"/>
    </row>
    <row r="356" spans="2:5" s="146" customFormat="1" x14ac:dyDescent="0.25">
      <c r="B356" s="145"/>
      <c r="C356" s="145"/>
      <c r="D356" s="145"/>
      <c r="E356" s="145"/>
    </row>
    <row r="357" spans="2:5" s="146" customFormat="1" x14ac:dyDescent="0.25">
      <c r="B357" s="145"/>
      <c r="C357" s="145"/>
      <c r="D357" s="145"/>
      <c r="E357" s="145"/>
    </row>
    <row r="358" spans="2:5" s="146" customFormat="1" x14ac:dyDescent="0.25">
      <c r="B358" s="145"/>
      <c r="C358" s="145"/>
      <c r="D358" s="145"/>
      <c r="E358" s="145"/>
    </row>
    <row r="359" spans="2:5" s="146" customFormat="1" x14ac:dyDescent="0.25">
      <c r="B359" s="145"/>
      <c r="C359" s="145"/>
      <c r="D359" s="145"/>
      <c r="E359" s="145"/>
    </row>
    <row r="360" spans="2:5" s="146" customFormat="1" x14ac:dyDescent="0.25">
      <c r="B360" s="145"/>
      <c r="C360" s="145"/>
      <c r="D360" s="145"/>
      <c r="E360" s="145"/>
    </row>
    <row r="361" spans="2:5" s="146" customFormat="1" x14ac:dyDescent="0.25">
      <c r="B361" s="145"/>
      <c r="C361" s="145"/>
      <c r="D361" s="145"/>
      <c r="E361" s="145"/>
    </row>
    <row r="362" spans="2:5" s="146" customFormat="1" x14ac:dyDescent="0.25">
      <c r="B362" s="145"/>
      <c r="C362" s="145"/>
      <c r="D362" s="145"/>
      <c r="E362" s="145"/>
    </row>
    <row r="363" spans="2:5" s="146" customFormat="1" x14ac:dyDescent="0.25">
      <c r="B363" s="145"/>
      <c r="C363" s="145"/>
      <c r="D363" s="145"/>
      <c r="E363" s="145"/>
    </row>
    <row r="364" spans="2:5" s="146" customFormat="1" x14ac:dyDescent="0.25">
      <c r="B364" s="145"/>
      <c r="C364" s="145"/>
      <c r="D364" s="145"/>
      <c r="E364" s="145"/>
    </row>
    <row r="365" spans="2:5" s="146" customFormat="1" x14ac:dyDescent="0.25">
      <c r="B365" s="145"/>
      <c r="C365" s="145"/>
      <c r="D365" s="145"/>
      <c r="E365" s="145"/>
    </row>
    <row r="366" spans="2:5" s="146" customFormat="1" x14ac:dyDescent="0.25">
      <c r="B366" s="145"/>
      <c r="C366" s="145"/>
      <c r="D366" s="145"/>
      <c r="E366" s="145"/>
    </row>
    <row r="367" spans="2:5" s="146" customFormat="1" x14ac:dyDescent="0.25">
      <c r="B367" s="145"/>
      <c r="C367" s="145"/>
      <c r="D367" s="145"/>
      <c r="E367" s="145"/>
    </row>
    <row r="368" spans="2:5" s="146" customFormat="1" x14ac:dyDescent="0.25">
      <c r="B368" s="145"/>
      <c r="C368" s="145"/>
      <c r="D368" s="145"/>
      <c r="E368" s="145"/>
    </row>
    <row r="369" spans="2:5" s="146" customFormat="1" x14ac:dyDescent="0.25">
      <c r="B369" s="145"/>
      <c r="C369" s="145"/>
      <c r="D369" s="145"/>
      <c r="E369" s="145"/>
    </row>
    <row r="370" spans="2:5" s="146" customFormat="1" x14ac:dyDescent="0.25">
      <c r="B370" s="145"/>
      <c r="C370" s="145"/>
      <c r="D370" s="145"/>
      <c r="E370" s="145"/>
    </row>
    <row r="371" spans="2:5" s="146" customFormat="1" x14ac:dyDescent="0.25">
      <c r="B371" s="145"/>
      <c r="C371" s="145"/>
      <c r="D371" s="145"/>
      <c r="E371" s="145"/>
    </row>
    <row r="372" spans="2:5" s="146" customFormat="1" x14ac:dyDescent="0.25">
      <c r="B372" s="145"/>
      <c r="C372" s="145"/>
      <c r="D372" s="145"/>
      <c r="E372" s="145"/>
    </row>
    <row r="373" spans="2:5" s="146" customFormat="1" x14ac:dyDescent="0.25">
      <c r="B373" s="145"/>
      <c r="C373" s="145"/>
      <c r="D373" s="145"/>
      <c r="E373" s="145"/>
    </row>
    <row r="374" spans="2:5" s="146" customFormat="1" x14ac:dyDescent="0.25">
      <c r="B374" s="145"/>
      <c r="C374" s="145"/>
      <c r="D374" s="145"/>
      <c r="E374" s="145"/>
    </row>
    <row r="375" spans="2:5" s="146" customFormat="1" x14ac:dyDescent="0.25">
      <c r="B375" s="145"/>
      <c r="C375" s="145"/>
      <c r="D375" s="145"/>
      <c r="E375" s="145"/>
    </row>
  </sheetData>
  <hyperlinks>
    <hyperlink ref="A185" location="Índice!C1" display="Volver al ïndice" xr:uid="{00000000-0004-0000-0300-000000000000}"/>
  </hyperlinks>
  <pageMargins left="0.7" right="0.7" top="0.75" bottom="0.75" header="0.3" footer="0.3"/>
  <pageSetup paperSize="281"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Z756"/>
  <sheetViews>
    <sheetView showGridLines="0" zoomScale="90" zoomScaleNormal="90" zoomScalePageLayoutView="90" workbookViewId="0">
      <pane xSplit="1" ySplit="2" topLeftCell="B3" activePane="bottomRight" state="frozen"/>
      <selection pane="topRight" activeCell="B1" sqref="B1"/>
      <selection pane="bottomLeft" activeCell="A3" sqref="A3"/>
      <selection pane="bottomRight"/>
    </sheetView>
  </sheetViews>
  <sheetFormatPr baseColWidth="10" defaultColWidth="10.85546875" defaultRowHeight="15" x14ac:dyDescent="0.25"/>
  <cols>
    <col min="1" max="1" width="28.42578125" style="15" customWidth="1"/>
    <col min="2" max="12" width="10.85546875" style="15" customWidth="1"/>
    <col min="13" max="13" width="10.85546875" style="3" customWidth="1"/>
    <col min="14" max="20" width="10.85546875" style="15" customWidth="1"/>
    <col min="21" max="23" width="11.28515625" style="16" customWidth="1"/>
    <col min="24" max="24" width="12.85546875" style="16" customWidth="1"/>
    <col min="25" max="25" width="14.42578125" style="16" customWidth="1"/>
    <col min="26" max="16384" width="10.85546875" style="3"/>
  </cols>
  <sheetData>
    <row r="1" spans="1:25" ht="21" x14ac:dyDescent="0.25">
      <c r="A1" s="70" t="s">
        <v>514</v>
      </c>
      <c r="B1" s="33"/>
      <c r="C1" s="33"/>
      <c r="D1" s="33"/>
      <c r="E1" s="33"/>
      <c r="F1" s="33"/>
      <c r="G1" s="33"/>
      <c r="H1" s="33"/>
      <c r="I1" s="34"/>
      <c r="J1" s="34"/>
      <c r="K1" s="34"/>
      <c r="L1" s="34"/>
      <c r="M1" s="34"/>
      <c r="N1" s="34"/>
      <c r="O1" s="34"/>
      <c r="P1" s="34"/>
      <c r="Q1" s="34"/>
      <c r="R1" s="34"/>
      <c r="S1" s="34"/>
      <c r="T1" s="34"/>
      <c r="U1" s="27"/>
      <c r="V1" s="27"/>
      <c r="W1" s="27"/>
      <c r="X1" s="27"/>
      <c r="Y1" s="27"/>
    </row>
    <row r="2" spans="1:25" ht="35.25" customHeight="1" x14ac:dyDescent="0.25">
      <c r="A2" s="34"/>
      <c r="B2" s="34"/>
      <c r="C2" s="34"/>
      <c r="D2" s="34"/>
      <c r="E2" s="34"/>
      <c r="F2" s="34"/>
      <c r="G2" s="34"/>
      <c r="H2" s="34"/>
      <c r="I2" s="34"/>
      <c r="J2" s="34"/>
      <c r="K2" s="34"/>
      <c r="L2" s="34"/>
      <c r="M2" s="34"/>
      <c r="N2" s="34"/>
      <c r="O2" s="34"/>
      <c r="P2" s="34"/>
      <c r="Q2" s="34"/>
      <c r="R2" s="34"/>
      <c r="S2" s="34"/>
      <c r="T2" s="34"/>
      <c r="U2" s="27"/>
      <c r="V2" s="27"/>
      <c r="W2" s="27"/>
      <c r="X2" s="27"/>
      <c r="Y2" s="27"/>
    </row>
    <row r="3" spans="1:25" x14ac:dyDescent="0.25">
      <c r="A3" s="34"/>
      <c r="B3" s="34"/>
      <c r="C3" s="34"/>
      <c r="D3" s="34"/>
      <c r="E3" s="34"/>
      <c r="F3" s="34"/>
      <c r="G3" s="34"/>
      <c r="H3" s="34"/>
      <c r="I3" s="34"/>
      <c r="J3" s="34"/>
      <c r="K3" s="34"/>
      <c r="L3" s="34"/>
      <c r="M3" s="34"/>
      <c r="N3" s="34"/>
      <c r="O3" s="34"/>
      <c r="P3" s="34"/>
      <c r="Q3" s="34"/>
      <c r="R3" s="34"/>
      <c r="S3" s="34"/>
      <c r="T3" s="34"/>
      <c r="U3" s="27"/>
      <c r="V3" s="27"/>
      <c r="W3" s="27"/>
      <c r="X3" s="27"/>
      <c r="Y3" s="27"/>
    </row>
    <row r="4" spans="1:25" ht="15.75" x14ac:dyDescent="0.25">
      <c r="A4" s="35" t="s">
        <v>69</v>
      </c>
      <c r="B4" s="35"/>
      <c r="C4" s="35"/>
      <c r="D4" s="35"/>
      <c r="E4" s="35"/>
      <c r="F4" s="35"/>
      <c r="G4" s="35"/>
      <c r="H4" s="35"/>
      <c r="I4" s="34"/>
      <c r="J4" s="34"/>
      <c r="K4" s="34"/>
      <c r="L4" s="34"/>
      <c r="M4" s="34"/>
      <c r="N4" s="34"/>
      <c r="O4" s="34"/>
      <c r="P4" s="34"/>
      <c r="Q4" s="34"/>
      <c r="R4" s="34"/>
      <c r="S4" s="34"/>
      <c r="T4" s="34"/>
      <c r="U4" s="27"/>
      <c r="V4" s="27"/>
      <c r="W4" s="27"/>
      <c r="X4" s="27"/>
      <c r="Y4" s="27"/>
    </row>
    <row r="5" spans="1:25" ht="25.5" x14ac:dyDescent="0.25">
      <c r="A5" s="104" t="s">
        <v>81</v>
      </c>
      <c r="B5" s="105">
        <v>2007</v>
      </c>
      <c r="C5" s="105">
        <v>2008</v>
      </c>
      <c r="D5" s="105">
        <v>2009</v>
      </c>
      <c r="E5" s="105">
        <v>2010</v>
      </c>
      <c r="F5" s="105">
        <v>2011</v>
      </c>
      <c r="G5" s="105">
        <v>2012</v>
      </c>
      <c r="H5" s="105">
        <v>2013</v>
      </c>
      <c r="I5" s="105">
        <v>2014</v>
      </c>
      <c r="J5" s="105">
        <v>2015</v>
      </c>
      <c r="K5" s="105">
        <v>2016</v>
      </c>
      <c r="L5" s="105">
        <v>2017</v>
      </c>
      <c r="M5" s="132">
        <v>2018</v>
      </c>
      <c r="N5" s="105">
        <v>2019</v>
      </c>
      <c r="O5" s="105">
        <v>2020</v>
      </c>
      <c r="P5" s="105">
        <v>2021</v>
      </c>
      <c r="Q5" s="105">
        <v>2022</v>
      </c>
      <c r="R5" s="105">
        <v>2023</v>
      </c>
      <c r="S5" s="105">
        <v>2024</v>
      </c>
      <c r="T5" s="105">
        <v>2025</v>
      </c>
      <c r="U5" s="106" t="s">
        <v>546</v>
      </c>
      <c r="V5" s="106" t="s">
        <v>547</v>
      </c>
      <c r="W5" s="106" t="s">
        <v>548</v>
      </c>
      <c r="X5" s="106" t="s">
        <v>549</v>
      </c>
      <c r="Y5" s="216" t="s">
        <v>563</v>
      </c>
    </row>
    <row r="6" spans="1:25" x14ac:dyDescent="0.25">
      <c r="A6" s="91" t="s">
        <v>2</v>
      </c>
      <c r="B6" s="95">
        <v>86838</v>
      </c>
      <c r="C6" s="95">
        <v>95891</v>
      </c>
      <c r="D6" s="95">
        <v>110007</v>
      </c>
      <c r="E6" s="95">
        <v>128566</v>
      </c>
      <c r="F6" s="95">
        <v>138574</v>
      </c>
      <c r="G6" s="95">
        <v>140031</v>
      </c>
      <c r="H6" s="95">
        <v>144365</v>
      </c>
      <c r="I6" s="95">
        <v>148010</v>
      </c>
      <c r="J6" s="95">
        <v>146540</v>
      </c>
      <c r="K6" s="95">
        <v>141711</v>
      </c>
      <c r="L6" s="95">
        <v>136777</v>
      </c>
      <c r="M6" s="121">
        <v>136728</v>
      </c>
      <c r="N6" s="95">
        <v>137919</v>
      </c>
      <c r="O6" s="95">
        <v>130338</v>
      </c>
      <c r="P6" s="95">
        <v>134463</v>
      </c>
      <c r="Q6" s="95">
        <v>131747</v>
      </c>
      <c r="R6" s="95">
        <v>136743</v>
      </c>
      <c r="S6" s="95">
        <v>145299</v>
      </c>
      <c r="T6" s="95">
        <v>152439</v>
      </c>
      <c r="U6" s="149">
        <f>(T6-K6)/K6</f>
        <v>7.5703368122446393E-2</v>
      </c>
      <c r="V6" s="149">
        <f>(T6-P6)/P6</f>
        <v>0.13368733406215835</v>
      </c>
      <c r="W6" s="149">
        <f>(T6-S6)/S6</f>
        <v>4.9140049140049137E-2</v>
      </c>
      <c r="X6" s="218">
        <f>T6/T$9</f>
        <v>0.11484513434347086</v>
      </c>
      <c r="Y6" s="219">
        <f>T6-S6</f>
        <v>7140</v>
      </c>
    </row>
    <row r="7" spans="1:25" x14ac:dyDescent="0.25">
      <c r="A7" s="91" t="s">
        <v>3</v>
      </c>
      <c r="B7" s="107">
        <v>156124</v>
      </c>
      <c r="C7" s="107">
        <v>162848</v>
      </c>
      <c r="D7" s="107">
        <v>189597</v>
      </c>
      <c r="E7" s="107">
        <v>224301</v>
      </c>
      <c r="F7" s="107">
        <v>260692</v>
      </c>
      <c r="G7" s="107">
        <v>293519</v>
      </c>
      <c r="H7" s="107">
        <v>324579</v>
      </c>
      <c r="I7" s="95">
        <v>351004</v>
      </c>
      <c r="J7" s="95">
        <v>373171</v>
      </c>
      <c r="K7" s="95">
        <v>380988</v>
      </c>
      <c r="L7" s="95">
        <v>374709</v>
      </c>
      <c r="M7" s="121">
        <v>373104</v>
      </c>
      <c r="N7" s="95">
        <v>379456</v>
      </c>
      <c r="O7" s="95">
        <v>361387</v>
      </c>
      <c r="P7" s="95">
        <v>378538</v>
      </c>
      <c r="Q7" s="95">
        <v>396829</v>
      </c>
      <c r="R7" s="95">
        <v>419014</v>
      </c>
      <c r="S7" s="95">
        <v>426272</v>
      </c>
      <c r="T7" s="95">
        <v>442924</v>
      </c>
      <c r="U7" s="149">
        <f t="shared" ref="U7:U9" si="0">(T7-K7)/K7</f>
        <v>0.1625668000041996</v>
      </c>
      <c r="V7" s="149">
        <f t="shared" ref="V7:V9" si="1">(T7-P7)/P7</f>
        <v>0.17009124579302473</v>
      </c>
      <c r="W7" s="149">
        <f t="shared" ref="W7:W9" si="2">(T7-S7)/S7</f>
        <v>3.9064259439981985E-2</v>
      </c>
      <c r="X7" s="218">
        <f t="shared" ref="X7:X8" si="3">T7/T$9</f>
        <v>0.33369194421340664</v>
      </c>
      <c r="Y7" s="219">
        <f t="shared" ref="Y7:Y9" si="4">T7-S7</f>
        <v>16652</v>
      </c>
    </row>
    <row r="8" spans="1:25" x14ac:dyDescent="0.25">
      <c r="A8" s="91" t="s">
        <v>4</v>
      </c>
      <c r="B8" s="107">
        <v>505382</v>
      </c>
      <c r="C8" s="107">
        <v>524610</v>
      </c>
      <c r="D8" s="107">
        <v>549736</v>
      </c>
      <c r="E8" s="107">
        <v>585391</v>
      </c>
      <c r="F8" s="107">
        <v>615811</v>
      </c>
      <c r="G8" s="107">
        <v>631266</v>
      </c>
      <c r="H8" s="107">
        <v>645333</v>
      </c>
      <c r="I8" s="95">
        <v>645367</v>
      </c>
      <c r="J8" s="95">
        <v>646195</v>
      </c>
      <c r="K8" s="95">
        <v>655781</v>
      </c>
      <c r="L8" s="95">
        <v>665806</v>
      </c>
      <c r="M8" s="121">
        <v>678213</v>
      </c>
      <c r="N8" s="95">
        <v>677084</v>
      </c>
      <c r="O8" s="95">
        <v>660109</v>
      </c>
      <c r="P8" s="95">
        <v>691375</v>
      </c>
      <c r="Q8" s="95">
        <v>685435</v>
      </c>
      <c r="R8" s="95">
        <v>693662</v>
      </c>
      <c r="S8" s="95">
        <v>706040</v>
      </c>
      <c r="T8" s="95">
        <v>731981</v>
      </c>
      <c r="U8" s="149">
        <f t="shared" si="0"/>
        <v>0.11619732807141409</v>
      </c>
      <c r="V8" s="149">
        <f t="shared" si="1"/>
        <v>5.873223648526487E-2</v>
      </c>
      <c r="W8" s="149">
        <f t="shared" si="2"/>
        <v>3.6741544388419922E-2</v>
      </c>
      <c r="X8" s="218">
        <f t="shared" si="3"/>
        <v>0.55146292144312248</v>
      </c>
      <c r="Y8" s="219">
        <f t="shared" si="4"/>
        <v>25941</v>
      </c>
    </row>
    <row r="9" spans="1:25" s="42" customFormat="1" x14ac:dyDescent="0.25">
      <c r="A9" s="92" t="s">
        <v>0</v>
      </c>
      <c r="B9" s="89">
        <v>748344</v>
      </c>
      <c r="C9" s="89">
        <v>783349</v>
      </c>
      <c r="D9" s="89">
        <v>849340</v>
      </c>
      <c r="E9" s="89">
        <v>938258</v>
      </c>
      <c r="F9" s="89">
        <v>1015077</v>
      </c>
      <c r="G9" s="89">
        <v>1064816</v>
      </c>
      <c r="H9" s="89">
        <v>1114277</v>
      </c>
      <c r="I9" s="90">
        <v>1144381</v>
      </c>
      <c r="J9" s="90">
        <v>1165906</v>
      </c>
      <c r="K9" s="90">
        <v>1178480</v>
      </c>
      <c r="L9" s="90">
        <v>1177292</v>
      </c>
      <c r="M9" s="90">
        <v>1188045</v>
      </c>
      <c r="N9" s="90">
        <v>1194459</v>
      </c>
      <c r="O9" s="90">
        <v>1151834</v>
      </c>
      <c r="P9" s="90">
        <v>1204376</v>
      </c>
      <c r="Q9" s="108">
        <v>1214011</v>
      </c>
      <c r="R9" s="108">
        <v>1249419</v>
      </c>
      <c r="S9" s="108">
        <v>1277611</v>
      </c>
      <c r="T9" s="108">
        <v>1327344</v>
      </c>
      <c r="U9" s="150">
        <f t="shared" si="0"/>
        <v>0.1263186477496436</v>
      </c>
      <c r="V9" s="150">
        <f t="shared" si="1"/>
        <v>0.10210100500176025</v>
      </c>
      <c r="W9" s="150">
        <f t="shared" si="2"/>
        <v>3.8926559023051616E-2</v>
      </c>
      <c r="X9" s="220">
        <f>T9/T$9</f>
        <v>1</v>
      </c>
      <c r="Y9" s="221">
        <f t="shared" si="4"/>
        <v>49733</v>
      </c>
    </row>
    <row r="10" spans="1:25" x14ac:dyDescent="0.25">
      <c r="A10" s="197"/>
      <c r="B10" s="155"/>
      <c r="C10" s="155"/>
      <c r="D10" s="155"/>
      <c r="E10" s="155"/>
      <c r="F10" s="198"/>
      <c r="G10" s="198"/>
      <c r="H10" s="198"/>
      <c r="I10" s="198"/>
      <c r="J10" s="198"/>
      <c r="K10" s="198"/>
      <c r="L10" s="198"/>
      <c r="M10" s="198"/>
      <c r="N10" s="198"/>
      <c r="O10" s="198"/>
      <c r="P10" s="198"/>
      <c r="Q10" s="198"/>
      <c r="R10" s="198"/>
      <c r="S10" s="198"/>
      <c r="T10" s="198"/>
      <c r="U10" s="198"/>
      <c r="V10" s="198"/>
      <c r="W10" s="198"/>
      <c r="X10" s="198"/>
      <c r="Y10" s="198"/>
    </row>
    <row r="11" spans="1:25" ht="18" x14ac:dyDescent="0.25">
      <c r="A11" s="37" t="s">
        <v>116</v>
      </c>
      <c r="B11" s="37"/>
      <c r="C11" s="37"/>
      <c r="D11" s="37"/>
      <c r="E11" s="37"/>
      <c r="F11" s="27"/>
      <c r="G11" s="27"/>
      <c r="H11" s="27"/>
      <c r="I11" s="27"/>
      <c r="J11" s="27"/>
      <c r="K11" s="27"/>
      <c r="L11" s="27"/>
      <c r="M11" s="27"/>
      <c r="N11" s="27"/>
      <c r="O11" s="27"/>
      <c r="P11" s="27"/>
      <c r="Q11" s="27"/>
      <c r="R11" s="27"/>
      <c r="S11" s="27"/>
      <c r="T11" s="27"/>
      <c r="U11" s="27"/>
      <c r="V11" s="27"/>
      <c r="W11" s="27"/>
      <c r="X11" s="27"/>
      <c r="Y11" s="27"/>
    </row>
    <row r="12" spans="1:25" ht="25.5" x14ac:dyDescent="0.25">
      <c r="A12" s="104" t="s">
        <v>81</v>
      </c>
      <c r="B12" s="105">
        <v>2007</v>
      </c>
      <c r="C12" s="105">
        <v>2008</v>
      </c>
      <c r="D12" s="105">
        <v>2009</v>
      </c>
      <c r="E12" s="105">
        <v>2010</v>
      </c>
      <c r="F12" s="105">
        <v>2011</v>
      </c>
      <c r="G12" s="105">
        <v>2012</v>
      </c>
      <c r="H12" s="105">
        <v>2013</v>
      </c>
      <c r="I12" s="105">
        <v>2014</v>
      </c>
      <c r="J12" s="105">
        <v>2015</v>
      </c>
      <c r="K12" s="105">
        <v>2016</v>
      </c>
      <c r="L12" s="105">
        <v>2017</v>
      </c>
      <c r="M12" s="132">
        <v>2018</v>
      </c>
      <c r="N12" s="105">
        <v>2019</v>
      </c>
      <c r="O12" s="105">
        <v>2020</v>
      </c>
      <c r="P12" s="105">
        <v>2021</v>
      </c>
      <c r="Q12" s="105">
        <v>2022</v>
      </c>
      <c r="R12" s="105">
        <v>2023</v>
      </c>
      <c r="S12" s="105">
        <v>2024</v>
      </c>
      <c r="T12" s="105">
        <v>2025</v>
      </c>
      <c r="U12" s="106" t="s">
        <v>546</v>
      </c>
      <c r="V12" s="106" t="s">
        <v>547</v>
      </c>
      <c r="W12" s="106" t="s">
        <v>548</v>
      </c>
      <c r="X12" s="106" t="s">
        <v>549</v>
      </c>
      <c r="Y12" s="216" t="s">
        <v>563</v>
      </c>
    </row>
    <row r="13" spans="1:25" x14ac:dyDescent="0.25">
      <c r="A13" s="91" t="s">
        <v>2</v>
      </c>
      <c r="B13" s="121">
        <v>43912</v>
      </c>
      <c r="C13" s="121">
        <v>47056</v>
      </c>
      <c r="D13" s="121">
        <v>53202</v>
      </c>
      <c r="E13" s="121">
        <v>63115</v>
      </c>
      <c r="F13" s="121">
        <v>64035</v>
      </c>
      <c r="G13" s="121">
        <v>62584</v>
      </c>
      <c r="H13" s="121">
        <v>64724</v>
      </c>
      <c r="I13" s="121">
        <v>65941</v>
      </c>
      <c r="J13" s="121">
        <v>63551</v>
      </c>
      <c r="K13" s="121">
        <v>59423</v>
      </c>
      <c r="L13" s="121">
        <v>60034</v>
      </c>
      <c r="M13" s="121">
        <v>59203</v>
      </c>
      <c r="N13" s="121">
        <v>60906</v>
      </c>
      <c r="O13" s="121">
        <v>56159</v>
      </c>
      <c r="P13" s="121">
        <v>58299</v>
      </c>
      <c r="Q13" s="121">
        <v>56028</v>
      </c>
      <c r="R13" s="121">
        <v>60184</v>
      </c>
      <c r="S13" s="121">
        <v>66771</v>
      </c>
      <c r="T13" s="121">
        <v>68900</v>
      </c>
      <c r="U13" s="149">
        <f>(T13-K13)/K13</f>
        <v>0.15948370159702471</v>
      </c>
      <c r="V13" s="149">
        <f>(T13-P13)/P13</f>
        <v>0.18183845348976826</v>
      </c>
      <c r="W13" s="149">
        <f>(T13-S13)/S13</f>
        <v>3.1885099818783603E-2</v>
      </c>
      <c r="X13" s="218">
        <f>T13/T$16</f>
        <v>0.18998039534672112</v>
      </c>
      <c r="Y13" s="219">
        <f>T13-S13</f>
        <v>2129</v>
      </c>
    </row>
    <row r="14" spans="1:25" x14ac:dyDescent="0.25">
      <c r="A14" s="91" t="s">
        <v>3</v>
      </c>
      <c r="B14" s="123">
        <v>68128</v>
      </c>
      <c r="C14" s="123">
        <v>68712</v>
      </c>
      <c r="D14" s="123">
        <v>81182</v>
      </c>
      <c r="E14" s="123">
        <v>95186</v>
      </c>
      <c r="F14" s="123">
        <v>105562</v>
      </c>
      <c r="G14" s="123">
        <v>111783</v>
      </c>
      <c r="H14" s="123">
        <v>126264</v>
      </c>
      <c r="I14" s="121">
        <v>128343</v>
      </c>
      <c r="J14" s="121">
        <v>124380</v>
      </c>
      <c r="K14" s="121">
        <v>123220</v>
      </c>
      <c r="L14" s="121">
        <v>119657</v>
      </c>
      <c r="M14" s="121">
        <v>121506</v>
      </c>
      <c r="N14" s="121">
        <v>121894</v>
      </c>
      <c r="O14" s="121">
        <v>109617</v>
      </c>
      <c r="P14" s="121">
        <v>120935</v>
      </c>
      <c r="Q14" s="121">
        <v>129801</v>
      </c>
      <c r="R14" s="121">
        <v>135710</v>
      </c>
      <c r="S14" s="121">
        <v>130410</v>
      </c>
      <c r="T14" s="121">
        <v>134647</v>
      </c>
      <c r="U14" s="149">
        <f t="shared" ref="U14:U16" si="5">(T14-K14)/K14</f>
        <v>9.2736568738841091E-2</v>
      </c>
      <c r="V14" s="149">
        <f t="shared" ref="V14:V16" si="6">(T14-P14)/P14</f>
        <v>0.11338322239219416</v>
      </c>
      <c r="W14" s="149">
        <f t="shared" ref="W14:W16" si="7">(T14-S14)/S14</f>
        <v>3.2489839736216546E-2</v>
      </c>
      <c r="X14" s="218">
        <f t="shared" ref="X14:X15" si="8">T14/T$16</f>
        <v>0.37126691280478896</v>
      </c>
      <c r="Y14" s="219">
        <f t="shared" ref="Y14:Y16" si="9">T14-S14</f>
        <v>4237</v>
      </c>
    </row>
    <row r="15" spans="1:25" x14ac:dyDescent="0.25">
      <c r="A15" s="91" t="s">
        <v>4</v>
      </c>
      <c r="B15" s="123">
        <v>131339</v>
      </c>
      <c r="C15" s="123">
        <v>137196</v>
      </c>
      <c r="D15" s="123">
        <v>147263</v>
      </c>
      <c r="E15" s="123">
        <v>156757</v>
      </c>
      <c r="F15" s="123">
        <v>158726</v>
      </c>
      <c r="G15" s="123">
        <v>158461</v>
      </c>
      <c r="H15" s="123">
        <v>152012</v>
      </c>
      <c r="I15" s="121">
        <v>147176</v>
      </c>
      <c r="J15" s="121">
        <v>149828</v>
      </c>
      <c r="K15" s="121">
        <v>155263</v>
      </c>
      <c r="L15" s="121">
        <v>155580</v>
      </c>
      <c r="M15" s="121">
        <v>154181</v>
      </c>
      <c r="N15" s="121">
        <v>147853</v>
      </c>
      <c r="O15" s="121">
        <v>137646</v>
      </c>
      <c r="P15" s="121">
        <v>135217</v>
      </c>
      <c r="Q15" s="121">
        <v>132582</v>
      </c>
      <c r="R15" s="121">
        <v>149635</v>
      </c>
      <c r="S15" s="121">
        <v>153502</v>
      </c>
      <c r="T15" s="121">
        <v>159122</v>
      </c>
      <c r="U15" s="149">
        <f t="shared" si="5"/>
        <v>2.4854601547052421E-2</v>
      </c>
      <c r="V15" s="149">
        <f t="shared" si="6"/>
        <v>0.17678990067816916</v>
      </c>
      <c r="W15" s="149">
        <f t="shared" si="7"/>
        <v>3.6611900822139123E-2</v>
      </c>
      <c r="X15" s="218">
        <f t="shared" si="8"/>
        <v>0.43875269184848997</v>
      </c>
      <c r="Y15" s="219">
        <f t="shared" si="9"/>
        <v>5620</v>
      </c>
    </row>
    <row r="16" spans="1:25" x14ac:dyDescent="0.25">
      <c r="A16" s="71" t="s">
        <v>0</v>
      </c>
      <c r="B16" s="89">
        <v>243379</v>
      </c>
      <c r="C16" s="89">
        <v>252964</v>
      </c>
      <c r="D16" s="89">
        <v>281647</v>
      </c>
      <c r="E16" s="89">
        <v>315058</v>
      </c>
      <c r="F16" s="89">
        <v>328323</v>
      </c>
      <c r="G16" s="89">
        <v>332828</v>
      </c>
      <c r="H16" s="89">
        <v>343000</v>
      </c>
      <c r="I16" s="90">
        <v>341460</v>
      </c>
      <c r="J16" s="90">
        <v>337759</v>
      </c>
      <c r="K16" s="90">
        <v>337906</v>
      </c>
      <c r="L16" s="90">
        <v>335271</v>
      </c>
      <c r="M16" s="90">
        <v>334890</v>
      </c>
      <c r="N16" s="90">
        <v>330653</v>
      </c>
      <c r="O16" s="90">
        <v>303422</v>
      </c>
      <c r="P16" s="90">
        <v>314451</v>
      </c>
      <c r="Q16" s="90">
        <v>318411</v>
      </c>
      <c r="R16" s="90">
        <v>345529</v>
      </c>
      <c r="S16" s="90">
        <v>350683</v>
      </c>
      <c r="T16" s="90">
        <v>362669</v>
      </c>
      <c r="U16" s="150">
        <f t="shared" si="5"/>
        <v>7.3283694281841699E-2</v>
      </c>
      <c r="V16" s="150">
        <f t="shared" si="6"/>
        <v>0.15334026605099046</v>
      </c>
      <c r="W16" s="150">
        <f t="shared" si="7"/>
        <v>3.4179016376613636E-2</v>
      </c>
      <c r="X16" s="220">
        <f>T16/T$16</f>
        <v>1</v>
      </c>
      <c r="Y16" s="221">
        <f t="shared" si="9"/>
        <v>11986</v>
      </c>
    </row>
    <row r="17" spans="1:25" x14ac:dyDescent="0.25">
      <c r="A17" s="34"/>
      <c r="B17" s="43"/>
      <c r="C17" s="43"/>
      <c r="D17" s="43"/>
      <c r="E17" s="43"/>
      <c r="F17" s="43"/>
      <c r="G17" s="43"/>
      <c r="H17" s="43"/>
      <c r="I17" s="43"/>
      <c r="J17" s="43"/>
      <c r="K17" s="43"/>
      <c r="L17" s="43"/>
      <c r="M17" s="43"/>
      <c r="N17" s="43"/>
      <c r="O17" s="43"/>
      <c r="P17" s="43"/>
      <c r="Q17" s="43"/>
      <c r="R17" s="43"/>
      <c r="S17" s="43"/>
      <c r="T17" s="43"/>
      <c r="U17" s="43"/>
      <c r="V17" s="43"/>
      <c r="W17" s="34"/>
      <c r="X17" s="34"/>
      <c r="Y17" s="34"/>
    </row>
    <row r="18" spans="1:25" ht="15.75" x14ac:dyDescent="0.25">
      <c r="A18" s="37" t="s">
        <v>267</v>
      </c>
      <c r="B18" s="27"/>
      <c r="C18" s="27"/>
      <c r="D18" s="27"/>
      <c r="E18" s="27"/>
      <c r="F18" s="27"/>
      <c r="G18" s="27"/>
      <c r="H18" s="27"/>
      <c r="I18" s="27"/>
      <c r="J18" s="27"/>
      <c r="K18" s="27"/>
      <c r="L18" s="27"/>
      <c r="M18" s="27"/>
      <c r="N18" s="27"/>
      <c r="O18" s="27"/>
      <c r="P18" s="27"/>
      <c r="Q18" s="27"/>
      <c r="R18" s="27"/>
      <c r="S18" s="27"/>
      <c r="T18" s="27"/>
      <c r="U18" s="27"/>
      <c r="V18" s="27"/>
      <c r="W18" s="27"/>
      <c r="X18" s="27"/>
      <c r="Y18" s="27"/>
    </row>
    <row r="19" spans="1:25" ht="25.5" x14ac:dyDescent="0.25">
      <c r="A19" s="104" t="s">
        <v>268</v>
      </c>
      <c r="B19" s="105">
        <v>2007</v>
      </c>
      <c r="C19" s="105">
        <v>2008</v>
      </c>
      <c r="D19" s="105">
        <v>2009</v>
      </c>
      <c r="E19" s="105">
        <v>2010</v>
      </c>
      <c r="F19" s="105">
        <v>2011</v>
      </c>
      <c r="G19" s="105">
        <v>2012</v>
      </c>
      <c r="H19" s="105">
        <v>2013</v>
      </c>
      <c r="I19" s="105">
        <v>2014</v>
      </c>
      <c r="J19" s="105">
        <v>2015</v>
      </c>
      <c r="K19" s="105">
        <v>2016</v>
      </c>
      <c r="L19" s="105">
        <v>2017</v>
      </c>
      <c r="M19" s="132">
        <v>2018</v>
      </c>
      <c r="N19" s="105">
        <v>2019</v>
      </c>
      <c r="O19" s="105">
        <v>2020</v>
      </c>
      <c r="P19" s="105">
        <v>2021</v>
      </c>
      <c r="Q19" s="105">
        <v>2022</v>
      </c>
      <c r="R19" s="105">
        <v>2023</v>
      </c>
      <c r="S19" s="105">
        <v>2024</v>
      </c>
      <c r="T19" s="105">
        <v>2025</v>
      </c>
      <c r="U19" s="106" t="s">
        <v>546</v>
      </c>
      <c r="V19" s="106" t="s">
        <v>547</v>
      </c>
      <c r="W19" s="106" t="s">
        <v>548</v>
      </c>
      <c r="X19" s="106" t="s">
        <v>549</v>
      </c>
      <c r="Y19" s="216" t="s">
        <v>563</v>
      </c>
    </row>
    <row r="20" spans="1:25" x14ac:dyDescent="0.25">
      <c r="A20" s="72" t="s">
        <v>490</v>
      </c>
      <c r="B20" s="95">
        <v>86838</v>
      </c>
      <c r="C20" s="95">
        <v>95891</v>
      </c>
      <c r="D20" s="95">
        <v>110007</v>
      </c>
      <c r="E20" s="95">
        <v>128566</v>
      </c>
      <c r="F20" s="95">
        <v>138574</v>
      </c>
      <c r="G20" s="95">
        <v>140031</v>
      </c>
      <c r="H20" s="95">
        <v>144365</v>
      </c>
      <c r="I20" s="95">
        <v>148010</v>
      </c>
      <c r="J20" s="95">
        <v>146540</v>
      </c>
      <c r="K20" s="95">
        <v>141711</v>
      </c>
      <c r="L20" s="95">
        <v>136777</v>
      </c>
      <c r="M20" s="121">
        <v>136519</v>
      </c>
      <c r="N20" s="95">
        <v>136845</v>
      </c>
      <c r="O20" s="95">
        <v>127179</v>
      </c>
      <c r="P20" s="95">
        <v>127523</v>
      </c>
      <c r="Q20" s="95">
        <v>123312</v>
      </c>
      <c r="R20" s="95">
        <v>125296</v>
      </c>
      <c r="S20" s="95">
        <v>130258</v>
      </c>
      <c r="T20" s="95">
        <v>133963</v>
      </c>
      <c r="U20" s="149">
        <f>(T20-K20)/K20</f>
        <v>-5.4674654755100166E-2</v>
      </c>
      <c r="V20" s="149">
        <f t="shared" ref="V20:V27" si="10">(T20-P20)/P20</f>
        <v>5.0500693992456262E-2</v>
      </c>
      <c r="W20" s="149">
        <f t="shared" ref="W20:W27" si="11">(T20-S20)/S20</f>
        <v>2.8443550492100293E-2</v>
      </c>
      <c r="X20" s="218">
        <f t="shared" ref="X20:X27" si="12">T20/T$9</f>
        <v>0.10092560783037403</v>
      </c>
      <c r="Y20" s="219">
        <f t="shared" ref="Y20:Y27" si="13">T20-S20</f>
        <v>3705</v>
      </c>
    </row>
    <row r="21" spans="1:25" x14ac:dyDescent="0.25">
      <c r="A21" s="72" t="s">
        <v>356</v>
      </c>
      <c r="B21" s="95">
        <v>0</v>
      </c>
      <c r="C21" s="95">
        <v>0</v>
      </c>
      <c r="D21" s="95">
        <v>0</v>
      </c>
      <c r="E21" s="95">
        <v>0</v>
      </c>
      <c r="F21" s="95">
        <v>0</v>
      </c>
      <c r="G21" s="95">
        <v>0</v>
      </c>
      <c r="H21" s="95">
        <v>0</v>
      </c>
      <c r="I21" s="95">
        <v>0</v>
      </c>
      <c r="J21" s="95">
        <v>0</v>
      </c>
      <c r="K21" s="95">
        <v>0</v>
      </c>
      <c r="L21" s="95">
        <v>0</v>
      </c>
      <c r="M21" s="121">
        <v>209</v>
      </c>
      <c r="N21" s="95">
        <v>1074</v>
      </c>
      <c r="O21" s="95">
        <v>3159</v>
      </c>
      <c r="P21" s="95">
        <v>6940</v>
      </c>
      <c r="Q21" s="95">
        <v>8435</v>
      </c>
      <c r="R21" s="95">
        <v>11447</v>
      </c>
      <c r="S21" s="95">
        <v>15041</v>
      </c>
      <c r="T21" s="95">
        <v>18476</v>
      </c>
      <c r="U21" s="149" t="s">
        <v>130</v>
      </c>
      <c r="V21" s="149">
        <f t="shared" si="10"/>
        <v>1.6622478386167148</v>
      </c>
      <c r="W21" s="149">
        <f t="shared" si="11"/>
        <v>0.22837577288744099</v>
      </c>
      <c r="X21" s="218">
        <f t="shared" si="12"/>
        <v>1.391952651309683E-2</v>
      </c>
      <c r="Y21" s="219">
        <f t="shared" si="13"/>
        <v>3435</v>
      </c>
    </row>
    <row r="22" spans="1:25" x14ac:dyDescent="0.25">
      <c r="A22" s="72" t="s">
        <v>3</v>
      </c>
      <c r="B22" s="95">
        <v>156124</v>
      </c>
      <c r="C22" s="95">
        <v>162848</v>
      </c>
      <c r="D22" s="95">
        <v>189597</v>
      </c>
      <c r="E22" s="95">
        <v>224301</v>
      </c>
      <c r="F22" s="95">
        <v>260692</v>
      </c>
      <c r="G22" s="95">
        <v>293519</v>
      </c>
      <c r="H22" s="95">
        <v>324579</v>
      </c>
      <c r="I22" s="95">
        <v>351004</v>
      </c>
      <c r="J22" s="95">
        <v>373171</v>
      </c>
      <c r="K22" s="95">
        <v>380988</v>
      </c>
      <c r="L22" s="95">
        <v>374709</v>
      </c>
      <c r="M22" s="121">
        <v>373104</v>
      </c>
      <c r="N22" s="95">
        <v>379456</v>
      </c>
      <c r="O22" s="95">
        <v>361387</v>
      </c>
      <c r="P22" s="95">
        <v>378538</v>
      </c>
      <c r="Q22" s="95">
        <v>396829</v>
      </c>
      <c r="R22" s="95">
        <v>419014</v>
      </c>
      <c r="S22" s="95">
        <v>426272</v>
      </c>
      <c r="T22" s="95">
        <v>442924</v>
      </c>
      <c r="U22" s="149">
        <f t="shared" ref="U22:U27" si="14">(T22-K22)/K22</f>
        <v>0.1625668000041996</v>
      </c>
      <c r="V22" s="149">
        <f t="shared" si="10"/>
        <v>0.17009124579302473</v>
      </c>
      <c r="W22" s="149">
        <f t="shared" si="11"/>
        <v>3.9064259439981985E-2</v>
      </c>
      <c r="X22" s="218">
        <f t="shared" si="12"/>
        <v>0.33369194421340664</v>
      </c>
      <c r="Y22" s="219">
        <f t="shared" si="13"/>
        <v>16652</v>
      </c>
    </row>
    <row r="23" spans="1:25" x14ac:dyDescent="0.25">
      <c r="A23" s="72" t="s">
        <v>282</v>
      </c>
      <c r="B23" s="95">
        <v>164654</v>
      </c>
      <c r="C23" s="95">
        <v>163487</v>
      </c>
      <c r="D23" s="95">
        <v>163656</v>
      </c>
      <c r="E23" s="95">
        <v>162284</v>
      </c>
      <c r="F23" s="95">
        <v>159643</v>
      </c>
      <c r="G23" s="95">
        <v>158192</v>
      </c>
      <c r="H23" s="95">
        <v>166232</v>
      </c>
      <c r="I23" s="95">
        <v>169614</v>
      </c>
      <c r="J23" s="95">
        <v>171384</v>
      </c>
      <c r="K23" s="95">
        <v>174242</v>
      </c>
      <c r="L23" s="95">
        <v>177931</v>
      </c>
      <c r="M23" s="121">
        <v>185531</v>
      </c>
      <c r="N23" s="95">
        <v>185927</v>
      </c>
      <c r="O23" s="95">
        <v>180322</v>
      </c>
      <c r="P23" s="95">
        <v>192961</v>
      </c>
      <c r="Q23" s="95">
        <v>188735</v>
      </c>
      <c r="R23" s="95">
        <v>190115</v>
      </c>
      <c r="S23" s="95">
        <v>190968</v>
      </c>
      <c r="T23" s="95">
        <v>196224</v>
      </c>
      <c r="U23" s="149">
        <f t="shared" si="14"/>
        <v>0.12615787238438494</v>
      </c>
      <c r="V23" s="149">
        <f t="shared" si="10"/>
        <v>1.6910152828809966E-2</v>
      </c>
      <c r="W23" s="149">
        <f t="shared" si="11"/>
        <v>2.7522935779816515E-2</v>
      </c>
      <c r="X23" s="218">
        <f t="shared" si="12"/>
        <v>0.14783206162080065</v>
      </c>
      <c r="Y23" s="219">
        <f t="shared" si="13"/>
        <v>5256</v>
      </c>
    </row>
    <row r="24" spans="1:25" x14ac:dyDescent="0.25">
      <c r="A24" s="72" t="s">
        <v>283</v>
      </c>
      <c r="B24" s="95">
        <v>101031</v>
      </c>
      <c r="C24" s="95">
        <v>107609</v>
      </c>
      <c r="D24" s="95">
        <v>113271</v>
      </c>
      <c r="E24" s="95">
        <v>119524</v>
      </c>
      <c r="F24" s="95">
        <v>123054</v>
      </c>
      <c r="G24" s="95">
        <v>124799</v>
      </c>
      <c r="H24" s="95">
        <v>129501</v>
      </c>
      <c r="I24" s="95">
        <v>131781</v>
      </c>
      <c r="J24" s="95">
        <v>133564</v>
      </c>
      <c r="K24" s="95">
        <v>138613</v>
      </c>
      <c r="L24" s="95">
        <v>141039</v>
      </c>
      <c r="M24" s="121">
        <v>144461</v>
      </c>
      <c r="N24" s="95">
        <v>172393</v>
      </c>
      <c r="O24" s="95">
        <v>185450</v>
      </c>
      <c r="P24" s="95">
        <v>193168</v>
      </c>
      <c r="Q24" s="95">
        <v>193323</v>
      </c>
      <c r="R24" s="95">
        <v>195109</v>
      </c>
      <c r="S24" s="95">
        <v>198233</v>
      </c>
      <c r="T24" s="95">
        <v>203382</v>
      </c>
      <c r="U24" s="149">
        <f t="shared" si="14"/>
        <v>0.46726497514663129</v>
      </c>
      <c r="V24" s="149">
        <f t="shared" si="10"/>
        <v>5.2876252795494079E-2</v>
      </c>
      <c r="W24" s="149">
        <f t="shared" si="11"/>
        <v>2.5974484571186431E-2</v>
      </c>
      <c r="X24" s="218">
        <f t="shared" si="12"/>
        <v>0.15322478573753301</v>
      </c>
      <c r="Y24" s="219">
        <f t="shared" si="13"/>
        <v>5149</v>
      </c>
    </row>
    <row r="25" spans="1:25" x14ac:dyDescent="0.25">
      <c r="A25" s="72" t="s">
        <v>247</v>
      </c>
      <c r="B25" s="95">
        <v>239697</v>
      </c>
      <c r="C25" s="95">
        <v>253514</v>
      </c>
      <c r="D25" s="95">
        <v>272809</v>
      </c>
      <c r="E25" s="95">
        <v>303583</v>
      </c>
      <c r="F25" s="95">
        <v>333114</v>
      </c>
      <c r="G25" s="95">
        <v>348275</v>
      </c>
      <c r="H25" s="95">
        <v>349600</v>
      </c>
      <c r="I25" s="95">
        <v>343972</v>
      </c>
      <c r="J25" s="95">
        <v>341247</v>
      </c>
      <c r="K25" s="95">
        <v>342926</v>
      </c>
      <c r="L25" s="95">
        <v>346836</v>
      </c>
      <c r="M25" s="121">
        <v>348221</v>
      </c>
      <c r="N25" s="95">
        <v>316615</v>
      </c>
      <c r="O25" s="95">
        <v>292002</v>
      </c>
      <c r="P25" s="95">
        <v>303652</v>
      </c>
      <c r="Q25" s="95">
        <v>302483</v>
      </c>
      <c r="R25" s="95">
        <v>308112</v>
      </c>
      <c r="S25" s="95">
        <v>316780</v>
      </c>
      <c r="T25" s="95">
        <v>332349</v>
      </c>
      <c r="U25" s="149">
        <f t="shared" si="14"/>
        <v>-3.0843388952718664E-2</v>
      </c>
      <c r="V25" s="149">
        <f t="shared" si="10"/>
        <v>9.4506211057394651E-2</v>
      </c>
      <c r="W25" s="149">
        <f t="shared" si="11"/>
        <v>4.9147673464233856E-2</v>
      </c>
      <c r="X25" s="218">
        <f t="shared" si="12"/>
        <v>0.25038648609554115</v>
      </c>
      <c r="Y25" s="219">
        <f t="shared" si="13"/>
        <v>15569</v>
      </c>
    </row>
    <row r="26" spans="1:25" x14ac:dyDescent="0.25">
      <c r="A26" s="72" t="s">
        <v>329</v>
      </c>
      <c r="B26" s="95">
        <v>0</v>
      </c>
      <c r="C26" s="95">
        <v>0</v>
      </c>
      <c r="D26" s="95">
        <v>0</v>
      </c>
      <c r="E26" s="95">
        <v>0</v>
      </c>
      <c r="F26" s="95">
        <v>0</v>
      </c>
      <c r="G26" s="95">
        <v>0</v>
      </c>
      <c r="H26" s="95">
        <v>0</v>
      </c>
      <c r="I26" s="95">
        <v>0</v>
      </c>
      <c r="J26" s="95">
        <v>0</v>
      </c>
      <c r="K26" s="95">
        <v>0</v>
      </c>
      <c r="L26" s="95">
        <v>0</v>
      </c>
      <c r="M26" s="121">
        <v>0</v>
      </c>
      <c r="N26" s="95">
        <v>2149</v>
      </c>
      <c r="O26" s="95">
        <v>2335</v>
      </c>
      <c r="P26" s="95">
        <v>1594</v>
      </c>
      <c r="Q26" s="95">
        <v>894</v>
      </c>
      <c r="R26" s="95">
        <v>326</v>
      </c>
      <c r="S26" s="95">
        <v>59</v>
      </c>
      <c r="T26" s="95">
        <v>26</v>
      </c>
      <c r="U26" s="149" t="s">
        <v>130</v>
      </c>
      <c r="V26" s="149">
        <f t="shared" si="10"/>
        <v>-0.98368883312421584</v>
      </c>
      <c r="W26" s="149">
        <f t="shared" si="11"/>
        <v>-0.55932203389830504</v>
      </c>
      <c r="X26" s="218">
        <f t="shared" si="12"/>
        <v>1.958798924770067E-5</v>
      </c>
      <c r="Y26" s="219">
        <f t="shared" si="13"/>
        <v>-33</v>
      </c>
    </row>
    <row r="27" spans="1:25" s="42" customFormat="1" x14ac:dyDescent="0.25">
      <c r="A27" s="73" t="s">
        <v>0</v>
      </c>
      <c r="B27" s="21">
        <v>748344</v>
      </c>
      <c r="C27" s="21">
        <v>783349</v>
      </c>
      <c r="D27" s="21">
        <v>849340</v>
      </c>
      <c r="E27" s="21">
        <v>938258</v>
      </c>
      <c r="F27" s="21">
        <v>1015077</v>
      </c>
      <c r="G27" s="21">
        <v>1064816</v>
      </c>
      <c r="H27" s="21">
        <v>1114277</v>
      </c>
      <c r="I27" s="21">
        <v>1144381</v>
      </c>
      <c r="J27" s="21">
        <v>1165906</v>
      </c>
      <c r="K27" s="21">
        <v>1178480</v>
      </c>
      <c r="L27" s="21">
        <v>1177292</v>
      </c>
      <c r="M27" s="90">
        <v>1188045</v>
      </c>
      <c r="N27" s="21">
        <v>1194459</v>
      </c>
      <c r="O27" s="21">
        <v>1151834</v>
      </c>
      <c r="P27" s="21">
        <v>1204376</v>
      </c>
      <c r="Q27" s="21">
        <v>1214011</v>
      </c>
      <c r="R27" s="21">
        <v>1249419</v>
      </c>
      <c r="S27" s="21">
        <v>1277611</v>
      </c>
      <c r="T27" s="21">
        <v>1327344</v>
      </c>
      <c r="U27" s="150">
        <f t="shared" si="14"/>
        <v>0.1263186477496436</v>
      </c>
      <c r="V27" s="150">
        <f t="shared" si="10"/>
        <v>0.10210100500176025</v>
      </c>
      <c r="W27" s="150">
        <f t="shared" si="11"/>
        <v>3.8926559023051616E-2</v>
      </c>
      <c r="X27" s="220">
        <f t="shared" si="12"/>
        <v>1</v>
      </c>
      <c r="Y27" s="221">
        <f t="shared" si="13"/>
        <v>49733</v>
      </c>
    </row>
    <row r="28" spans="1:25" x14ac:dyDescent="0.25">
      <c r="A28" s="114" t="s">
        <v>312</v>
      </c>
      <c r="B28" s="3"/>
      <c r="C28" s="3"/>
      <c r="D28" s="3"/>
      <c r="E28" s="3"/>
      <c r="F28" s="3"/>
      <c r="G28" s="3"/>
      <c r="H28" s="3"/>
      <c r="I28" s="38"/>
      <c r="J28" s="38"/>
      <c r="K28" s="38"/>
      <c r="L28" s="38"/>
      <c r="M28" s="38"/>
      <c r="N28" s="38"/>
      <c r="O28" s="38"/>
      <c r="P28" s="38"/>
      <c r="Q28" s="38"/>
      <c r="R28" s="38"/>
      <c r="S28" s="38"/>
      <c r="T28" s="38"/>
      <c r="U28" s="31"/>
      <c r="V28" s="31"/>
      <c r="W28" s="31"/>
      <c r="X28" s="31"/>
      <c r="Y28" s="31"/>
    </row>
    <row r="29" spans="1:25" x14ac:dyDescent="0.25">
      <c r="A29" s="114" t="s">
        <v>687</v>
      </c>
      <c r="B29" s="96"/>
      <c r="C29" s="96"/>
      <c r="D29" s="96"/>
      <c r="E29" s="96"/>
      <c r="F29" s="96"/>
      <c r="G29" s="96"/>
      <c r="H29" s="96"/>
      <c r="I29" s="96"/>
      <c r="J29" s="96"/>
      <c r="K29" s="96"/>
      <c r="L29" s="96"/>
      <c r="M29" s="208"/>
      <c r="N29" s="96"/>
      <c r="O29" s="96"/>
      <c r="P29" s="96"/>
      <c r="Q29" s="96"/>
      <c r="R29" s="96"/>
      <c r="S29" s="96"/>
      <c r="T29" s="96"/>
      <c r="U29" s="96"/>
      <c r="V29" s="96"/>
      <c r="W29" s="96"/>
      <c r="X29" s="96"/>
      <c r="Y29" s="96"/>
    </row>
    <row r="30" spans="1:25" x14ac:dyDescent="0.25">
      <c r="A30" s="114"/>
      <c r="B30" s="96"/>
      <c r="C30" s="96"/>
      <c r="D30" s="96"/>
      <c r="E30" s="96"/>
      <c r="F30" s="96"/>
      <c r="G30" s="96"/>
      <c r="H30" s="96"/>
      <c r="I30" s="96"/>
      <c r="J30" s="96"/>
      <c r="K30" s="96"/>
      <c r="L30" s="96"/>
      <c r="M30" s="208"/>
      <c r="N30" s="96"/>
      <c r="O30" s="96"/>
      <c r="P30" s="96"/>
      <c r="Q30" s="96"/>
      <c r="R30" s="96"/>
      <c r="S30" s="96"/>
      <c r="T30" s="96"/>
      <c r="U30" s="96"/>
      <c r="V30" s="96"/>
      <c r="W30" s="96"/>
      <c r="X30" s="96"/>
      <c r="Y30" s="96"/>
    </row>
    <row r="31" spans="1:25" ht="18" x14ac:dyDescent="0.25">
      <c r="A31" s="37" t="s">
        <v>446</v>
      </c>
      <c r="B31" s="37"/>
      <c r="C31" s="37"/>
      <c r="D31" s="37"/>
      <c r="E31" s="37"/>
      <c r="F31" s="37"/>
      <c r="G31" s="37"/>
      <c r="H31" s="37"/>
      <c r="I31" s="3"/>
      <c r="J31" s="3"/>
      <c r="K31" s="3"/>
      <c r="L31" s="3"/>
      <c r="N31" s="3"/>
      <c r="O31" s="3"/>
      <c r="P31" s="3"/>
      <c r="Q31" s="3"/>
      <c r="R31" s="3"/>
      <c r="S31" s="3"/>
      <c r="T31" s="3"/>
      <c r="U31" s="27"/>
      <c r="V31" s="27"/>
      <c r="W31" s="27"/>
      <c r="X31" s="27"/>
      <c r="Y31" s="27"/>
    </row>
    <row r="32" spans="1:25" ht="44.1" customHeight="1" x14ac:dyDescent="0.25">
      <c r="A32" s="104" t="s">
        <v>268</v>
      </c>
      <c r="B32" s="105">
        <v>2007</v>
      </c>
      <c r="C32" s="105">
        <v>2008</v>
      </c>
      <c r="D32" s="105">
        <v>2009</v>
      </c>
      <c r="E32" s="105">
        <v>2010</v>
      </c>
      <c r="F32" s="105">
        <v>2011</v>
      </c>
      <c r="G32" s="105">
        <v>2012</v>
      </c>
      <c r="H32" s="105">
        <v>2013</v>
      </c>
      <c r="I32" s="105">
        <v>2014</v>
      </c>
      <c r="J32" s="105">
        <v>2015</v>
      </c>
      <c r="K32" s="105">
        <v>2016</v>
      </c>
      <c r="L32" s="105">
        <v>2017</v>
      </c>
      <c r="M32" s="132">
        <v>2018</v>
      </c>
      <c r="N32" s="105">
        <v>2019</v>
      </c>
      <c r="O32" s="105">
        <v>2020</v>
      </c>
      <c r="P32" s="105">
        <v>2021</v>
      </c>
      <c r="Q32" s="105">
        <v>2022</v>
      </c>
      <c r="R32" s="105">
        <v>2023</v>
      </c>
      <c r="S32" s="105">
        <v>2024</v>
      </c>
      <c r="T32" s="105">
        <v>2025</v>
      </c>
      <c r="U32" s="106" t="s">
        <v>546</v>
      </c>
      <c r="V32" s="106" t="s">
        <v>547</v>
      </c>
      <c r="W32" s="106" t="s">
        <v>548</v>
      </c>
      <c r="X32" s="106" t="s">
        <v>549</v>
      </c>
      <c r="Y32" s="216" t="s">
        <v>563</v>
      </c>
    </row>
    <row r="33" spans="1:25" x14ac:dyDescent="0.25">
      <c r="A33" s="72" t="s">
        <v>490</v>
      </c>
      <c r="B33" s="95">
        <v>43912</v>
      </c>
      <c r="C33" s="95">
        <v>47056</v>
      </c>
      <c r="D33" s="95">
        <v>53202</v>
      </c>
      <c r="E33" s="95">
        <v>63115</v>
      </c>
      <c r="F33" s="95">
        <v>64035</v>
      </c>
      <c r="G33" s="95">
        <v>62584</v>
      </c>
      <c r="H33" s="95">
        <v>64724</v>
      </c>
      <c r="I33" s="95">
        <v>65941</v>
      </c>
      <c r="J33" s="95">
        <v>63551</v>
      </c>
      <c r="K33" s="95">
        <v>59423</v>
      </c>
      <c r="L33" s="95">
        <v>60034</v>
      </c>
      <c r="M33" s="121">
        <v>58994</v>
      </c>
      <c r="N33" s="95">
        <v>59994</v>
      </c>
      <c r="O33" s="95">
        <v>53837</v>
      </c>
      <c r="P33" s="95">
        <v>55016</v>
      </c>
      <c r="Q33" s="95">
        <v>51777</v>
      </c>
      <c r="R33" s="95">
        <v>53765</v>
      </c>
      <c r="S33" s="95">
        <v>58917</v>
      </c>
      <c r="T33" s="95">
        <v>59875</v>
      </c>
      <c r="U33" s="149">
        <f t="shared" ref="U33:U39" si="15">(T33-K33)/K33</f>
        <v>7.6064823384884642E-3</v>
      </c>
      <c r="V33" s="149">
        <f t="shared" ref="V33:V39" si="16">(T33-P33)/P33</f>
        <v>8.831976152392032E-2</v>
      </c>
      <c r="W33" s="149">
        <f t="shared" ref="W33:W39" si="17">(T33-S33)/S33</f>
        <v>1.6260162601626018E-2</v>
      </c>
      <c r="X33" s="218">
        <f>T33/T$16</f>
        <v>0.16509544515798152</v>
      </c>
      <c r="Y33" s="219">
        <f t="shared" ref="Y33:Y39" si="18">T33-S33</f>
        <v>958</v>
      </c>
    </row>
    <row r="34" spans="1:25" x14ac:dyDescent="0.25">
      <c r="A34" s="72" t="s">
        <v>356</v>
      </c>
      <c r="B34" s="95">
        <v>0</v>
      </c>
      <c r="C34" s="95">
        <v>0</v>
      </c>
      <c r="D34" s="95">
        <v>0</v>
      </c>
      <c r="E34" s="95">
        <v>0</v>
      </c>
      <c r="F34" s="95">
        <v>0</v>
      </c>
      <c r="G34" s="95">
        <v>0</v>
      </c>
      <c r="H34" s="95">
        <v>0</v>
      </c>
      <c r="I34" s="95">
        <v>0</v>
      </c>
      <c r="J34" s="95">
        <v>0</v>
      </c>
      <c r="K34" s="95">
        <v>0</v>
      </c>
      <c r="L34" s="95">
        <v>0</v>
      </c>
      <c r="M34" s="121">
        <v>209</v>
      </c>
      <c r="N34" s="95">
        <v>912</v>
      </c>
      <c r="O34" s="95">
        <v>2322</v>
      </c>
      <c r="P34" s="95">
        <v>3283</v>
      </c>
      <c r="Q34" s="95">
        <v>4251</v>
      </c>
      <c r="R34" s="95">
        <v>6419</v>
      </c>
      <c r="S34" s="95">
        <v>7854</v>
      </c>
      <c r="T34" s="95">
        <v>9025</v>
      </c>
      <c r="U34" s="149" t="s">
        <v>130</v>
      </c>
      <c r="V34" s="149">
        <f t="shared" si="16"/>
        <v>1.7490100517819067</v>
      </c>
      <c r="W34" s="149">
        <f t="shared" si="17"/>
        <v>0.14909600203717852</v>
      </c>
      <c r="X34" s="218">
        <f t="shared" ref="X34:X39" si="19">T34/T$16</f>
        <v>2.4884950188739593E-2</v>
      </c>
      <c r="Y34" s="219">
        <f t="shared" si="18"/>
        <v>1171</v>
      </c>
    </row>
    <row r="35" spans="1:25" x14ac:dyDescent="0.25">
      <c r="A35" s="72" t="s">
        <v>3</v>
      </c>
      <c r="B35" s="95">
        <v>68128</v>
      </c>
      <c r="C35" s="95">
        <v>68712</v>
      </c>
      <c r="D35" s="95">
        <v>81182</v>
      </c>
      <c r="E35" s="95">
        <v>95186</v>
      </c>
      <c r="F35" s="95">
        <v>105562</v>
      </c>
      <c r="G35" s="95">
        <v>111783</v>
      </c>
      <c r="H35" s="95">
        <v>126264</v>
      </c>
      <c r="I35" s="95">
        <v>128343</v>
      </c>
      <c r="J35" s="95">
        <v>124380</v>
      </c>
      <c r="K35" s="95">
        <v>123220</v>
      </c>
      <c r="L35" s="95">
        <v>119657</v>
      </c>
      <c r="M35" s="121">
        <v>121506</v>
      </c>
      <c r="N35" s="95">
        <v>121894</v>
      </c>
      <c r="O35" s="95">
        <v>109617</v>
      </c>
      <c r="P35" s="121">
        <v>120935</v>
      </c>
      <c r="Q35" s="121">
        <v>129801</v>
      </c>
      <c r="R35" s="121">
        <v>135710</v>
      </c>
      <c r="S35" s="121">
        <v>130410</v>
      </c>
      <c r="T35" s="121">
        <v>134647</v>
      </c>
      <c r="U35" s="149">
        <f t="shared" si="15"/>
        <v>9.2736568738841091E-2</v>
      </c>
      <c r="V35" s="149">
        <f t="shared" si="16"/>
        <v>0.11338322239219416</v>
      </c>
      <c r="W35" s="149">
        <f t="shared" si="17"/>
        <v>3.2489839736216546E-2</v>
      </c>
      <c r="X35" s="218">
        <f t="shared" si="19"/>
        <v>0.37126691280478896</v>
      </c>
      <c r="Y35" s="219">
        <f t="shared" si="18"/>
        <v>4237</v>
      </c>
    </row>
    <row r="36" spans="1:25" x14ac:dyDescent="0.25">
      <c r="A36" s="72" t="s">
        <v>282</v>
      </c>
      <c r="B36" s="95">
        <v>37341</v>
      </c>
      <c r="C36" s="95">
        <v>36855</v>
      </c>
      <c r="D36" s="95">
        <v>37340</v>
      </c>
      <c r="E36" s="95">
        <v>37772</v>
      </c>
      <c r="F36" s="95">
        <v>37415</v>
      </c>
      <c r="G36" s="95">
        <v>36406</v>
      </c>
      <c r="H36" s="95">
        <v>38904</v>
      </c>
      <c r="I36" s="95">
        <v>39600</v>
      </c>
      <c r="J36" s="95">
        <v>41539</v>
      </c>
      <c r="K36" s="95">
        <v>42194</v>
      </c>
      <c r="L36" s="95">
        <v>42337</v>
      </c>
      <c r="M36" s="121">
        <v>43131</v>
      </c>
      <c r="N36" s="95">
        <v>42533</v>
      </c>
      <c r="O36" s="95">
        <v>39795</v>
      </c>
      <c r="P36" s="95">
        <v>37438</v>
      </c>
      <c r="Q36" s="95">
        <v>36499</v>
      </c>
      <c r="R36" s="95">
        <v>41544</v>
      </c>
      <c r="S36" s="95">
        <v>42273</v>
      </c>
      <c r="T36" s="95">
        <v>46265</v>
      </c>
      <c r="U36" s="149">
        <f t="shared" si="15"/>
        <v>9.6482912262406975E-2</v>
      </c>
      <c r="V36" s="149">
        <f t="shared" si="16"/>
        <v>0.23577648378652705</v>
      </c>
      <c r="W36" s="149">
        <f t="shared" si="17"/>
        <v>9.4433799351832146E-2</v>
      </c>
      <c r="X36" s="218">
        <f t="shared" si="19"/>
        <v>0.12756811307280191</v>
      </c>
      <c r="Y36" s="219">
        <f t="shared" si="18"/>
        <v>3992</v>
      </c>
    </row>
    <row r="37" spans="1:25" x14ac:dyDescent="0.25">
      <c r="A37" s="72" t="s">
        <v>283</v>
      </c>
      <c r="B37" s="95">
        <v>23990</v>
      </c>
      <c r="C37" s="95">
        <v>24973</v>
      </c>
      <c r="D37" s="95">
        <v>26455</v>
      </c>
      <c r="E37" s="95">
        <v>27839</v>
      </c>
      <c r="F37" s="95">
        <v>27523</v>
      </c>
      <c r="G37" s="95">
        <v>28942</v>
      </c>
      <c r="H37" s="95">
        <v>29973</v>
      </c>
      <c r="I37" s="95">
        <v>29781</v>
      </c>
      <c r="J37" s="95">
        <v>30938</v>
      </c>
      <c r="K37" s="95">
        <v>32129</v>
      </c>
      <c r="L37" s="95">
        <v>31964</v>
      </c>
      <c r="M37" s="121">
        <v>33199</v>
      </c>
      <c r="N37" s="95">
        <v>38906</v>
      </c>
      <c r="O37" s="95">
        <v>40183</v>
      </c>
      <c r="P37" s="95">
        <v>37522</v>
      </c>
      <c r="Q37" s="95">
        <v>38291</v>
      </c>
      <c r="R37" s="95">
        <v>41639</v>
      </c>
      <c r="S37" s="95">
        <v>43821</v>
      </c>
      <c r="T37" s="95">
        <v>45141</v>
      </c>
      <c r="U37" s="149">
        <f t="shared" si="15"/>
        <v>0.40499237449033582</v>
      </c>
      <c r="V37" s="149">
        <f t="shared" si="16"/>
        <v>0.20305420819785724</v>
      </c>
      <c r="W37" s="149">
        <f t="shared" si="17"/>
        <v>3.0122543985760253E-2</v>
      </c>
      <c r="X37" s="218">
        <f t="shared" si="19"/>
        <v>0.12446886830691346</v>
      </c>
      <c r="Y37" s="219">
        <f t="shared" si="18"/>
        <v>1320</v>
      </c>
    </row>
    <row r="38" spans="1:25" x14ac:dyDescent="0.25">
      <c r="A38" s="72" t="s">
        <v>247</v>
      </c>
      <c r="B38" s="95">
        <v>70008</v>
      </c>
      <c r="C38" s="95">
        <v>75368</v>
      </c>
      <c r="D38" s="95">
        <v>83468</v>
      </c>
      <c r="E38" s="95">
        <v>91146</v>
      </c>
      <c r="F38" s="95">
        <v>93788</v>
      </c>
      <c r="G38" s="95">
        <v>93113</v>
      </c>
      <c r="H38" s="95">
        <v>83135</v>
      </c>
      <c r="I38" s="95">
        <v>77795</v>
      </c>
      <c r="J38" s="95">
        <v>77351</v>
      </c>
      <c r="K38" s="95">
        <v>80940</v>
      </c>
      <c r="L38" s="95">
        <v>81279</v>
      </c>
      <c r="M38" s="121">
        <v>77851</v>
      </c>
      <c r="N38" s="95">
        <v>66414</v>
      </c>
      <c r="O38" s="95">
        <v>57668</v>
      </c>
      <c r="P38" s="95">
        <v>60257</v>
      </c>
      <c r="Q38" s="95">
        <v>57792</v>
      </c>
      <c r="R38" s="95">
        <v>66452</v>
      </c>
      <c r="S38" s="95">
        <v>67408</v>
      </c>
      <c r="T38" s="95">
        <v>67716</v>
      </c>
      <c r="U38" s="149">
        <f t="shared" si="15"/>
        <v>-0.16338028169014085</v>
      </c>
      <c r="V38" s="149">
        <f t="shared" si="16"/>
        <v>0.12378644804752975</v>
      </c>
      <c r="W38" s="149">
        <f t="shared" si="17"/>
        <v>4.5691906005221935E-3</v>
      </c>
      <c r="X38" s="218">
        <f t="shared" si="19"/>
        <v>0.18671571046877455</v>
      </c>
      <c r="Y38" s="219">
        <f t="shared" si="18"/>
        <v>308</v>
      </c>
    </row>
    <row r="39" spans="1:25" s="85" customFormat="1" ht="15" customHeight="1" x14ac:dyDescent="0.25">
      <c r="A39" s="73" t="s">
        <v>0</v>
      </c>
      <c r="B39" s="21">
        <v>243379</v>
      </c>
      <c r="C39" s="21">
        <v>252964</v>
      </c>
      <c r="D39" s="21">
        <v>281647</v>
      </c>
      <c r="E39" s="21">
        <v>315058</v>
      </c>
      <c r="F39" s="21">
        <v>328323</v>
      </c>
      <c r="G39" s="21">
        <v>332828</v>
      </c>
      <c r="H39" s="21">
        <v>343000</v>
      </c>
      <c r="I39" s="21">
        <v>341460</v>
      </c>
      <c r="J39" s="21">
        <v>337759</v>
      </c>
      <c r="K39" s="21">
        <v>337906</v>
      </c>
      <c r="L39" s="21">
        <v>335271</v>
      </c>
      <c r="M39" s="90">
        <v>334890</v>
      </c>
      <c r="N39" s="21">
        <v>330653</v>
      </c>
      <c r="O39" s="21">
        <v>303422</v>
      </c>
      <c r="P39" s="21">
        <v>314451</v>
      </c>
      <c r="Q39" s="108">
        <v>318411</v>
      </c>
      <c r="R39" s="108">
        <v>345529</v>
      </c>
      <c r="S39" s="108">
        <v>350683</v>
      </c>
      <c r="T39" s="108">
        <v>362669</v>
      </c>
      <c r="U39" s="150">
        <f t="shared" si="15"/>
        <v>7.3283694281841699E-2</v>
      </c>
      <c r="V39" s="150">
        <f t="shared" si="16"/>
        <v>0.15334026605099046</v>
      </c>
      <c r="W39" s="150">
        <f t="shared" si="17"/>
        <v>3.4179016376613636E-2</v>
      </c>
      <c r="X39" s="220">
        <f t="shared" si="19"/>
        <v>1</v>
      </c>
      <c r="Y39" s="221">
        <f t="shared" si="18"/>
        <v>11986</v>
      </c>
    </row>
    <row r="40" spans="1:25" x14ac:dyDescent="0.25">
      <c r="A40" s="114" t="s">
        <v>312</v>
      </c>
      <c r="U40" s="27"/>
      <c r="V40" s="27"/>
      <c r="W40" s="27"/>
      <c r="X40" s="27"/>
      <c r="Y40" s="27"/>
    </row>
    <row r="41" spans="1:25" x14ac:dyDescent="0.25">
      <c r="A41" s="114"/>
      <c r="U41" s="27"/>
      <c r="V41" s="27"/>
      <c r="W41" s="27"/>
      <c r="X41" s="27"/>
      <c r="Y41" s="27"/>
    </row>
    <row r="42" spans="1:25" ht="15.75" x14ac:dyDescent="0.25">
      <c r="A42" s="22" t="s">
        <v>609</v>
      </c>
      <c r="B42" s="22"/>
      <c r="C42" s="22"/>
      <c r="D42" s="22"/>
      <c r="E42" s="22"/>
      <c r="F42" s="22"/>
      <c r="G42" s="22"/>
      <c r="H42" s="22"/>
      <c r="I42" s="3"/>
      <c r="J42" s="3"/>
      <c r="K42" s="3"/>
      <c r="L42" s="3"/>
      <c r="N42" s="3"/>
      <c r="O42" s="3"/>
      <c r="P42" s="3"/>
      <c r="Q42" s="3"/>
      <c r="R42" s="3"/>
      <c r="S42" s="3"/>
      <c r="T42" s="3"/>
      <c r="U42" s="27"/>
      <c r="V42" s="27"/>
      <c r="W42" s="27"/>
      <c r="X42" s="27"/>
      <c r="Y42" s="27"/>
    </row>
    <row r="43" spans="1:25" ht="44.1" customHeight="1" x14ac:dyDescent="0.25">
      <c r="A43" s="120" t="s">
        <v>95</v>
      </c>
      <c r="B43" s="105">
        <v>2007</v>
      </c>
      <c r="C43" s="105">
        <v>2008</v>
      </c>
      <c r="D43" s="105">
        <v>2009</v>
      </c>
      <c r="E43" s="105">
        <v>2010</v>
      </c>
      <c r="F43" s="105">
        <v>2011</v>
      </c>
      <c r="G43" s="105">
        <v>2012</v>
      </c>
      <c r="H43" s="105">
        <v>2013</v>
      </c>
      <c r="I43" s="105">
        <v>2014</v>
      </c>
      <c r="J43" s="105">
        <v>2015</v>
      </c>
      <c r="K43" s="105">
        <v>2016</v>
      </c>
      <c r="L43" s="105">
        <v>2017</v>
      </c>
      <c r="M43" s="132">
        <v>2018</v>
      </c>
      <c r="N43" s="105">
        <v>2019</v>
      </c>
      <c r="O43" s="105">
        <v>2020</v>
      </c>
      <c r="P43" s="105">
        <v>2021</v>
      </c>
      <c r="Q43" s="105">
        <v>2022</v>
      </c>
      <c r="R43" s="105">
        <v>2023</v>
      </c>
      <c r="S43" s="105">
        <v>2024</v>
      </c>
      <c r="T43" s="105">
        <v>2025</v>
      </c>
      <c r="U43" s="106" t="s">
        <v>546</v>
      </c>
      <c r="V43" s="106" t="s">
        <v>547</v>
      </c>
      <c r="W43" s="106" t="s">
        <v>548</v>
      </c>
      <c r="X43" s="106" t="s">
        <v>549</v>
      </c>
      <c r="Y43" s="216" t="s">
        <v>563</v>
      </c>
    </row>
    <row r="44" spans="1:25" x14ac:dyDescent="0.25">
      <c r="A44" s="88" t="s">
        <v>82</v>
      </c>
      <c r="B44" s="95">
        <v>165808</v>
      </c>
      <c r="C44" s="95">
        <v>175916</v>
      </c>
      <c r="D44" s="95">
        <v>206219</v>
      </c>
      <c r="E44" s="95">
        <v>245096</v>
      </c>
      <c r="F44" s="95">
        <v>279331</v>
      </c>
      <c r="G44" s="95">
        <v>304419</v>
      </c>
      <c r="H44" s="95">
        <v>327473</v>
      </c>
      <c r="I44" s="95">
        <v>348865</v>
      </c>
      <c r="J44" s="121">
        <v>361876</v>
      </c>
      <c r="K44" s="121">
        <v>361714</v>
      </c>
      <c r="L44" s="121">
        <v>353269</v>
      </c>
      <c r="M44" s="121">
        <v>349295</v>
      </c>
      <c r="N44" s="121">
        <v>344210</v>
      </c>
      <c r="O44" s="121">
        <v>315741</v>
      </c>
      <c r="P44" s="121">
        <v>317686</v>
      </c>
      <c r="Q44" s="121">
        <v>318335</v>
      </c>
      <c r="R44" s="121">
        <v>326093</v>
      </c>
      <c r="S44" s="121">
        <v>321939</v>
      </c>
      <c r="T44" s="121">
        <v>322186</v>
      </c>
      <c r="U44" s="149">
        <f t="shared" ref="U44:U49" si="20">(T44-K44)/K44</f>
        <v>-0.10927970717196459</v>
      </c>
      <c r="V44" s="149">
        <f t="shared" ref="V44:V49" si="21">(T44-P44)/P44</f>
        <v>1.4164930151155544E-2</v>
      </c>
      <c r="W44" s="149">
        <f t="shared" ref="W44:W49" si="22">(T44-S44)/S44</f>
        <v>7.6722608941445433E-4</v>
      </c>
      <c r="X44" s="218">
        <f>T44/T$9</f>
        <v>0.2427298424522957</v>
      </c>
      <c r="Y44" s="219">
        <f t="shared" ref="Y44:Y49" si="23">T44-S44</f>
        <v>247</v>
      </c>
    </row>
    <row r="45" spans="1:25" x14ac:dyDescent="0.25">
      <c r="A45" s="88" t="s">
        <v>365</v>
      </c>
      <c r="B45" s="95">
        <v>127121</v>
      </c>
      <c r="C45" s="95">
        <v>136095</v>
      </c>
      <c r="D45" s="95">
        <v>150579</v>
      </c>
      <c r="E45" s="95">
        <v>170940</v>
      </c>
      <c r="F45" s="95">
        <v>188452</v>
      </c>
      <c r="G45" s="95">
        <v>198379</v>
      </c>
      <c r="H45" s="95">
        <v>216088</v>
      </c>
      <c r="I45" s="95">
        <v>223448</v>
      </c>
      <c r="J45" s="121">
        <v>228257</v>
      </c>
      <c r="K45" s="121">
        <v>223253</v>
      </c>
      <c r="L45" s="121">
        <v>219218</v>
      </c>
      <c r="M45" s="121">
        <v>219513</v>
      </c>
      <c r="N45" s="121">
        <v>225948</v>
      </c>
      <c r="O45" s="121">
        <v>220955</v>
      </c>
      <c r="P45" s="121">
        <v>236940</v>
      </c>
      <c r="Q45" s="121">
        <v>246128</v>
      </c>
      <c r="R45" s="121">
        <v>262203</v>
      </c>
      <c r="S45" s="121">
        <v>280145</v>
      </c>
      <c r="T45" s="121">
        <v>303827</v>
      </c>
      <c r="U45" s="149">
        <f t="shared" si="20"/>
        <v>0.36090892395622903</v>
      </c>
      <c r="V45" s="149">
        <f t="shared" si="21"/>
        <v>0.28229509580484513</v>
      </c>
      <c r="W45" s="149">
        <f t="shared" si="22"/>
        <v>8.4534794481429254E-2</v>
      </c>
      <c r="X45" s="218">
        <f t="shared" ref="X45:X49" si="24">T45/T$9</f>
        <v>0.22889846189081353</v>
      </c>
      <c r="Y45" s="219">
        <f t="shared" si="23"/>
        <v>23682</v>
      </c>
    </row>
    <row r="46" spans="1:25" x14ac:dyDescent="0.25">
      <c r="A46" s="88" t="s">
        <v>330</v>
      </c>
      <c r="B46" s="95">
        <v>8330</v>
      </c>
      <c r="C46" s="95">
        <v>9437</v>
      </c>
      <c r="D46" s="95">
        <v>7079</v>
      </c>
      <c r="E46" s="95">
        <v>7659</v>
      </c>
      <c r="F46" s="95">
        <v>7407</v>
      </c>
      <c r="G46" s="95">
        <v>6870</v>
      </c>
      <c r="H46" s="95">
        <v>8834</v>
      </c>
      <c r="I46" s="95">
        <v>8741</v>
      </c>
      <c r="J46" s="121">
        <v>8322</v>
      </c>
      <c r="K46" s="121">
        <v>8907</v>
      </c>
      <c r="L46" s="121">
        <v>11687</v>
      </c>
      <c r="M46" s="121">
        <v>13440</v>
      </c>
      <c r="N46" s="121">
        <v>15161</v>
      </c>
      <c r="O46" s="121">
        <v>15175</v>
      </c>
      <c r="P46" s="121">
        <v>14441</v>
      </c>
      <c r="Q46" s="121">
        <v>14645</v>
      </c>
      <c r="R46" s="121">
        <v>15668</v>
      </c>
      <c r="S46" s="121">
        <v>15960</v>
      </c>
      <c r="T46" s="121">
        <v>17086</v>
      </c>
      <c r="U46" s="149">
        <f t="shared" si="20"/>
        <v>0.91826653194116992</v>
      </c>
      <c r="V46" s="149">
        <f t="shared" si="21"/>
        <v>0.18315906100685547</v>
      </c>
      <c r="W46" s="149">
        <f t="shared" si="22"/>
        <v>7.0551378446115282E-2</v>
      </c>
      <c r="X46" s="218">
        <f t="shared" si="24"/>
        <v>1.2872322472546679E-2</v>
      </c>
      <c r="Y46" s="219">
        <f t="shared" si="23"/>
        <v>1126</v>
      </c>
    </row>
    <row r="47" spans="1:25" x14ac:dyDescent="0.25">
      <c r="A47" s="88" t="s">
        <v>366</v>
      </c>
      <c r="B47" s="95">
        <v>9421</v>
      </c>
      <c r="C47" s="95">
        <v>9849</v>
      </c>
      <c r="D47" s="95">
        <v>8126</v>
      </c>
      <c r="E47" s="95">
        <v>8849</v>
      </c>
      <c r="F47" s="95">
        <v>8826</v>
      </c>
      <c r="G47" s="95">
        <v>8681</v>
      </c>
      <c r="H47" s="95">
        <v>8765</v>
      </c>
      <c r="I47" s="95">
        <v>8437</v>
      </c>
      <c r="J47" s="121">
        <v>9291</v>
      </c>
      <c r="K47" s="121">
        <v>9780</v>
      </c>
      <c r="L47" s="121">
        <v>11755</v>
      </c>
      <c r="M47" s="121">
        <v>10145</v>
      </c>
      <c r="N47" s="121">
        <v>10449</v>
      </c>
      <c r="O47" s="121">
        <v>10305</v>
      </c>
      <c r="P47" s="121">
        <v>12288</v>
      </c>
      <c r="Q47" s="121">
        <v>12259</v>
      </c>
      <c r="R47" s="121">
        <v>12499</v>
      </c>
      <c r="S47" s="121">
        <v>12163</v>
      </c>
      <c r="T47" s="121">
        <v>12860</v>
      </c>
      <c r="U47" s="149">
        <f t="shared" si="20"/>
        <v>0.31492842535787319</v>
      </c>
      <c r="V47" s="149">
        <f t="shared" si="21"/>
        <v>4.6549479166666664E-2</v>
      </c>
      <c r="W47" s="149">
        <f t="shared" si="22"/>
        <v>5.7304941215160735E-2</v>
      </c>
      <c r="X47" s="218">
        <f t="shared" si="24"/>
        <v>9.6885208355934858E-3</v>
      </c>
      <c r="Y47" s="219">
        <f t="shared" si="23"/>
        <v>697</v>
      </c>
    </row>
    <row r="48" spans="1:25" x14ac:dyDescent="0.25">
      <c r="A48" s="88" t="s">
        <v>367</v>
      </c>
      <c r="B48" s="95">
        <v>437664</v>
      </c>
      <c r="C48" s="95">
        <v>452052</v>
      </c>
      <c r="D48" s="95">
        <v>477337</v>
      </c>
      <c r="E48" s="95">
        <v>505714</v>
      </c>
      <c r="F48" s="95">
        <v>531061</v>
      </c>
      <c r="G48" s="95">
        <v>546467</v>
      </c>
      <c r="H48" s="95">
        <v>553117</v>
      </c>
      <c r="I48" s="95">
        <v>554890</v>
      </c>
      <c r="J48" s="121">
        <v>558160</v>
      </c>
      <c r="K48" s="121">
        <v>574826</v>
      </c>
      <c r="L48" s="121">
        <v>581363</v>
      </c>
      <c r="M48" s="121">
        <v>595652</v>
      </c>
      <c r="N48" s="121">
        <v>598691</v>
      </c>
      <c r="O48" s="121">
        <v>589658</v>
      </c>
      <c r="P48" s="121">
        <v>623021</v>
      </c>
      <c r="Q48" s="121">
        <v>622644</v>
      </c>
      <c r="R48" s="121">
        <v>632956</v>
      </c>
      <c r="S48" s="121">
        <v>647404</v>
      </c>
      <c r="T48" s="121">
        <v>671385</v>
      </c>
      <c r="U48" s="149">
        <f t="shared" si="20"/>
        <v>0.16797952771795291</v>
      </c>
      <c r="V48" s="149">
        <f t="shared" si="21"/>
        <v>7.7628201938618441E-2</v>
      </c>
      <c r="W48" s="149">
        <f t="shared" si="22"/>
        <v>3.7041785345780995E-2</v>
      </c>
      <c r="X48" s="218">
        <f t="shared" si="24"/>
        <v>0.50581085234875056</v>
      </c>
      <c r="Y48" s="219">
        <f t="shared" si="23"/>
        <v>23981</v>
      </c>
    </row>
    <row r="49" spans="1:25" s="42" customFormat="1" x14ac:dyDescent="0.25">
      <c r="A49" s="92" t="s">
        <v>0</v>
      </c>
      <c r="B49" s="21">
        <v>748344</v>
      </c>
      <c r="C49" s="21">
        <v>783349</v>
      </c>
      <c r="D49" s="21">
        <v>849340</v>
      </c>
      <c r="E49" s="21">
        <v>938258</v>
      </c>
      <c r="F49" s="21">
        <v>1015077</v>
      </c>
      <c r="G49" s="21">
        <v>1064816</v>
      </c>
      <c r="H49" s="21">
        <v>1114277</v>
      </c>
      <c r="I49" s="21">
        <v>1144381</v>
      </c>
      <c r="J49" s="21">
        <v>1165906</v>
      </c>
      <c r="K49" s="21">
        <v>1178480</v>
      </c>
      <c r="L49" s="21">
        <v>1177292</v>
      </c>
      <c r="M49" s="90">
        <v>1188045</v>
      </c>
      <c r="N49" s="21">
        <v>1194459</v>
      </c>
      <c r="O49" s="21">
        <v>1151834</v>
      </c>
      <c r="P49" s="21">
        <v>1204376</v>
      </c>
      <c r="Q49" s="21">
        <v>1214011</v>
      </c>
      <c r="R49" s="21">
        <v>1249419</v>
      </c>
      <c r="S49" s="21">
        <v>1277611</v>
      </c>
      <c r="T49" s="21">
        <v>1327344</v>
      </c>
      <c r="U49" s="150">
        <f t="shared" si="20"/>
        <v>0.1263186477496436</v>
      </c>
      <c r="V49" s="150">
        <f t="shared" si="21"/>
        <v>0.10210100500176025</v>
      </c>
      <c r="W49" s="150">
        <f t="shared" si="22"/>
        <v>3.8926559023051616E-2</v>
      </c>
      <c r="X49" s="220">
        <f t="shared" si="24"/>
        <v>1</v>
      </c>
      <c r="Y49" s="221">
        <f t="shared" si="23"/>
        <v>49733</v>
      </c>
    </row>
    <row r="50" spans="1:25" x14ac:dyDescent="0.25">
      <c r="A50" s="3"/>
      <c r="U50" s="27"/>
      <c r="V50" s="27"/>
      <c r="W50" s="27"/>
      <c r="X50" s="27"/>
      <c r="Y50" s="27"/>
    </row>
    <row r="51" spans="1:25" ht="18" x14ac:dyDescent="0.25">
      <c r="A51" s="22" t="s">
        <v>661</v>
      </c>
      <c r="B51" s="22"/>
      <c r="C51" s="22"/>
      <c r="D51" s="22"/>
      <c r="E51" s="22"/>
      <c r="F51" s="22"/>
      <c r="G51" s="22"/>
      <c r="H51" s="22"/>
      <c r="I51" s="3"/>
      <c r="J51" s="3"/>
      <c r="K51" s="3"/>
      <c r="L51" s="3"/>
      <c r="N51" s="3"/>
      <c r="O51" s="3"/>
      <c r="P51" s="3"/>
      <c r="Q51" s="3"/>
      <c r="R51" s="3"/>
      <c r="S51" s="3"/>
      <c r="T51" s="3"/>
      <c r="U51" s="27"/>
      <c r="V51" s="27"/>
      <c r="W51" s="27"/>
      <c r="X51" s="27"/>
      <c r="Y51" s="27"/>
    </row>
    <row r="52" spans="1:25" ht="44.1" customHeight="1" x14ac:dyDescent="0.25">
      <c r="A52" s="120" t="s">
        <v>95</v>
      </c>
      <c r="B52" s="105">
        <v>2007</v>
      </c>
      <c r="C52" s="105">
        <v>2008</v>
      </c>
      <c r="D52" s="105">
        <v>2009</v>
      </c>
      <c r="E52" s="105">
        <v>2010</v>
      </c>
      <c r="F52" s="105">
        <v>2011</v>
      </c>
      <c r="G52" s="105">
        <v>2012</v>
      </c>
      <c r="H52" s="105">
        <v>2013</v>
      </c>
      <c r="I52" s="105">
        <v>2014</v>
      </c>
      <c r="J52" s="105">
        <v>2015</v>
      </c>
      <c r="K52" s="105">
        <v>2016</v>
      </c>
      <c r="L52" s="105">
        <v>2017</v>
      </c>
      <c r="M52" s="132">
        <v>2018</v>
      </c>
      <c r="N52" s="105">
        <v>2019</v>
      </c>
      <c r="O52" s="105">
        <v>2020</v>
      </c>
      <c r="P52" s="105">
        <v>2021</v>
      </c>
      <c r="Q52" s="105">
        <v>2022</v>
      </c>
      <c r="R52" s="105">
        <v>2023</v>
      </c>
      <c r="S52" s="105">
        <v>2024</v>
      </c>
      <c r="T52" s="105">
        <v>2025</v>
      </c>
      <c r="U52" s="106" t="s">
        <v>546</v>
      </c>
      <c r="V52" s="106" t="s">
        <v>547</v>
      </c>
      <c r="W52" s="106" t="s">
        <v>548</v>
      </c>
      <c r="X52" s="106" t="s">
        <v>549</v>
      </c>
      <c r="Y52" s="216" t="s">
        <v>563</v>
      </c>
    </row>
    <row r="53" spans="1:25" x14ac:dyDescent="0.25">
      <c r="A53" s="88" t="s">
        <v>82</v>
      </c>
      <c r="B53" s="93">
        <v>80591</v>
      </c>
      <c r="C53" s="93">
        <v>85360</v>
      </c>
      <c r="D53" s="93">
        <v>101018</v>
      </c>
      <c r="E53" s="93">
        <v>122122</v>
      </c>
      <c r="F53" s="93">
        <v>133577</v>
      </c>
      <c r="G53" s="93">
        <v>142297</v>
      </c>
      <c r="H53" s="93">
        <v>153165</v>
      </c>
      <c r="I53" s="122">
        <v>157762</v>
      </c>
      <c r="J53" s="122">
        <v>158026</v>
      </c>
      <c r="K53" s="122">
        <v>152333</v>
      </c>
      <c r="L53" s="122">
        <v>148316</v>
      </c>
      <c r="M53" s="122">
        <v>146391</v>
      </c>
      <c r="N53" s="122">
        <v>143225</v>
      </c>
      <c r="O53" s="122">
        <v>126822</v>
      </c>
      <c r="P53" s="122">
        <v>131794</v>
      </c>
      <c r="Q53" s="122">
        <v>133640</v>
      </c>
      <c r="R53" s="122">
        <v>135963</v>
      </c>
      <c r="S53" s="122">
        <v>133442</v>
      </c>
      <c r="T53" s="122">
        <v>136247</v>
      </c>
      <c r="U53" s="149">
        <f t="shared" ref="U53:U58" si="25">(T53-K53)/K53</f>
        <v>-0.10559760524640098</v>
      </c>
      <c r="V53" s="149">
        <f t="shared" ref="V53:V58" si="26">(T53-P53)/P53</f>
        <v>3.3787577583198024E-2</v>
      </c>
      <c r="W53" s="149">
        <f t="shared" ref="W53:W58" si="27">(T53-S53)/S53</f>
        <v>2.10203683997542E-2</v>
      </c>
      <c r="X53" s="218">
        <f>T53/T$16</f>
        <v>0.37567864912633836</v>
      </c>
      <c r="Y53" s="219">
        <f t="shared" ref="Y53:Y58" si="28">T53-S53</f>
        <v>2805</v>
      </c>
    </row>
    <row r="54" spans="1:25" x14ac:dyDescent="0.25">
      <c r="A54" s="88" t="s">
        <v>358</v>
      </c>
      <c r="B54" s="93">
        <v>49359</v>
      </c>
      <c r="C54" s="93">
        <v>48940</v>
      </c>
      <c r="D54" s="93">
        <v>53877</v>
      </c>
      <c r="E54" s="93">
        <v>59776</v>
      </c>
      <c r="F54" s="93">
        <v>58805</v>
      </c>
      <c r="G54" s="93">
        <v>53623</v>
      </c>
      <c r="H54" s="93">
        <v>61348</v>
      </c>
      <c r="I54" s="122">
        <v>57457</v>
      </c>
      <c r="J54" s="122">
        <v>49401</v>
      </c>
      <c r="K54" s="122">
        <v>48285</v>
      </c>
      <c r="L54" s="122">
        <v>48965</v>
      </c>
      <c r="M54" s="122">
        <v>50985</v>
      </c>
      <c r="N54" s="122">
        <v>53801</v>
      </c>
      <c r="O54" s="122">
        <v>50670</v>
      </c>
      <c r="P54" s="122">
        <v>58195</v>
      </c>
      <c r="Q54" s="122">
        <v>62913</v>
      </c>
      <c r="R54" s="122">
        <v>70220</v>
      </c>
      <c r="S54" s="122">
        <v>73530</v>
      </c>
      <c r="T54" s="122">
        <v>77815</v>
      </c>
      <c r="U54" s="149">
        <f t="shared" si="25"/>
        <v>0.61157709433571505</v>
      </c>
      <c r="V54" s="149">
        <f t="shared" si="26"/>
        <v>0.33714236618266175</v>
      </c>
      <c r="W54" s="149">
        <f t="shared" si="27"/>
        <v>5.8275533795729632E-2</v>
      </c>
      <c r="X54" s="218">
        <f t="shared" ref="X54:X57" si="29">T54/T$16</f>
        <v>0.21456203866335419</v>
      </c>
      <c r="Y54" s="219">
        <f t="shared" si="28"/>
        <v>4285</v>
      </c>
    </row>
    <row r="55" spans="1:25" x14ac:dyDescent="0.25">
      <c r="A55" s="88" t="s">
        <v>330</v>
      </c>
      <c r="B55" s="93">
        <v>4164</v>
      </c>
      <c r="C55" s="93">
        <v>4619</v>
      </c>
      <c r="D55" s="93">
        <v>3985</v>
      </c>
      <c r="E55" s="93">
        <v>4806</v>
      </c>
      <c r="F55" s="93">
        <v>4369</v>
      </c>
      <c r="G55" s="93">
        <v>4188</v>
      </c>
      <c r="H55" s="93">
        <v>5086</v>
      </c>
      <c r="I55" s="122">
        <v>5307</v>
      </c>
      <c r="J55" s="122">
        <v>5264</v>
      </c>
      <c r="K55" s="122">
        <v>5422</v>
      </c>
      <c r="L55" s="122">
        <v>6152</v>
      </c>
      <c r="M55" s="122">
        <v>7320</v>
      </c>
      <c r="N55" s="122">
        <v>7943</v>
      </c>
      <c r="O55" s="122">
        <v>7861</v>
      </c>
      <c r="P55" s="122">
        <v>7326</v>
      </c>
      <c r="Q55" s="122">
        <v>7254</v>
      </c>
      <c r="R55" s="122">
        <v>7982</v>
      </c>
      <c r="S55" s="122">
        <v>7973</v>
      </c>
      <c r="T55" s="122">
        <v>8590</v>
      </c>
      <c r="U55" s="149">
        <f t="shared" si="25"/>
        <v>0.5842862412393951</v>
      </c>
      <c r="V55" s="149">
        <f t="shared" si="26"/>
        <v>0.17253617253617254</v>
      </c>
      <c r="W55" s="149">
        <f t="shared" si="27"/>
        <v>7.7386178351937784E-2</v>
      </c>
      <c r="X55" s="218">
        <f t="shared" si="29"/>
        <v>2.3685509376318352E-2</v>
      </c>
      <c r="Y55" s="219">
        <f t="shared" si="28"/>
        <v>617</v>
      </c>
    </row>
    <row r="56" spans="1:25" x14ac:dyDescent="0.25">
      <c r="A56" s="88" t="s">
        <v>83</v>
      </c>
      <c r="B56" s="93">
        <v>2851</v>
      </c>
      <c r="C56" s="93">
        <v>2739</v>
      </c>
      <c r="D56" s="93">
        <v>2739</v>
      </c>
      <c r="E56" s="93">
        <v>2825</v>
      </c>
      <c r="F56" s="93">
        <v>2530</v>
      </c>
      <c r="G56" s="93">
        <v>2690</v>
      </c>
      <c r="H56" s="93">
        <v>2844</v>
      </c>
      <c r="I56" s="122">
        <v>2727</v>
      </c>
      <c r="J56" s="122">
        <v>3360</v>
      </c>
      <c r="K56" s="122">
        <v>3375</v>
      </c>
      <c r="L56" s="122">
        <v>4519</v>
      </c>
      <c r="M56" s="122">
        <v>3994</v>
      </c>
      <c r="N56" s="122">
        <v>3468</v>
      </c>
      <c r="O56" s="122">
        <v>3009</v>
      </c>
      <c r="P56" s="122">
        <v>3382</v>
      </c>
      <c r="Q56" s="122">
        <v>3100</v>
      </c>
      <c r="R56" s="122">
        <v>3367</v>
      </c>
      <c r="S56" s="122">
        <v>3358</v>
      </c>
      <c r="T56" s="122">
        <v>2994</v>
      </c>
      <c r="U56" s="149">
        <f t="shared" si="25"/>
        <v>-0.11288888888888889</v>
      </c>
      <c r="V56" s="149">
        <f t="shared" si="26"/>
        <v>-0.11472501478415138</v>
      </c>
      <c r="W56" s="149">
        <f t="shared" si="27"/>
        <v>-0.10839785586658725</v>
      </c>
      <c r="X56" s="218">
        <f t="shared" si="29"/>
        <v>8.2554615916993184E-3</v>
      </c>
      <c r="Y56" s="219">
        <f t="shared" si="28"/>
        <v>-364</v>
      </c>
    </row>
    <row r="57" spans="1:25" x14ac:dyDescent="0.25">
      <c r="A57" s="88" t="s">
        <v>357</v>
      </c>
      <c r="B57" s="93">
        <v>106414</v>
      </c>
      <c r="C57" s="93">
        <v>111306</v>
      </c>
      <c r="D57" s="93">
        <v>120028</v>
      </c>
      <c r="E57" s="93">
        <v>125529</v>
      </c>
      <c r="F57" s="93">
        <v>129042</v>
      </c>
      <c r="G57" s="93">
        <v>130030</v>
      </c>
      <c r="H57" s="93">
        <v>120557</v>
      </c>
      <c r="I57" s="122">
        <v>118207</v>
      </c>
      <c r="J57" s="122">
        <v>121708</v>
      </c>
      <c r="K57" s="122">
        <v>128491</v>
      </c>
      <c r="L57" s="122">
        <v>127319</v>
      </c>
      <c r="M57" s="122">
        <v>126200</v>
      </c>
      <c r="N57" s="122">
        <v>122216</v>
      </c>
      <c r="O57" s="122">
        <v>115060</v>
      </c>
      <c r="P57" s="122">
        <v>113754</v>
      </c>
      <c r="Q57" s="122">
        <v>111504</v>
      </c>
      <c r="R57" s="122">
        <v>127997</v>
      </c>
      <c r="S57" s="122">
        <v>132380</v>
      </c>
      <c r="T57" s="122">
        <v>137023</v>
      </c>
      <c r="U57" s="149">
        <f t="shared" si="25"/>
        <v>6.6401537850900069E-2</v>
      </c>
      <c r="V57" s="149">
        <f t="shared" si="26"/>
        <v>0.20455544420415986</v>
      </c>
      <c r="W57" s="149">
        <f t="shared" si="27"/>
        <v>3.5073273908445383E-2</v>
      </c>
      <c r="X57" s="218">
        <f t="shared" si="29"/>
        <v>0.3778183412422898</v>
      </c>
      <c r="Y57" s="219">
        <f t="shared" si="28"/>
        <v>4643</v>
      </c>
    </row>
    <row r="58" spans="1:25" s="42" customFormat="1" x14ac:dyDescent="0.25">
      <c r="A58" s="92" t="s">
        <v>0</v>
      </c>
      <c r="B58" s="2">
        <v>243379</v>
      </c>
      <c r="C58" s="2">
        <v>252964</v>
      </c>
      <c r="D58" s="2">
        <v>281647</v>
      </c>
      <c r="E58" s="2">
        <v>315058</v>
      </c>
      <c r="F58" s="2">
        <v>328323</v>
      </c>
      <c r="G58" s="2">
        <v>332828</v>
      </c>
      <c r="H58" s="2">
        <v>343000</v>
      </c>
      <c r="I58" s="2">
        <v>341460</v>
      </c>
      <c r="J58" s="2">
        <v>337759</v>
      </c>
      <c r="K58" s="2">
        <v>337906</v>
      </c>
      <c r="L58" s="2">
        <v>335271</v>
      </c>
      <c r="M58" s="2">
        <v>334890</v>
      </c>
      <c r="N58" s="2">
        <v>330653</v>
      </c>
      <c r="O58" s="2">
        <v>303422</v>
      </c>
      <c r="P58" s="2">
        <v>314451</v>
      </c>
      <c r="Q58" s="89">
        <v>318411</v>
      </c>
      <c r="R58" s="89">
        <v>345529</v>
      </c>
      <c r="S58" s="89">
        <v>350683</v>
      </c>
      <c r="T58" s="89">
        <v>362669</v>
      </c>
      <c r="U58" s="150">
        <f t="shared" si="25"/>
        <v>7.3283694281841699E-2</v>
      </c>
      <c r="V58" s="150">
        <f t="shared" si="26"/>
        <v>0.15334026605099046</v>
      </c>
      <c r="W58" s="150">
        <f t="shared" si="27"/>
        <v>3.4179016376613636E-2</v>
      </c>
      <c r="X58" s="220">
        <f>T58/T$16</f>
        <v>1</v>
      </c>
      <c r="Y58" s="221">
        <f t="shared" si="28"/>
        <v>11986</v>
      </c>
    </row>
    <row r="59" spans="1:25" x14ac:dyDescent="0.25">
      <c r="A59" s="3"/>
      <c r="U59" s="27"/>
      <c r="V59" s="27"/>
      <c r="W59" s="27"/>
      <c r="X59" s="27"/>
      <c r="Y59" s="27"/>
    </row>
    <row r="60" spans="1:25" ht="15.75" x14ac:dyDescent="0.25">
      <c r="A60" s="22" t="s">
        <v>610</v>
      </c>
      <c r="B60" s="22"/>
      <c r="C60" s="22"/>
      <c r="D60" s="22"/>
      <c r="E60" s="22"/>
      <c r="F60" s="22"/>
      <c r="G60" s="22"/>
      <c r="H60" s="22"/>
      <c r="I60" s="3"/>
      <c r="J60" s="3"/>
      <c r="K60" s="3"/>
      <c r="L60" s="3"/>
      <c r="N60" s="3"/>
      <c r="O60" s="3"/>
      <c r="P60" s="3"/>
      <c r="Q60" s="3"/>
      <c r="R60" s="3"/>
      <c r="S60" s="3"/>
      <c r="T60" s="3"/>
      <c r="U60" s="27"/>
      <c r="V60" s="27"/>
      <c r="W60" s="27"/>
      <c r="X60" s="27"/>
      <c r="Y60" s="27"/>
    </row>
    <row r="61" spans="1:25" ht="44.1" customHeight="1" x14ac:dyDescent="0.25">
      <c r="A61" s="120" t="s">
        <v>95</v>
      </c>
      <c r="B61" s="105">
        <v>2007</v>
      </c>
      <c r="C61" s="105">
        <v>2008</v>
      </c>
      <c r="D61" s="105">
        <v>2009</v>
      </c>
      <c r="E61" s="105">
        <v>2010</v>
      </c>
      <c r="F61" s="105">
        <v>2011</v>
      </c>
      <c r="G61" s="105">
        <v>2012</v>
      </c>
      <c r="H61" s="105">
        <v>2013</v>
      </c>
      <c r="I61" s="105">
        <v>2014</v>
      </c>
      <c r="J61" s="105">
        <v>2015</v>
      </c>
      <c r="K61" s="105">
        <v>2016</v>
      </c>
      <c r="L61" s="105">
        <v>2017</v>
      </c>
      <c r="M61" s="132">
        <v>2018</v>
      </c>
      <c r="N61" s="105">
        <v>2019</v>
      </c>
      <c r="O61" s="105">
        <v>2020</v>
      </c>
      <c r="P61" s="105">
        <v>2021</v>
      </c>
      <c r="Q61" s="105">
        <v>2022</v>
      </c>
      <c r="R61" s="105">
        <v>2023</v>
      </c>
      <c r="S61" s="105">
        <v>2024</v>
      </c>
      <c r="T61" s="105">
        <v>2025</v>
      </c>
      <c r="U61" s="106" t="s">
        <v>546</v>
      </c>
      <c r="V61" s="106" t="s">
        <v>547</v>
      </c>
      <c r="W61" s="106" t="s">
        <v>548</v>
      </c>
      <c r="X61" s="106" t="s">
        <v>549</v>
      </c>
      <c r="Y61" s="216" t="s">
        <v>563</v>
      </c>
    </row>
    <row r="62" spans="1:25" x14ac:dyDescent="0.25">
      <c r="A62" s="88" t="s">
        <v>246</v>
      </c>
      <c r="B62" s="93">
        <f t="shared" ref="B62" si="30">B44+B45</f>
        <v>292929</v>
      </c>
      <c r="C62" s="93">
        <f t="shared" ref="C62:T62" si="31">C44+C45</f>
        <v>312011</v>
      </c>
      <c r="D62" s="93">
        <f t="shared" si="31"/>
        <v>356798</v>
      </c>
      <c r="E62" s="93">
        <f t="shared" si="31"/>
        <v>416036</v>
      </c>
      <c r="F62" s="93">
        <f t="shared" si="31"/>
        <v>467783</v>
      </c>
      <c r="G62" s="93">
        <f t="shared" si="31"/>
        <v>502798</v>
      </c>
      <c r="H62" s="93">
        <f t="shared" si="31"/>
        <v>543561</v>
      </c>
      <c r="I62" s="93">
        <f t="shared" si="31"/>
        <v>572313</v>
      </c>
      <c r="J62" s="93">
        <f t="shared" si="31"/>
        <v>590133</v>
      </c>
      <c r="K62" s="93">
        <f t="shared" si="31"/>
        <v>584967</v>
      </c>
      <c r="L62" s="93">
        <f t="shared" si="31"/>
        <v>572487</v>
      </c>
      <c r="M62" s="93">
        <f t="shared" si="31"/>
        <v>568808</v>
      </c>
      <c r="N62" s="93">
        <f t="shared" si="31"/>
        <v>570158</v>
      </c>
      <c r="O62" s="93">
        <f t="shared" si="31"/>
        <v>536696</v>
      </c>
      <c r="P62" s="93">
        <f t="shared" si="31"/>
        <v>554626</v>
      </c>
      <c r="Q62" s="93">
        <f t="shared" si="31"/>
        <v>564463</v>
      </c>
      <c r="R62" s="93">
        <f t="shared" si="31"/>
        <v>588296</v>
      </c>
      <c r="S62" s="93">
        <f t="shared" si="31"/>
        <v>602084</v>
      </c>
      <c r="T62" s="93">
        <f t="shared" si="31"/>
        <v>626013</v>
      </c>
      <c r="U62" s="149">
        <f t="shared" ref="U62:U64" si="32">(T62-K62)/K62</f>
        <v>7.0168060762401979E-2</v>
      </c>
      <c r="V62" s="149">
        <f t="shared" ref="V62:V64" si="33">(T62-P62)/P62</f>
        <v>0.12871196085289907</v>
      </c>
      <c r="W62" s="149">
        <f t="shared" ref="W62:W64" si="34">(T62-S62)/S62</f>
        <v>3.9743623813288512E-2</v>
      </c>
      <c r="X62" s="218">
        <f>T62/T$9</f>
        <v>0.47162830434310926</v>
      </c>
      <c r="Y62" s="219">
        <f t="shared" ref="Y62:Y64" si="35">T62-S62</f>
        <v>23929</v>
      </c>
    </row>
    <row r="63" spans="1:25" x14ac:dyDescent="0.25">
      <c r="A63" s="88" t="s">
        <v>87</v>
      </c>
      <c r="B63" s="93">
        <f t="shared" ref="B63" si="36">B46+B47+B48</f>
        <v>455415</v>
      </c>
      <c r="C63" s="93">
        <f t="shared" ref="C63:T63" si="37">C46+C47+C48</f>
        <v>471338</v>
      </c>
      <c r="D63" s="93">
        <f t="shared" si="37"/>
        <v>492542</v>
      </c>
      <c r="E63" s="93">
        <f t="shared" si="37"/>
        <v>522222</v>
      </c>
      <c r="F63" s="93">
        <f t="shared" si="37"/>
        <v>547294</v>
      </c>
      <c r="G63" s="93">
        <f t="shared" si="37"/>
        <v>562018</v>
      </c>
      <c r="H63" s="93">
        <f t="shared" si="37"/>
        <v>570716</v>
      </c>
      <c r="I63" s="93">
        <f t="shared" si="37"/>
        <v>572068</v>
      </c>
      <c r="J63" s="93">
        <f t="shared" si="37"/>
        <v>575773</v>
      </c>
      <c r="K63" s="93">
        <f t="shared" si="37"/>
        <v>593513</v>
      </c>
      <c r="L63" s="93">
        <f t="shared" si="37"/>
        <v>604805</v>
      </c>
      <c r="M63" s="93">
        <f t="shared" si="37"/>
        <v>619237</v>
      </c>
      <c r="N63" s="93">
        <f t="shared" si="37"/>
        <v>624301</v>
      </c>
      <c r="O63" s="93">
        <f t="shared" si="37"/>
        <v>615138</v>
      </c>
      <c r="P63" s="93">
        <f t="shared" si="37"/>
        <v>649750</v>
      </c>
      <c r="Q63" s="93">
        <f t="shared" si="37"/>
        <v>649548</v>
      </c>
      <c r="R63" s="93">
        <f t="shared" si="37"/>
        <v>661123</v>
      </c>
      <c r="S63" s="93">
        <f t="shared" si="37"/>
        <v>675527</v>
      </c>
      <c r="T63" s="93">
        <f t="shared" si="37"/>
        <v>701331</v>
      </c>
      <c r="U63" s="149">
        <f t="shared" si="32"/>
        <v>0.18166072183760087</v>
      </c>
      <c r="V63" s="149">
        <f t="shared" si="33"/>
        <v>7.9385917660638711E-2</v>
      </c>
      <c r="W63" s="149">
        <f t="shared" si="34"/>
        <v>3.819832515946809E-2</v>
      </c>
      <c r="X63" s="218">
        <f t="shared" ref="X63:X64" si="38">T63/T$9</f>
        <v>0.52837169565689079</v>
      </c>
      <c r="Y63" s="219">
        <f t="shared" si="35"/>
        <v>25804</v>
      </c>
    </row>
    <row r="64" spans="1:25" s="42" customFormat="1" x14ac:dyDescent="0.25">
      <c r="A64" s="92" t="s">
        <v>0</v>
      </c>
      <c r="B64" s="2">
        <f>SUM(B62:B63)</f>
        <v>748344</v>
      </c>
      <c r="C64" s="2">
        <f t="shared" ref="C64:T64" si="39">SUM(C62:C63)</f>
        <v>783349</v>
      </c>
      <c r="D64" s="2">
        <f t="shared" si="39"/>
        <v>849340</v>
      </c>
      <c r="E64" s="2">
        <f t="shared" si="39"/>
        <v>938258</v>
      </c>
      <c r="F64" s="2">
        <f t="shared" si="39"/>
        <v>1015077</v>
      </c>
      <c r="G64" s="2">
        <f t="shared" si="39"/>
        <v>1064816</v>
      </c>
      <c r="H64" s="2">
        <f t="shared" si="39"/>
        <v>1114277</v>
      </c>
      <c r="I64" s="2">
        <f t="shared" si="39"/>
        <v>1144381</v>
      </c>
      <c r="J64" s="2">
        <f t="shared" si="39"/>
        <v>1165906</v>
      </c>
      <c r="K64" s="2">
        <f t="shared" si="39"/>
        <v>1178480</v>
      </c>
      <c r="L64" s="2">
        <f t="shared" si="39"/>
        <v>1177292</v>
      </c>
      <c r="M64" s="2">
        <f t="shared" si="39"/>
        <v>1188045</v>
      </c>
      <c r="N64" s="2">
        <f t="shared" si="39"/>
        <v>1194459</v>
      </c>
      <c r="O64" s="2">
        <f t="shared" si="39"/>
        <v>1151834</v>
      </c>
      <c r="P64" s="2">
        <f t="shared" si="39"/>
        <v>1204376</v>
      </c>
      <c r="Q64" s="2">
        <f t="shared" si="39"/>
        <v>1214011</v>
      </c>
      <c r="R64" s="2">
        <f t="shared" si="39"/>
        <v>1249419</v>
      </c>
      <c r="S64" s="2">
        <f t="shared" si="39"/>
        <v>1277611</v>
      </c>
      <c r="T64" s="2">
        <f t="shared" si="39"/>
        <v>1327344</v>
      </c>
      <c r="U64" s="150">
        <f t="shared" si="32"/>
        <v>0.1263186477496436</v>
      </c>
      <c r="V64" s="150">
        <f t="shared" si="33"/>
        <v>0.10210100500176025</v>
      </c>
      <c r="W64" s="150">
        <f t="shared" si="34"/>
        <v>3.8926559023051616E-2</v>
      </c>
      <c r="X64" s="220">
        <f t="shared" si="38"/>
        <v>1</v>
      </c>
      <c r="Y64" s="221">
        <f t="shared" si="35"/>
        <v>49733</v>
      </c>
    </row>
    <row r="65" spans="1:25" x14ac:dyDescent="0.25">
      <c r="A65" s="40" t="s">
        <v>290</v>
      </c>
      <c r="B65" s="40"/>
      <c r="C65" s="40"/>
      <c r="D65" s="40"/>
      <c r="E65" s="40"/>
      <c r="F65" s="40"/>
      <c r="G65" s="40"/>
      <c r="H65" s="40"/>
      <c r="I65" s="3"/>
      <c r="J65" s="3"/>
      <c r="K65" s="3"/>
      <c r="L65" s="3"/>
      <c r="N65" s="3"/>
      <c r="O65" s="3"/>
      <c r="P65" s="3"/>
      <c r="Q65" s="3"/>
      <c r="R65" s="3"/>
      <c r="S65" s="3"/>
      <c r="T65" s="3"/>
      <c r="U65" s="27"/>
      <c r="V65" s="27"/>
      <c r="W65" s="27"/>
      <c r="X65" s="27"/>
      <c r="Y65" s="27"/>
    </row>
    <row r="66" spans="1:25" x14ac:dyDescent="0.25">
      <c r="A66" s="40" t="s">
        <v>291</v>
      </c>
      <c r="B66" s="40"/>
      <c r="C66" s="40"/>
      <c r="D66" s="40"/>
      <c r="E66" s="40"/>
      <c r="F66" s="40"/>
      <c r="G66" s="40"/>
      <c r="H66" s="40"/>
      <c r="I66" s="3"/>
      <c r="J66" s="3"/>
      <c r="K66" s="3"/>
      <c r="L66" s="3"/>
      <c r="N66" s="3"/>
      <c r="O66" s="3"/>
      <c r="P66" s="3"/>
      <c r="Q66" s="3"/>
      <c r="R66" s="3"/>
      <c r="S66" s="3"/>
      <c r="T66" s="3"/>
      <c r="U66" s="27"/>
      <c r="V66" s="27"/>
      <c r="W66" s="27"/>
      <c r="X66" s="27"/>
      <c r="Y66" s="27"/>
    </row>
    <row r="67" spans="1:25" x14ac:dyDescent="0.25">
      <c r="A67" s="3"/>
      <c r="B67" s="3"/>
      <c r="C67" s="3"/>
      <c r="D67" s="3"/>
      <c r="E67" s="3"/>
      <c r="F67" s="3"/>
      <c r="G67" s="3"/>
      <c r="H67" s="3"/>
      <c r="I67" s="3"/>
      <c r="J67" s="3"/>
      <c r="K67" s="3"/>
      <c r="L67" s="3"/>
      <c r="N67" s="3"/>
      <c r="O67" s="3"/>
      <c r="P67" s="3"/>
      <c r="Q67" s="3"/>
      <c r="R67" s="3"/>
      <c r="S67" s="3"/>
      <c r="T67" s="3"/>
      <c r="U67" s="27"/>
      <c r="V67" s="27"/>
      <c r="W67" s="27"/>
      <c r="X67" s="27"/>
      <c r="Y67" s="27"/>
    </row>
    <row r="68" spans="1:25" ht="18" x14ac:dyDescent="0.25">
      <c r="A68" s="22" t="s">
        <v>611</v>
      </c>
      <c r="B68" s="22"/>
      <c r="C68" s="22"/>
      <c r="D68" s="22"/>
      <c r="E68" s="22"/>
      <c r="F68" s="22"/>
      <c r="G68" s="22"/>
      <c r="H68" s="22"/>
      <c r="I68" s="3"/>
      <c r="J68" s="3"/>
      <c r="K68" s="3"/>
      <c r="L68" s="3"/>
      <c r="N68" s="3"/>
      <c r="O68" s="3"/>
      <c r="P68" s="3"/>
      <c r="Q68" s="3"/>
      <c r="R68" s="3"/>
      <c r="S68" s="3"/>
      <c r="T68" s="3"/>
      <c r="U68" s="27"/>
      <c r="V68" s="27"/>
      <c r="W68" s="27"/>
      <c r="X68" s="27"/>
      <c r="Y68" s="27"/>
    </row>
    <row r="69" spans="1:25" ht="44.1" customHeight="1" x14ac:dyDescent="0.25">
      <c r="A69" s="120" t="s">
        <v>95</v>
      </c>
      <c r="B69" s="105">
        <v>2007</v>
      </c>
      <c r="C69" s="105">
        <v>2008</v>
      </c>
      <c r="D69" s="105">
        <v>2009</v>
      </c>
      <c r="E69" s="105">
        <v>2010</v>
      </c>
      <c r="F69" s="105">
        <v>2011</v>
      </c>
      <c r="G69" s="105">
        <v>2012</v>
      </c>
      <c r="H69" s="105">
        <v>2013</v>
      </c>
      <c r="I69" s="105">
        <v>2014</v>
      </c>
      <c r="J69" s="105">
        <v>2015</v>
      </c>
      <c r="K69" s="105">
        <v>2016</v>
      </c>
      <c r="L69" s="105">
        <v>2017</v>
      </c>
      <c r="M69" s="132">
        <v>2018</v>
      </c>
      <c r="N69" s="105">
        <v>2019</v>
      </c>
      <c r="O69" s="105">
        <v>2020</v>
      </c>
      <c r="P69" s="105">
        <v>2021</v>
      </c>
      <c r="Q69" s="105">
        <v>2022</v>
      </c>
      <c r="R69" s="105">
        <v>2023</v>
      </c>
      <c r="S69" s="105">
        <v>2024</v>
      </c>
      <c r="T69" s="105">
        <v>2025</v>
      </c>
      <c r="U69" s="106" t="s">
        <v>546</v>
      </c>
      <c r="V69" s="106" t="s">
        <v>547</v>
      </c>
      <c r="W69" s="106" t="s">
        <v>548</v>
      </c>
      <c r="X69" s="106" t="s">
        <v>549</v>
      </c>
      <c r="Y69" s="216" t="s">
        <v>563</v>
      </c>
    </row>
    <row r="70" spans="1:25" x14ac:dyDescent="0.25">
      <c r="A70" s="88" t="s">
        <v>246</v>
      </c>
      <c r="B70" s="93">
        <f>B53+B54</f>
        <v>129950</v>
      </c>
      <c r="C70" s="93">
        <f t="shared" ref="C70:T70" si="40">C53+C54</f>
        <v>134300</v>
      </c>
      <c r="D70" s="93">
        <f t="shared" si="40"/>
        <v>154895</v>
      </c>
      <c r="E70" s="93">
        <f t="shared" si="40"/>
        <v>181898</v>
      </c>
      <c r="F70" s="93">
        <f t="shared" si="40"/>
        <v>192382</v>
      </c>
      <c r="G70" s="93">
        <f t="shared" si="40"/>
        <v>195920</v>
      </c>
      <c r="H70" s="93">
        <f t="shared" si="40"/>
        <v>214513</v>
      </c>
      <c r="I70" s="93">
        <f t="shared" si="40"/>
        <v>215219</v>
      </c>
      <c r="J70" s="93">
        <f t="shared" si="40"/>
        <v>207427</v>
      </c>
      <c r="K70" s="93">
        <f t="shared" si="40"/>
        <v>200618</v>
      </c>
      <c r="L70" s="93">
        <f t="shared" si="40"/>
        <v>197281</v>
      </c>
      <c r="M70" s="93">
        <f t="shared" si="40"/>
        <v>197376</v>
      </c>
      <c r="N70" s="93">
        <f t="shared" si="40"/>
        <v>197026</v>
      </c>
      <c r="O70" s="93">
        <f t="shared" si="40"/>
        <v>177492</v>
      </c>
      <c r="P70" s="93">
        <f t="shared" si="40"/>
        <v>189989</v>
      </c>
      <c r="Q70" s="93">
        <f t="shared" si="40"/>
        <v>196553</v>
      </c>
      <c r="R70" s="93">
        <f t="shared" si="40"/>
        <v>206183</v>
      </c>
      <c r="S70" s="93">
        <f t="shared" si="40"/>
        <v>206972</v>
      </c>
      <c r="T70" s="93">
        <f t="shared" si="40"/>
        <v>214062</v>
      </c>
      <c r="U70" s="149">
        <f t="shared" ref="U70:U72" si="41">(T70-K70)/K70</f>
        <v>6.7012930046157368E-2</v>
      </c>
      <c r="V70" s="149">
        <f t="shared" ref="V70:V72" si="42">(T70-P70)/P70</f>
        <v>0.12670733568785561</v>
      </c>
      <c r="W70" s="149">
        <f t="shared" ref="W70:W72" si="43">(T70-S70)/S70</f>
        <v>3.4255841369847127E-2</v>
      </c>
      <c r="X70" s="218">
        <f>T70/T$16</f>
        <v>0.59024068778969252</v>
      </c>
      <c r="Y70" s="219">
        <f t="shared" ref="Y70:Y72" si="44">T70-S70</f>
        <v>7090</v>
      </c>
    </row>
    <row r="71" spans="1:25" x14ac:dyDescent="0.25">
      <c r="A71" s="88" t="s">
        <v>87</v>
      </c>
      <c r="B71" s="93">
        <f>B55+B56+B57</f>
        <v>113429</v>
      </c>
      <c r="C71" s="93">
        <f t="shared" ref="C71:T71" si="45">C55+C56+C57</f>
        <v>118664</v>
      </c>
      <c r="D71" s="93">
        <f t="shared" si="45"/>
        <v>126752</v>
      </c>
      <c r="E71" s="93">
        <f t="shared" si="45"/>
        <v>133160</v>
      </c>
      <c r="F71" s="93">
        <f t="shared" si="45"/>
        <v>135941</v>
      </c>
      <c r="G71" s="93">
        <f t="shared" si="45"/>
        <v>136908</v>
      </c>
      <c r="H71" s="93">
        <f t="shared" si="45"/>
        <v>128487</v>
      </c>
      <c r="I71" s="93">
        <f t="shared" si="45"/>
        <v>126241</v>
      </c>
      <c r="J71" s="93">
        <f t="shared" si="45"/>
        <v>130332</v>
      </c>
      <c r="K71" s="93">
        <f t="shared" si="45"/>
        <v>137288</v>
      </c>
      <c r="L71" s="93">
        <f t="shared" si="45"/>
        <v>137990</v>
      </c>
      <c r="M71" s="93">
        <f t="shared" si="45"/>
        <v>137514</v>
      </c>
      <c r="N71" s="93">
        <f t="shared" si="45"/>
        <v>133627</v>
      </c>
      <c r="O71" s="93">
        <f t="shared" si="45"/>
        <v>125930</v>
      </c>
      <c r="P71" s="93">
        <f t="shared" si="45"/>
        <v>124462</v>
      </c>
      <c r="Q71" s="93">
        <f t="shared" si="45"/>
        <v>121858</v>
      </c>
      <c r="R71" s="93">
        <f t="shared" si="45"/>
        <v>139346</v>
      </c>
      <c r="S71" s="93">
        <f t="shared" si="45"/>
        <v>143711</v>
      </c>
      <c r="T71" s="93">
        <f t="shared" si="45"/>
        <v>148607</v>
      </c>
      <c r="U71" s="149">
        <f t="shared" si="41"/>
        <v>8.244711846628984E-2</v>
      </c>
      <c r="V71" s="149">
        <f t="shared" si="42"/>
        <v>0.19399495428323504</v>
      </c>
      <c r="W71" s="149">
        <f t="shared" si="43"/>
        <v>3.40683733325911E-2</v>
      </c>
      <c r="X71" s="218">
        <f>T71/T$16</f>
        <v>0.40975931221030748</v>
      </c>
      <c r="Y71" s="219">
        <f t="shared" si="44"/>
        <v>4896</v>
      </c>
    </row>
    <row r="72" spans="1:25" x14ac:dyDescent="0.25">
      <c r="A72" s="92" t="s">
        <v>0</v>
      </c>
      <c r="B72" s="2">
        <f>SUM(B70:B71)</f>
        <v>243379</v>
      </c>
      <c r="C72" s="2">
        <f t="shared" ref="C72:T72" si="46">SUM(C70:C71)</f>
        <v>252964</v>
      </c>
      <c r="D72" s="2">
        <f t="shared" si="46"/>
        <v>281647</v>
      </c>
      <c r="E72" s="2">
        <f t="shared" si="46"/>
        <v>315058</v>
      </c>
      <c r="F72" s="2">
        <f t="shared" si="46"/>
        <v>328323</v>
      </c>
      <c r="G72" s="2">
        <f t="shared" si="46"/>
        <v>332828</v>
      </c>
      <c r="H72" s="2">
        <f t="shared" si="46"/>
        <v>343000</v>
      </c>
      <c r="I72" s="2">
        <f t="shared" si="46"/>
        <v>341460</v>
      </c>
      <c r="J72" s="2">
        <f t="shared" si="46"/>
        <v>337759</v>
      </c>
      <c r="K72" s="2">
        <f t="shared" si="46"/>
        <v>337906</v>
      </c>
      <c r="L72" s="2">
        <f t="shared" si="46"/>
        <v>335271</v>
      </c>
      <c r="M72" s="2">
        <f t="shared" si="46"/>
        <v>334890</v>
      </c>
      <c r="N72" s="2">
        <f t="shared" si="46"/>
        <v>330653</v>
      </c>
      <c r="O72" s="2">
        <f t="shared" si="46"/>
        <v>303422</v>
      </c>
      <c r="P72" s="2">
        <f t="shared" si="46"/>
        <v>314451</v>
      </c>
      <c r="Q72" s="2">
        <f t="shared" si="46"/>
        <v>318411</v>
      </c>
      <c r="R72" s="2">
        <f t="shared" si="46"/>
        <v>345529</v>
      </c>
      <c r="S72" s="2">
        <f t="shared" si="46"/>
        <v>350683</v>
      </c>
      <c r="T72" s="2">
        <f t="shared" si="46"/>
        <v>362669</v>
      </c>
      <c r="U72" s="150">
        <f t="shared" si="41"/>
        <v>7.3283694281841699E-2</v>
      </c>
      <c r="V72" s="150">
        <f t="shared" si="42"/>
        <v>0.15334026605099046</v>
      </c>
      <c r="W72" s="150">
        <f t="shared" si="43"/>
        <v>3.4179016376613636E-2</v>
      </c>
      <c r="X72" s="220">
        <f>T72/T$16</f>
        <v>1</v>
      </c>
      <c r="Y72" s="221">
        <f t="shared" si="44"/>
        <v>11986</v>
      </c>
    </row>
    <row r="73" spans="1:25" x14ac:dyDescent="0.25">
      <c r="A73" s="40" t="s">
        <v>290</v>
      </c>
      <c r="B73" s="27"/>
      <c r="C73" s="27"/>
      <c r="D73" s="27"/>
      <c r="E73" s="27"/>
      <c r="F73" s="27"/>
      <c r="G73" s="27"/>
      <c r="H73" s="27"/>
      <c r="I73" s="27"/>
      <c r="J73" s="27"/>
      <c r="K73" s="27"/>
      <c r="L73" s="27"/>
      <c r="M73" s="27"/>
      <c r="N73" s="27"/>
      <c r="O73" s="27"/>
      <c r="P73" s="27"/>
      <c r="Q73" s="27"/>
      <c r="R73" s="27"/>
      <c r="S73" s="27"/>
      <c r="T73" s="27"/>
      <c r="U73" s="27"/>
      <c r="V73" s="27"/>
      <c r="W73" s="27"/>
      <c r="X73" s="27"/>
      <c r="Y73" s="27"/>
    </row>
    <row r="74" spans="1:25" x14ac:dyDescent="0.25">
      <c r="A74" s="40" t="s">
        <v>291</v>
      </c>
      <c r="B74" s="40"/>
      <c r="C74" s="40"/>
      <c r="D74" s="40"/>
      <c r="E74" s="40"/>
      <c r="F74" s="40"/>
      <c r="G74" s="40"/>
      <c r="H74" s="40"/>
      <c r="I74" s="3"/>
      <c r="J74" s="3"/>
      <c r="K74" s="3"/>
      <c r="L74" s="3"/>
      <c r="N74" s="3"/>
      <c r="O74" s="3"/>
      <c r="P74" s="3"/>
      <c r="Q74" s="3"/>
      <c r="R74" s="3"/>
      <c r="S74" s="3"/>
      <c r="T74" s="3"/>
      <c r="U74" s="27"/>
      <c r="V74" s="27"/>
      <c r="W74" s="27"/>
      <c r="X74" s="27"/>
      <c r="Y74" s="27"/>
    </row>
    <row r="75" spans="1:25" x14ac:dyDescent="0.25">
      <c r="A75" s="3"/>
      <c r="U75" s="27"/>
      <c r="V75" s="27"/>
      <c r="W75" s="27"/>
      <c r="X75" s="27"/>
      <c r="Y75" s="27"/>
    </row>
    <row r="76" spans="1:25" ht="15.75" x14ac:dyDescent="0.25">
      <c r="A76" s="22" t="s">
        <v>612</v>
      </c>
      <c r="B76" s="22"/>
      <c r="C76" s="22"/>
      <c r="D76" s="22"/>
      <c r="E76" s="22"/>
      <c r="F76" s="22"/>
      <c r="G76" s="22"/>
      <c r="H76" s="22"/>
      <c r="I76" s="3"/>
      <c r="J76" s="3"/>
      <c r="K76" s="3"/>
      <c r="L76" s="3"/>
      <c r="N76" s="3"/>
      <c r="O76" s="3"/>
      <c r="P76" s="3"/>
      <c r="Q76" s="3"/>
      <c r="R76" s="3"/>
      <c r="S76" s="3"/>
      <c r="T76" s="3"/>
      <c r="U76" s="27"/>
      <c r="V76" s="27"/>
      <c r="W76" s="27"/>
      <c r="X76" s="27"/>
      <c r="Y76" s="27"/>
    </row>
    <row r="77" spans="1:25" ht="44.1" customHeight="1" x14ac:dyDescent="0.25">
      <c r="A77" s="120" t="s">
        <v>108</v>
      </c>
      <c r="B77" s="105">
        <v>2007</v>
      </c>
      <c r="C77" s="105">
        <v>2008</v>
      </c>
      <c r="D77" s="105">
        <v>2009</v>
      </c>
      <c r="E77" s="105">
        <v>2010</v>
      </c>
      <c r="F77" s="105">
        <v>2011</v>
      </c>
      <c r="G77" s="105">
        <v>2012</v>
      </c>
      <c r="H77" s="105">
        <v>2013</v>
      </c>
      <c r="I77" s="105">
        <v>2014</v>
      </c>
      <c r="J77" s="105">
        <v>2015</v>
      </c>
      <c r="K77" s="105">
        <v>2016</v>
      </c>
      <c r="L77" s="105">
        <v>2017</v>
      </c>
      <c r="M77" s="132">
        <v>2018</v>
      </c>
      <c r="N77" s="105">
        <v>2019</v>
      </c>
      <c r="O77" s="105">
        <v>2020</v>
      </c>
      <c r="P77" s="105">
        <v>2021</v>
      </c>
      <c r="Q77" s="105">
        <v>2022</v>
      </c>
      <c r="R77" s="105">
        <v>2023</v>
      </c>
      <c r="S77" s="105">
        <v>2024</v>
      </c>
      <c r="T77" s="105">
        <v>2025</v>
      </c>
      <c r="U77" s="106" t="s">
        <v>546</v>
      </c>
      <c r="V77" s="106" t="s">
        <v>547</v>
      </c>
      <c r="W77" s="106" t="s">
        <v>548</v>
      </c>
      <c r="X77" s="106" t="s">
        <v>549</v>
      </c>
      <c r="Y77" s="216" t="s">
        <v>563</v>
      </c>
    </row>
    <row r="78" spans="1:25" s="42" customFormat="1" x14ac:dyDescent="0.25">
      <c r="A78" s="92" t="s">
        <v>2</v>
      </c>
      <c r="B78" s="2">
        <v>86838</v>
      </c>
      <c r="C78" s="2">
        <v>95891</v>
      </c>
      <c r="D78" s="2">
        <v>110007</v>
      </c>
      <c r="E78" s="2">
        <v>128566</v>
      </c>
      <c r="F78" s="2">
        <v>138574</v>
      </c>
      <c r="G78" s="2">
        <v>140031</v>
      </c>
      <c r="H78" s="2">
        <v>144365</v>
      </c>
      <c r="I78" s="2">
        <v>148010</v>
      </c>
      <c r="J78" s="2">
        <v>146540</v>
      </c>
      <c r="K78" s="2">
        <v>141711</v>
      </c>
      <c r="L78" s="2">
        <v>136777</v>
      </c>
      <c r="M78" s="89">
        <v>136728</v>
      </c>
      <c r="N78" s="2">
        <v>137919</v>
      </c>
      <c r="O78" s="2">
        <v>130338</v>
      </c>
      <c r="P78" s="2">
        <v>134463</v>
      </c>
      <c r="Q78" s="2">
        <v>131747</v>
      </c>
      <c r="R78" s="2">
        <v>136743</v>
      </c>
      <c r="S78" s="2">
        <v>145299</v>
      </c>
      <c r="T78" s="2">
        <v>152439</v>
      </c>
      <c r="U78" s="150">
        <f t="shared" ref="U78:U89" si="47">(T78-K78)/K78</f>
        <v>7.5703368122446393E-2</v>
      </c>
      <c r="V78" s="150">
        <f t="shared" ref="V78:V89" si="48">(T78-P78)/P78</f>
        <v>0.13368733406215835</v>
      </c>
      <c r="W78" s="150">
        <f t="shared" ref="W78:W89" si="49">(T78-S78)/S78</f>
        <v>4.9140049140049137E-2</v>
      </c>
      <c r="X78" s="220">
        <f>T78/T$9</f>
        <v>0.11484513434347086</v>
      </c>
      <c r="Y78" s="221">
        <f t="shared" ref="Y78:Y89" si="50">T78-S78</f>
        <v>7140</v>
      </c>
    </row>
    <row r="79" spans="1:25" x14ac:dyDescent="0.25">
      <c r="A79" s="144" t="s">
        <v>82</v>
      </c>
      <c r="B79" s="93">
        <v>86838</v>
      </c>
      <c r="C79" s="93">
        <v>95891</v>
      </c>
      <c r="D79" s="93">
        <v>110007</v>
      </c>
      <c r="E79" s="93">
        <v>128566</v>
      </c>
      <c r="F79" s="93">
        <v>138574</v>
      </c>
      <c r="G79" s="93">
        <v>140031</v>
      </c>
      <c r="H79" s="93">
        <v>144365</v>
      </c>
      <c r="I79" s="93">
        <v>148010</v>
      </c>
      <c r="J79" s="93">
        <v>146540</v>
      </c>
      <c r="K79" s="93">
        <v>141711</v>
      </c>
      <c r="L79" s="93">
        <v>136777</v>
      </c>
      <c r="M79" s="123">
        <v>136728</v>
      </c>
      <c r="N79" s="93">
        <v>137919</v>
      </c>
      <c r="O79" s="93">
        <v>130338</v>
      </c>
      <c r="P79" s="93">
        <v>134463</v>
      </c>
      <c r="Q79" s="93">
        <v>131747</v>
      </c>
      <c r="R79" s="93">
        <v>136743</v>
      </c>
      <c r="S79" s="93">
        <v>145299</v>
      </c>
      <c r="T79" s="93">
        <v>152439</v>
      </c>
      <c r="U79" s="149">
        <f t="shared" si="47"/>
        <v>7.5703368122446393E-2</v>
      </c>
      <c r="V79" s="149">
        <f t="shared" si="48"/>
        <v>0.13368733406215835</v>
      </c>
      <c r="W79" s="149">
        <f t="shared" si="49"/>
        <v>4.9140049140049137E-2</v>
      </c>
      <c r="X79" s="218">
        <f t="shared" ref="X79:X89" si="51">T79/T$9</f>
        <v>0.11484513434347086</v>
      </c>
      <c r="Y79" s="219">
        <f t="shared" si="50"/>
        <v>7140</v>
      </c>
    </row>
    <row r="80" spans="1:25" s="42" customFormat="1" x14ac:dyDescent="0.25">
      <c r="A80" s="92" t="s">
        <v>3</v>
      </c>
      <c r="B80" s="2">
        <v>156124</v>
      </c>
      <c r="C80" s="2">
        <v>162848</v>
      </c>
      <c r="D80" s="2">
        <v>189597</v>
      </c>
      <c r="E80" s="2">
        <v>224301</v>
      </c>
      <c r="F80" s="2">
        <v>260692</v>
      </c>
      <c r="G80" s="2">
        <v>293519</v>
      </c>
      <c r="H80" s="2">
        <v>324579</v>
      </c>
      <c r="I80" s="2">
        <v>351004</v>
      </c>
      <c r="J80" s="2">
        <v>373171</v>
      </c>
      <c r="K80" s="2">
        <v>380988</v>
      </c>
      <c r="L80" s="2">
        <v>374709</v>
      </c>
      <c r="M80" s="89">
        <v>373104</v>
      </c>
      <c r="N80" s="2">
        <v>379456</v>
      </c>
      <c r="O80" s="2">
        <v>361387</v>
      </c>
      <c r="P80" s="2">
        <v>378538</v>
      </c>
      <c r="Q80" s="2">
        <v>396829</v>
      </c>
      <c r="R80" s="2">
        <v>419014</v>
      </c>
      <c r="S80" s="2">
        <v>426272</v>
      </c>
      <c r="T80" s="2">
        <v>442924</v>
      </c>
      <c r="U80" s="150">
        <f t="shared" si="47"/>
        <v>0.1625668000041996</v>
      </c>
      <c r="V80" s="150">
        <f t="shared" si="48"/>
        <v>0.17009124579302473</v>
      </c>
      <c r="W80" s="150">
        <f t="shared" si="49"/>
        <v>3.9064259439981985E-2</v>
      </c>
      <c r="X80" s="220">
        <f t="shared" si="51"/>
        <v>0.33369194421340664</v>
      </c>
      <c r="Y80" s="221">
        <f t="shared" si="50"/>
        <v>16652</v>
      </c>
    </row>
    <row r="81" spans="1:26" x14ac:dyDescent="0.25">
      <c r="A81" s="144" t="s">
        <v>82</v>
      </c>
      <c r="B81" s="93">
        <v>56779</v>
      </c>
      <c r="C81" s="93">
        <v>57745</v>
      </c>
      <c r="D81" s="93">
        <v>71788</v>
      </c>
      <c r="E81" s="93">
        <v>90635</v>
      </c>
      <c r="F81" s="93">
        <v>112735</v>
      </c>
      <c r="G81" s="93">
        <v>135185</v>
      </c>
      <c r="H81" s="93">
        <v>150837</v>
      </c>
      <c r="I81" s="93">
        <v>169741</v>
      </c>
      <c r="J81" s="93">
        <v>186153</v>
      </c>
      <c r="K81" s="93">
        <v>191561</v>
      </c>
      <c r="L81" s="93">
        <v>186689</v>
      </c>
      <c r="M81" s="123">
        <v>183145</v>
      </c>
      <c r="N81" s="93">
        <v>179754</v>
      </c>
      <c r="O81" s="93">
        <v>160942</v>
      </c>
      <c r="P81" s="93">
        <v>160236</v>
      </c>
      <c r="Q81" s="93">
        <v>165198</v>
      </c>
      <c r="R81" s="93">
        <v>168591</v>
      </c>
      <c r="S81" s="93">
        <v>156370</v>
      </c>
      <c r="T81" s="93">
        <v>149784</v>
      </c>
      <c r="U81" s="149">
        <f t="shared" si="47"/>
        <v>-0.21808718893720538</v>
      </c>
      <c r="V81" s="149">
        <f t="shared" si="48"/>
        <v>-6.5228787538380892E-2</v>
      </c>
      <c r="W81" s="149">
        <f t="shared" si="49"/>
        <v>-4.2118053335038694E-2</v>
      </c>
      <c r="X81" s="218">
        <f t="shared" si="51"/>
        <v>0.1128448992875999</v>
      </c>
      <c r="Y81" s="219">
        <f t="shared" si="50"/>
        <v>-6586</v>
      </c>
    </row>
    <row r="82" spans="1:26" x14ac:dyDescent="0.25">
      <c r="A82" s="167" t="s">
        <v>327</v>
      </c>
      <c r="B82" s="123">
        <v>99345</v>
      </c>
      <c r="C82" s="123">
        <v>105103</v>
      </c>
      <c r="D82" s="123">
        <v>117809</v>
      </c>
      <c r="E82" s="123">
        <v>133666</v>
      </c>
      <c r="F82" s="123">
        <v>147957</v>
      </c>
      <c r="G82" s="123">
        <v>158334</v>
      </c>
      <c r="H82" s="123">
        <v>173742</v>
      </c>
      <c r="I82" s="123">
        <v>181263</v>
      </c>
      <c r="J82" s="123">
        <v>187018</v>
      </c>
      <c r="K82" s="123">
        <v>189427</v>
      </c>
      <c r="L82" s="123">
        <v>188020</v>
      </c>
      <c r="M82" s="123">
        <v>189959</v>
      </c>
      <c r="N82" s="123">
        <v>199702</v>
      </c>
      <c r="O82" s="123">
        <v>200445</v>
      </c>
      <c r="P82" s="123">
        <v>218302</v>
      </c>
      <c r="Q82" s="123">
        <v>231631</v>
      </c>
      <c r="R82" s="123">
        <v>250423</v>
      </c>
      <c r="S82" s="123">
        <v>269902</v>
      </c>
      <c r="T82" s="123">
        <v>293140</v>
      </c>
      <c r="U82" s="149">
        <f t="shared" si="47"/>
        <v>0.54750906681729639</v>
      </c>
      <c r="V82" s="149">
        <f t="shared" si="48"/>
        <v>0.34281866405255107</v>
      </c>
      <c r="W82" s="149">
        <f t="shared" si="49"/>
        <v>8.6097917021733819E-2</v>
      </c>
      <c r="X82" s="218">
        <f t="shared" si="51"/>
        <v>0.22084704492580673</v>
      </c>
      <c r="Y82" s="219">
        <f t="shared" si="50"/>
        <v>23238</v>
      </c>
    </row>
    <row r="83" spans="1:26" s="42" customFormat="1" x14ac:dyDescent="0.25">
      <c r="A83" s="92" t="s">
        <v>4</v>
      </c>
      <c r="B83" s="2">
        <v>505382</v>
      </c>
      <c r="C83" s="2">
        <v>524610</v>
      </c>
      <c r="D83" s="2">
        <v>549736</v>
      </c>
      <c r="E83" s="2">
        <v>585391</v>
      </c>
      <c r="F83" s="2">
        <v>615811</v>
      </c>
      <c r="G83" s="2">
        <v>631266</v>
      </c>
      <c r="H83" s="2">
        <v>645333</v>
      </c>
      <c r="I83" s="2">
        <v>645367</v>
      </c>
      <c r="J83" s="2">
        <v>646195</v>
      </c>
      <c r="K83" s="2">
        <v>655781</v>
      </c>
      <c r="L83" s="2">
        <v>665806</v>
      </c>
      <c r="M83" s="89">
        <v>678213</v>
      </c>
      <c r="N83" s="2">
        <v>677084</v>
      </c>
      <c r="O83" s="2">
        <v>660109</v>
      </c>
      <c r="P83" s="2">
        <v>691375</v>
      </c>
      <c r="Q83" s="2">
        <v>685435</v>
      </c>
      <c r="R83" s="2">
        <v>693662</v>
      </c>
      <c r="S83" s="2">
        <v>706040</v>
      </c>
      <c r="T83" s="2">
        <v>731981</v>
      </c>
      <c r="U83" s="150">
        <f t="shared" si="47"/>
        <v>0.11619732807141409</v>
      </c>
      <c r="V83" s="150">
        <f t="shared" si="48"/>
        <v>5.873223648526487E-2</v>
      </c>
      <c r="W83" s="150">
        <f t="shared" si="49"/>
        <v>3.6741544388419922E-2</v>
      </c>
      <c r="X83" s="220">
        <f t="shared" si="51"/>
        <v>0.55146292144312248</v>
      </c>
      <c r="Y83" s="221">
        <f t="shared" si="50"/>
        <v>25941</v>
      </c>
    </row>
    <row r="84" spans="1:26" x14ac:dyDescent="0.25">
      <c r="A84" s="144" t="s">
        <v>82</v>
      </c>
      <c r="B84" s="93">
        <v>22191</v>
      </c>
      <c r="C84" s="93">
        <v>22280</v>
      </c>
      <c r="D84" s="93">
        <v>24424</v>
      </c>
      <c r="E84" s="93">
        <v>25895</v>
      </c>
      <c r="F84" s="93">
        <v>28022</v>
      </c>
      <c r="G84" s="93">
        <v>29203</v>
      </c>
      <c r="H84" s="93">
        <v>32271</v>
      </c>
      <c r="I84" s="93">
        <v>31114</v>
      </c>
      <c r="J84" s="93">
        <v>29183</v>
      </c>
      <c r="K84" s="123">
        <v>28442</v>
      </c>
      <c r="L84" s="123">
        <v>29803</v>
      </c>
      <c r="M84" s="123">
        <v>29422</v>
      </c>
      <c r="N84" s="123">
        <v>26537</v>
      </c>
      <c r="O84" s="123">
        <v>24461</v>
      </c>
      <c r="P84" s="123">
        <v>22987</v>
      </c>
      <c r="Q84" s="123">
        <v>21390</v>
      </c>
      <c r="R84" s="123">
        <v>20759</v>
      </c>
      <c r="S84" s="123">
        <v>20270</v>
      </c>
      <c r="T84" s="123">
        <v>19963</v>
      </c>
      <c r="U84" s="149">
        <f t="shared" si="47"/>
        <v>-0.29811546304760567</v>
      </c>
      <c r="V84" s="149">
        <f t="shared" si="48"/>
        <v>-0.13155261669639362</v>
      </c>
      <c r="W84" s="149">
        <f t="shared" si="49"/>
        <v>-1.5145535273803652E-2</v>
      </c>
      <c r="X84" s="218">
        <f t="shared" si="51"/>
        <v>1.5039808821224942E-2</v>
      </c>
      <c r="Y84" s="219">
        <f t="shared" si="50"/>
        <v>-307</v>
      </c>
    </row>
    <row r="85" spans="1:26" x14ac:dyDescent="0.25">
      <c r="A85" s="144" t="s">
        <v>327</v>
      </c>
      <c r="B85" s="93">
        <v>27776</v>
      </c>
      <c r="C85" s="93">
        <v>30992</v>
      </c>
      <c r="D85" s="93">
        <v>32770</v>
      </c>
      <c r="E85" s="93">
        <v>37274</v>
      </c>
      <c r="F85" s="93">
        <v>40495</v>
      </c>
      <c r="G85" s="93">
        <v>40045</v>
      </c>
      <c r="H85" s="93">
        <v>42346</v>
      </c>
      <c r="I85" s="93">
        <v>42185</v>
      </c>
      <c r="J85" s="93">
        <v>41239</v>
      </c>
      <c r="K85" s="123">
        <v>33826</v>
      </c>
      <c r="L85" s="123">
        <v>31198</v>
      </c>
      <c r="M85" s="123">
        <v>29554</v>
      </c>
      <c r="N85" s="123">
        <v>26246</v>
      </c>
      <c r="O85" s="123">
        <v>20510</v>
      </c>
      <c r="P85" s="123">
        <v>18638</v>
      </c>
      <c r="Q85" s="123">
        <v>14497</v>
      </c>
      <c r="R85" s="123">
        <v>11780</v>
      </c>
      <c r="S85" s="123">
        <v>10243</v>
      </c>
      <c r="T85" s="123">
        <v>10687</v>
      </c>
      <c r="U85" s="149">
        <f t="shared" si="47"/>
        <v>-0.68405959912493353</v>
      </c>
      <c r="V85" s="149">
        <f t="shared" si="48"/>
        <v>-0.42660156669170513</v>
      </c>
      <c r="W85" s="149">
        <f t="shared" si="49"/>
        <v>4.3346675778580493E-2</v>
      </c>
      <c r="X85" s="218">
        <f t="shared" si="51"/>
        <v>8.051416965006811E-3</v>
      </c>
      <c r="Y85" s="219">
        <f t="shared" si="50"/>
        <v>444</v>
      </c>
    </row>
    <row r="86" spans="1:26" x14ac:dyDescent="0.25">
      <c r="A86" s="144" t="s">
        <v>286</v>
      </c>
      <c r="B86" s="93">
        <v>8330</v>
      </c>
      <c r="C86" s="93">
        <v>9437</v>
      </c>
      <c r="D86" s="93">
        <v>7079</v>
      </c>
      <c r="E86" s="93">
        <v>7659</v>
      </c>
      <c r="F86" s="93">
        <v>7407</v>
      </c>
      <c r="G86" s="93">
        <v>6870</v>
      </c>
      <c r="H86" s="93">
        <v>8834</v>
      </c>
      <c r="I86" s="93">
        <v>8741</v>
      </c>
      <c r="J86" s="93">
        <v>8322</v>
      </c>
      <c r="K86" s="123">
        <v>8907</v>
      </c>
      <c r="L86" s="123">
        <v>11687</v>
      </c>
      <c r="M86" s="123">
        <v>13440</v>
      </c>
      <c r="N86" s="123">
        <v>15161</v>
      </c>
      <c r="O86" s="123">
        <v>15175</v>
      </c>
      <c r="P86" s="123">
        <v>14441</v>
      </c>
      <c r="Q86" s="123">
        <v>14645</v>
      </c>
      <c r="R86" s="123">
        <v>15668</v>
      </c>
      <c r="S86" s="123">
        <v>15960</v>
      </c>
      <c r="T86" s="123">
        <v>17086</v>
      </c>
      <c r="U86" s="149">
        <f t="shared" si="47"/>
        <v>0.91826653194116992</v>
      </c>
      <c r="V86" s="149">
        <f t="shared" si="48"/>
        <v>0.18315906100685547</v>
      </c>
      <c r="W86" s="149">
        <f t="shared" si="49"/>
        <v>7.0551378446115282E-2</v>
      </c>
      <c r="X86" s="218">
        <f t="shared" si="51"/>
        <v>1.2872322472546679E-2</v>
      </c>
      <c r="Y86" s="219">
        <f t="shared" si="50"/>
        <v>1126</v>
      </c>
    </row>
    <row r="87" spans="1:26" x14ac:dyDescent="0.25">
      <c r="A87" s="144" t="s">
        <v>83</v>
      </c>
      <c r="B87" s="93">
        <v>9421</v>
      </c>
      <c r="C87" s="93">
        <v>9849</v>
      </c>
      <c r="D87" s="93">
        <v>8126</v>
      </c>
      <c r="E87" s="93">
        <v>8849</v>
      </c>
      <c r="F87" s="93">
        <v>8826</v>
      </c>
      <c r="G87" s="93">
        <v>8681</v>
      </c>
      <c r="H87" s="93">
        <v>8765</v>
      </c>
      <c r="I87" s="93">
        <v>8437</v>
      </c>
      <c r="J87" s="93">
        <v>9291</v>
      </c>
      <c r="K87" s="123">
        <v>9780</v>
      </c>
      <c r="L87" s="123">
        <v>11755</v>
      </c>
      <c r="M87" s="123">
        <v>10145</v>
      </c>
      <c r="N87" s="123">
        <v>10449</v>
      </c>
      <c r="O87" s="123">
        <v>10305</v>
      </c>
      <c r="P87" s="123">
        <v>12288</v>
      </c>
      <c r="Q87" s="123">
        <v>12259</v>
      </c>
      <c r="R87" s="123">
        <v>12499</v>
      </c>
      <c r="S87" s="123">
        <v>12163</v>
      </c>
      <c r="T87" s="123">
        <v>12860</v>
      </c>
      <c r="U87" s="149">
        <f t="shared" si="47"/>
        <v>0.31492842535787319</v>
      </c>
      <c r="V87" s="149">
        <f t="shared" si="48"/>
        <v>4.6549479166666664E-2</v>
      </c>
      <c r="W87" s="149">
        <f t="shared" si="49"/>
        <v>5.7304941215160735E-2</v>
      </c>
      <c r="X87" s="218">
        <f t="shared" si="51"/>
        <v>9.6885208355934858E-3</v>
      </c>
      <c r="Y87" s="219">
        <f t="shared" si="50"/>
        <v>697</v>
      </c>
    </row>
    <row r="88" spans="1:26" x14ac:dyDescent="0.25">
      <c r="A88" s="144" t="s">
        <v>328</v>
      </c>
      <c r="B88" s="93">
        <v>437664</v>
      </c>
      <c r="C88" s="93">
        <v>452052</v>
      </c>
      <c r="D88" s="93">
        <v>477337</v>
      </c>
      <c r="E88" s="93">
        <v>505714</v>
      </c>
      <c r="F88" s="93">
        <v>531061</v>
      </c>
      <c r="G88" s="93">
        <v>546467</v>
      </c>
      <c r="H88" s="93">
        <v>553117</v>
      </c>
      <c r="I88" s="93">
        <v>554890</v>
      </c>
      <c r="J88" s="93">
        <v>558160</v>
      </c>
      <c r="K88" s="93">
        <v>574826</v>
      </c>
      <c r="L88" s="93">
        <v>581363</v>
      </c>
      <c r="M88" s="123">
        <v>595652</v>
      </c>
      <c r="N88" s="93">
        <v>598691</v>
      </c>
      <c r="O88" s="93">
        <v>589658</v>
      </c>
      <c r="P88" s="93">
        <v>623021</v>
      </c>
      <c r="Q88" s="93">
        <v>622644</v>
      </c>
      <c r="R88" s="93">
        <v>632956</v>
      </c>
      <c r="S88" s="93">
        <v>647404</v>
      </c>
      <c r="T88" s="93">
        <v>671385</v>
      </c>
      <c r="U88" s="149">
        <f t="shared" si="47"/>
        <v>0.16797952771795291</v>
      </c>
      <c r="V88" s="149">
        <f t="shared" si="48"/>
        <v>7.7628201938618441E-2</v>
      </c>
      <c r="W88" s="149">
        <f t="shared" si="49"/>
        <v>3.7041785345780995E-2</v>
      </c>
      <c r="X88" s="218">
        <f t="shared" si="51"/>
        <v>0.50581085234875056</v>
      </c>
      <c r="Y88" s="219">
        <f t="shared" si="50"/>
        <v>23981</v>
      </c>
    </row>
    <row r="89" spans="1:26" s="42" customFormat="1" ht="15" customHeight="1" x14ac:dyDescent="0.25">
      <c r="A89" s="92" t="s">
        <v>0</v>
      </c>
      <c r="B89" s="2">
        <v>748344</v>
      </c>
      <c r="C89" s="2">
        <v>783349</v>
      </c>
      <c r="D89" s="2">
        <v>849340</v>
      </c>
      <c r="E89" s="2">
        <v>938258</v>
      </c>
      <c r="F89" s="2">
        <v>1015077</v>
      </c>
      <c r="G89" s="2">
        <v>1064816</v>
      </c>
      <c r="H89" s="2">
        <v>1114277</v>
      </c>
      <c r="I89" s="2">
        <v>1144381</v>
      </c>
      <c r="J89" s="2">
        <v>1165906</v>
      </c>
      <c r="K89" s="2">
        <v>1178480</v>
      </c>
      <c r="L89" s="2">
        <v>1177292</v>
      </c>
      <c r="M89" s="89">
        <v>1188045</v>
      </c>
      <c r="N89" s="2">
        <v>1194459</v>
      </c>
      <c r="O89" s="2">
        <v>1151834</v>
      </c>
      <c r="P89" s="2">
        <v>1204376</v>
      </c>
      <c r="Q89" s="2">
        <v>1214011</v>
      </c>
      <c r="R89" s="2">
        <v>1249419</v>
      </c>
      <c r="S89" s="2">
        <v>1277611</v>
      </c>
      <c r="T89" s="2">
        <v>1327344</v>
      </c>
      <c r="U89" s="150">
        <f t="shared" si="47"/>
        <v>0.1263186477496436</v>
      </c>
      <c r="V89" s="150">
        <f t="shared" si="48"/>
        <v>0.10210100500176025</v>
      </c>
      <c r="W89" s="150">
        <f t="shared" si="49"/>
        <v>3.8926559023051616E-2</v>
      </c>
      <c r="X89" s="220">
        <f t="shared" si="51"/>
        <v>1</v>
      </c>
      <c r="Y89" s="221">
        <f t="shared" si="50"/>
        <v>49733</v>
      </c>
    </row>
    <row r="90" spans="1:26" x14ac:dyDescent="0.25">
      <c r="A90" s="3"/>
      <c r="B90" s="27"/>
      <c r="C90" s="27"/>
      <c r="D90" s="27"/>
      <c r="E90" s="27"/>
      <c r="F90" s="28"/>
      <c r="G90" s="28"/>
      <c r="H90" s="28"/>
      <c r="I90" s="28"/>
      <c r="J90" s="28"/>
      <c r="K90" s="28"/>
      <c r="L90" s="28"/>
      <c r="M90" s="28"/>
      <c r="N90" s="28"/>
      <c r="O90" s="28"/>
      <c r="P90" s="28"/>
      <c r="Q90" s="28"/>
      <c r="R90" s="28"/>
      <c r="S90" s="28"/>
      <c r="T90" s="28"/>
      <c r="U90" s="28"/>
      <c r="V90" s="27"/>
      <c r="W90" s="27"/>
      <c r="X90" s="27"/>
      <c r="Y90" s="27"/>
    </row>
    <row r="91" spans="1:26" ht="18" x14ac:dyDescent="0.25">
      <c r="A91" s="22" t="s">
        <v>613</v>
      </c>
      <c r="B91" s="22"/>
      <c r="C91" s="22"/>
      <c r="D91" s="22"/>
      <c r="E91" s="22"/>
      <c r="F91" s="22"/>
      <c r="G91" s="22"/>
      <c r="H91" s="22"/>
      <c r="I91" s="3"/>
      <c r="J91" s="3"/>
      <c r="K91" s="3"/>
      <c r="L91" s="3"/>
      <c r="N91" s="3"/>
      <c r="O91" s="3"/>
      <c r="P91" s="3"/>
      <c r="Q91" s="3"/>
      <c r="R91" s="3"/>
      <c r="S91" s="3"/>
      <c r="T91" s="3"/>
      <c r="U91" s="27"/>
      <c r="V91" s="27"/>
      <c r="W91" s="27"/>
      <c r="X91" s="27"/>
      <c r="Y91" s="27"/>
    </row>
    <row r="92" spans="1:26" ht="44.1" customHeight="1" x14ac:dyDescent="0.25">
      <c r="A92" s="120" t="s">
        <v>108</v>
      </c>
      <c r="B92" s="105">
        <v>2007</v>
      </c>
      <c r="C92" s="105">
        <v>2008</v>
      </c>
      <c r="D92" s="105">
        <v>2009</v>
      </c>
      <c r="E92" s="105">
        <v>2010</v>
      </c>
      <c r="F92" s="105">
        <v>2011</v>
      </c>
      <c r="G92" s="105">
        <v>2012</v>
      </c>
      <c r="H92" s="105">
        <v>2013</v>
      </c>
      <c r="I92" s="105">
        <v>2014</v>
      </c>
      <c r="J92" s="105">
        <v>2015</v>
      </c>
      <c r="K92" s="105">
        <v>2016</v>
      </c>
      <c r="L92" s="105">
        <v>2017</v>
      </c>
      <c r="M92" s="132">
        <v>2018</v>
      </c>
      <c r="N92" s="105">
        <v>2019</v>
      </c>
      <c r="O92" s="105">
        <v>2020</v>
      </c>
      <c r="P92" s="105">
        <v>2021</v>
      </c>
      <c r="Q92" s="105">
        <v>2022</v>
      </c>
      <c r="R92" s="105">
        <v>2023</v>
      </c>
      <c r="S92" s="105">
        <v>2024</v>
      </c>
      <c r="T92" s="105">
        <v>2025</v>
      </c>
      <c r="U92" s="106" t="s">
        <v>546</v>
      </c>
      <c r="V92" s="106" t="s">
        <v>547</v>
      </c>
      <c r="W92" s="106" t="s">
        <v>548</v>
      </c>
      <c r="X92" s="106" t="s">
        <v>549</v>
      </c>
      <c r="Y92" s="216" t="s">
        <v>563</v>
      </c>
    </row>
    <row r="93" spans="1:26" s="42" customFormat="1" x14ac:dyDescent="0.25">
      <c r="A93" s="92" t="s">
        <v>2</v>
      </c>
      <c r="B93" s="2">
        <v>43912</v>
      </c>
      <c r="C93" s="2">
        <v>47056</v>
      </c>
      <c r="D93" s="2">
        <v>53202</v>
      </c>
      <c r="E93" s="2">
        <v>63115</v>
      </c>
      <c r="F93" s="2">
        <v>64035</v>
      </c>
      <c r="G93" s="2">
        <v>62584</v>
      </c>
      <c r="H93" s="2">
        <v>64724</v>
      </c>
      <c r="I93" s="2">
        <v>65941</v>
      </c>
      <c r="J93" s="2">
        <v>63551</v>
      </c>
      <c r="K93" s="2">
        <v>59423</v>
      </c>
      <c r="L93" s="2">
        <v>60034</v>
      </c>
      <c r="M93" s="2">
        <v>59203</v>
      </c>
      <c r="N93" s="2">
        <v>60906</v>
      </c>
      <c r="O93" s="2">
        <v>56159</v>
      </c>
      <c r="P93" s="2">
        <v>58299</v>
      </c>
      <c r="Q93" s="89">
        <v>56028</v>
      </c>
      <c r="R93" s="89">
        <v>60184</v>
      </c>
      <c r="S93" s="89">
        <v>66771</v>
      </c>
      <c r="T93" s="89">
        <v>68900</v>
      </c>
      <c r="U93" s="150">
        <f t="shared" ref="U93:U104" si="52">(T93-K93)/K93</f>
        <v>0.15948370159702471</v>
      </c>
      <c r="V93" s="150">
        <f t="shared" ref="V93:V104" si="53">(T93-P93)/P93</f>
        <v>0.18183845348976826</v>
      </c>
      <c r="W93" s="150">
        <f t="shared" ref="W93:W104" si="54">(T93-S93)/S93</f>
        <v>3.1885099818783603E-2</v>
      </c>
      <c r="X93" s="220">
        <f>T93/T$16</f>
        <v>0.18998039534672112</v>
      </c>
      <c r="Y93" s="221">
        <f t="shared" ref="Y93:Y104" si="55">T93-S93</f>
        <v>2129</v>
      </c>
    </row>
    <row r="94" spans="1:26" x14ac:dyDescent="0.25">
      <c r="A94" s="144" t="s">
        <v>82</v>
      </c>
      <c r="B94" s="93">
        <v>43912</v>
      </c>
      <c r="C94" s="93">
        <v>47056</v>
      </c>
      <c r="D94" s="93">
        <v>53202</v>
      </c>
      <c r="E94" s="93">
        <v>63115</v>
      </c>
      <c r="F94" s="93">
        <v>64035</v>
      </c>
      <c r="G94" s="93">
        <v>62584</v>
      </c>
      <c r="H94" s="93">
        <v>64724</v>
      </c>
      <c r="I94" s="93">
        <v>65941</v>
      </c>
      <c r="J94" s="93">
        <v>63551</v>
      </c>
      <c r="K94" s="93">
        <v>59423</v>
      </c>
      <c r="L94" s="93">
        <v>60034</v>
      </c>
      <c r="M94" s="93">
        <v>59203</v>
      </c>
      <c r="N94" s="93">
        <v>60906</v>
      </c>
      <c r="O94" s="93">
        <v>56159</v>
      </c>
      <c r="P94" s="93">
        <v>58299</v>
      </c>
      <c r="Q94" s="123">
        <v>56028</v>
      </c>
      <c r="R94" s="123">
        <v>60184</v>
      </c>
      <c r="S94" s="123">
        <v>66771</v>
      </c>
      <c r="T94" s="123">
        <v>68900</v>
      </c>
      <c r="U94" s="149">
        <f t="shared" si="52"/>
        <v>0.15948370159702471</v>
      </c>
      <c r="V94" s="149">
        <f t="shared" si="53"/>
        <v>0.18183845348976826</v>
      </c>
      <c r="W94" s="149">
        <f t="shared" si="54"/>
        <v>3.1885099818783603E-2</v>
      </c>
      <c r="X94" s="218">
        <f t="shared" ref="X94:X104" si="56">T94/T$16</f>
        <v>0.18998039534672112</v>
      </c>
      <c r="Y94" s="219">
        <f t="shared" si="55"/>
        <v>2129</v>
      </c>
      <c r="Z94" s="12"/>
    </row>
    <row r="95" spans="1:26" s="42" customFormat="1" x14ac:dyDescent="0.25">
      <c r="A95" s="92" t="s">
        <v>3</v>
      </c>
      <c r="B95" s="2">
        <v>68128</v>
      </c>
      <c r="C95" s="2">
        <v>68712</v>
      </c>
      <c r="D95" s="2">
        <v>81182</v>
      </c>
      <c r="E95" s="2">
        <v>95186</v>
      </c>
      <c r="F95" s="2">
        <v>105562</v>
      </c>
      <c r="G95" s="2">
        <v>111783</v>
      </c>
      <c r="H95" s="2">
        <v>126264</v>
      </c>
      <c r="I95" s="2">
        <v>128343</v>
      </c>
      <c r="J95" s="2">
        <v>124380</v>
      </c>
      <c r="K95" s="2">
        <v>123220</v>
      </c>
      <c r="L95" s="2">
        <v>119657</v>
      </c>
      <c r="M95" s="2">
        <v>121506</v>
      </c>
      <c r="N95" s="2">
        <v>121894</v>
      </c>
      <c r="O95" s="2">
        <v>109617</v>
      </c>
      <c r="P95" s="2">
        <v>120935</v>
      </c>
      <c r="Q95" s="89">
        <v>129801</v>
      </c>
      <c r="R95" s="89">
        <v>135710</v>
      </c>
      <c r="S95" s="89">
        <v>130410</v>
      </c>
      <c r="T95" s="89">
        <v>134647</v>
      </c>
      <c r="U95" s="150">
        <f t="shared" si="52"/>
        <v>9.2736568738841091E-2</v>
      </c>
      <c r="V95" s="150">
        <f t="shared" si="53"/>
        <v>0.11338322239219416</v>
      </c>
      <c r="W95" s="150">
        <f t="shared" si="54"/>
        <v>3.2489839736216546E-2</v>
      </c>
      <c r="X95" s="220">
        <f t="shared" si="56"/>
        <v>0.37126691280478896</v>
      </c>
      <c r="Y95" s="221">
        <f t="shared" si="55"/>
        <v>4237</v>
      </c>
    </row>
    <row r="96" spans="1:26" x14ac:dyDescent="0.25">
      <c r="A96" s="144" t="s">
        <v>82</v>
      </c>
      <c r="B96" s="93">
        <v>28343</v>
      </c>
      <c r="C96" s="93">
        <v>29424</v>
      </c>
      <c r="D96" s="93">
        <v>37612</v>
      </c>
      <c r="E96" s="93">
        <v>46941</v>
      </c>
      <c r="F96" s="93">
        <v>57684</v>
      </c>
      <c r="G96" s="93">
        <v>67233</v>
      </c>
      <c r="H96" s="93">
        <v>73968</v>
      </c>
      <c r="I96" s="93">
        <v>79376</v>
      </c>
      <c r="J96" s="93">
        <v>83249</v>
      </c>
      <c r="K96" s="93">
        <v>81338</v>
      </c>
      <c r="L96" s="93">
        <v>76290</v>
      </c>
      <c r="M96" s="93">
        <v>75422</v>
      </c>
      <c r="N96" s="93">
        <v>71479</v>
      </c>
      <c r="O96" s="93">
        <v>60659</v>
      </c>
      <c r="P96" s="93">
        <v>64728</v>
      </c>
      <c r="Q96" s="123">
        <v>68315</v>
      </c>
      <c r="R96" s="123">
        <v>66714</v>
      </c>
      <c r="S96" s="123">
        <v>58211</v>
      </c>
      <c r="T96" s="123">
        <v>58321</v>
      </c>
      <c r="U96" s="149">
        <f t="shared" si="52"/>
        <v>-0.28297966510118272</v>
      </c>
      <c r="V96" s="149">
        <f t="shared" si="53"/>
        <v>-9.898343838833272E-2</v>
      </c>
      <c r="W96" s="149">
        <f t="shared" si="54"/>
        <v>1.8896772087749739E-3</v>
      </c>
      <c r="X96" s="218">
        <f t="shared" si="56"/>
        <v>0.16081054625567667</v>
      </c>
      <c r="Y96" s="219">
        <f t="shared" si="55"/>
        <v>110</v>
      </c>
    </row>
    <row r="97" spans="1:26" x14ac:dyDescent="0.25">
      <c r="A97" s="144" t="s">
        <v>327</v>
      </c>
      <c r="B97" s="93">
        <v>39785</v>
      </c>
      <c r="C97" s="93">
        <v>39288</v>
      </c>
      <c r="D97" s="93">
        <v>43570</v>
      </c>
      <c r="E97" s="93">
        <v>48245</v>
      </c>
      <c r="F97" s="93">
        <v>47878</v>
      </c>
      <c r="G97" s="93">
        <v>44550</v>
      </c>
      <c r="H97" s="93">
        <v>52296</v>
      </c>
      <c r="I97" s="93">
        <v>48967</v>
      </c>
      <c r="J97" s="93">
        <v>41131</v>
      </c>
      <c r="K97" s="93">
        <v>41882</v>
      </c>
      <c r="L97" s="93">
        <v>43367</v>
      </c>
      <c r="M97" s="93">
        <v>46084</v>
      </c>
      <c r="N97" s="93">
        <v>50415</v>
      </c>
      <c r="O97" s="93">
        <v>48958</v>
      </c>
      <c r="P97" s="93">
        <v>56207</v>
      </c>
      <c r="Q97" s="123">
        <v>61486</v>
      </c>
      <c r="R97" s="123">
        <v>68996</v>
      </c>
      <c r="S97" s="123">
        <v>72199</v>
      </c>
      <c r="T97" s="123">
        <v>76326</v>
      </c>
      <c r="U97" s="149">
        <f t="shared" si="52"/>
        <v>0.82240580679050668</v>
      </c>
      <c r="V97" s="149">
        <f t="shared" si="53"/>
        <v>0.35794473997900617</v>
      </c>
      <c r="W97" s="149">
        <f t="shared" si="54"/>
        <v>5.7161456529868836E-2</v>
      </c>
      <c r="X97" s="218">
        <f t="shared" si="56"/>
        <v>0.21045636654911229</v>
      </c>
      <c r="Y97" s="219">
        <f t="shared" si="55"/>
        <v>4127</v>
      </c>
      <c r="Z97" s="12"/>
    </row>
    <row r="98" spans="1:26" s="42" customFormat="1" x14ac:dyDescent="0.25">
      <c r="A98" s="92" t="s">
        <v>4</v>
      </c>
      <c r="B98" s="2">
        <v>131339</v>
      </c>
      <c r="C98" s="2">
        <v>137196</v>
      </c>
      <c r="D98" s="2">
        <v>147263</v>
      </c>
      <c r="E98" s="2">
        <v>156757</v>
      </c>
      <c r="F98" s="2">
        <v>158726</v>
      </c>
      <c r="G98" s="2">
        <v>158461</v>
      </c>
      <c r="H98" s="2">
        <v>152012</v>
      </c>
      <c r="I98" s="2">
        <v>147176</v>
      </c>
      <c r="J98" s="2">
        <v>149828</v>
      </c>
      <c r="K98" s="2">
        <v>155263</v>
      </c>
      <c r="L98" s="2">
        <v>155580</v>
      </c>
      <c r="M98" s="2">
        <v>154181</v>
      </c>
      <c r="N98" s="2">
        <v>147853</v>
      </c>
      <c r="O98" s="2">
        <v>137646</v>
      </c>
      <c r="P98" s="2">
        <v>135217</v>
      </c>
      <c r="Q98" s="89">
        <v>132582</v>
      </c>
      <c r="R98" s="89">
        <v>149635</v>
      </c>
      <c r="S98" s="89">
        <v>153502</v>
      </c>
      <c r="T98" s="89">
        <v>159122</v>
      </c>
      <c r="U98" s="150">
        <f t="shared" si="52"/>
        <v>2.4854601547052421E-2</v>
      </c>
      <c r="V98" s="150">
        <f t="shared" si="53"/>
        <v>0.17678990067816916</v>
      </c>
      <c r="W98" s="150">
        <f t="shared" si="54"/>
        <v>3.6611900822139123E-2</v>
      </c>
      <c r="X98" s="220">
        <f t="shared" si="56"/>
        <v>0.43875269184848997</v>
      </c>
      <c r="Y98" s="221">
        <f t="shared" si="55"/>
        <v>5620</v>
      </c>
    </row>
    <row r="99" spans="1:26" x14ac:dyDescent="0.25">
      <c r="A99" s="144" t="s">
        <v>82</v>
      </c>
      <c r="B99" s="93">
        <v>8336</v>
      </c>
      <c r="C99" s="93">
        <v>8880</v>
      </c>
      <c r="D99" s="93">
        <v>10204</v>
      </c>
      <c r="E99" s="93">
        <v>12066</v>
      </c>
      <c r="F99" s="93">
        <v>11858</v>
      </c>
      <c r="G99" s="93">
        <v>12480</v>
      </c>
      <c r="H99" s="93">
        <v>14473</v>
      </c>
      <c r="I99" s="93">
        <v>12445</v>
      </c>
      <c r="J99" s="93">
        <v>11226</v>
      </c>
      <c r="K99" s="93">
        <v>11572</v>
      </c>
      <c r="L99" s="93">
        <v>11992</v>
      </c>
      <c r="M99" s="93">
        <v>11766</v>
      </c>
      <c r="N99" s="93">
        <v>10840</v>
      </c>
      <c r="O99" s="93">
        <v>10004</v>
      </c>
      <c r="P99" s="93">
        <v>8767</v>
      </c>
      <c r="Q99" s="123">
        <v>9297</v>
      </c>
      <c r="R99" s="123">
        <v>9065</v>
      </c>
      <c r="S99" s="123">
        <v>8460</v>
      </c>
      <c r="T99" s="123">
        <v>9026</v>
      </c>
      <c r="U99" s="149">
        <f t="shared" si="52"/>
        <v>-0.22001382647770482</v>
      </c>
      <c r="V99" s="149">
        <f t="shared" si="53"/>
        <v>2.9542602942853883E-2</v>
      </c>
      <c r="W99" s="149">
        <f t="shared" si="54"/>
        <v>6.6903073286052009E-2</v>
      </c>
      <c r="X99" s="218">
        <f t="shared" si="56"/>
        <v>2.4887707523940563E-2</v>
      </c>
      <c r="Y99" s="219">
        <f t="shared" si="55"/>
        <v>566</v>
      </c>
    </row>
    <row r="100" spans="1:26" x14ac:dyDescent="0.25">
      <c r="A100" s="144" t="s">
        <v>327</v>
      </c>
      <c r="B100" s="93">
        <v>9574</v>
      </c>
      <c r="C100" s="93">
        <v>9652</v>
      </c>
      <c r="D100" s="93">
        <v>10307</v>
      </c>
      <c r="E100" s="93">
        <v>11531</v>
      </c>
      <c r="F100" s="93">
        <v>10927</v>
      </c>
      <c r="G100" s="93">
        <v>9073</v>
      </c>
      <c r="H100" s="93">
        <v>9052</v>
      </c>
      <c r="I100" s="93">
        <v>8490</v>
      </c>
      <c r="J100" s="93">
        <v>8270</v>
      </c>
      <c r="K100" s="93">
        <v>6403</v>
      </c>
      <c r="L100" s="93">
        <v>5598</v>
      </c>
      <c r="M100" s="93">
        <v>4901</v>
      </c>
      <c r="N100" s="93">
        <v>3386</v>
      </c>
      <c r="O100" s="93">
        <v>1712</v>
      </c>
      <c r="P100" s="93">
        <v>1988</v>
      </c>
      <c r="Q100" s="123">
        <v>1427</v>
      </c>
      <c r="R100" s="123">
        <v>1224</v>
      </c>
      <c r="S100" s="123">
        <v>1331</v>
      </c>
      <c r="T100" s="123">
        <v>1489</v>
      </c>
      <c r="U100" s="149">
        <f t="shared" si="52"/>
        <v>-0.76745275652038103</v>
      </c>
      <c r="V100" s="149">
        <f t="shared" si="53"/>
        <v>-0.25100603621730383</v>
      </c>
      <c r="W100" s="149">
        <f t="shared" si="54"/>
        <v>0.11870773854244929</v>
      </c>
      <c r="X100" s="218">
        <f t="shared" si="56"/>
        <v>4.1056721142419123E-3</v>
      </c>
      <c r="Y100" s="219">
        <f t="shared" si="55"/>
        <v>158</v>
      </c>
    </row>
    <row r="101" spans="1:26" x14ac:dyDescent="0.25">
      <c r="A101" s="144" t="s">
        <v>286</v>
      </c>
      <c r="B101" s="93">
        <v>4164</v>
      </c>
      <c r="C101" s="93">
        <v>4619</v>
      </c>
      <c r="D101" s="93">
        <v>3985</v>
      </c>
      <c r="E101" s="93">
        <v>4806</v>
      </c>
      <c r="F101" s="93">
        <v>4369</v>
      </c>
      <c r="G101" s="93">
        <v>4188</v>
      </c>
      <c r="H101" s="93">
        <v>5086</v>
      </c>
      <c r="I101" s="93">
        <v>5307</v>
      </c>
      <c r="J101" s="93">
        <v>5264</v>
      </c>
      <c r="K101" s="93">
        <v>5422</v>
      </c>
      <c r="L101" s="93">
        <v>6152</v>
      </c>
      <c r="M101" s="93">
        <v>7320</v>
      </c>
      <c r="N101" s="93">
        <v>7943</v>
      </c>
      <c r="O101" s="93">
        <v>7861</v>
      </c>
      <c r="P101" s="93">
        <v>7326</v>
      </c>
      <c r="Q101" s="123">
        <v>7254</v>
      </c>
      <c r="R101" s="123">
        <v>7982</v>
      </c>
      <c r="S101" s="123">
        <v>7973</v>
      </c>
      <c r="T101" s="123">
        <v>8590</v>
      </c>
      <c r="U101" s="149">
        <f t="shared" si="52"/>
        <v>0.5842862412393951</v>
      </c>
      <c r="V101" s="149">
        <f t="shared" si="53"/>
        <v>0.17253617253617254</v>
      </c>
      <c r="W101" s="149">
        <f t="shared" si="54"/>
        <v>7.7386178351937784E-2</v>
      </c>
      <c r="X101" s="218">
        <f t="shared" si="56"/>
        <v>2.3685509376318352E-2</v>
      </c>
      <c r="Y101" s="219">
        <f t="shared" si="55"/>
        <v>617</v>
      </c>
    </row>
    <row r="102" spans="1:26" x14ac:dyDescent="0.25">
      <c r="A102" s="144" t="s">
        <v>83</v>
      </c>
      <c r="B102" s="93">
        <v>2851</v>
      </c>
      <c r="C102" s="93">
        <v>2739</v>
      </c>
      <c r="D102" s="93">
        <v>2739</v>
      </c>
      <c r="E102" s="93">
        <v>2825</v>
      </c>
      <c r="F102" s="93">
        <v>2530</v>
      </c>
      <c r="G102" s="93">
        <v>2690</v>
      </c>
      <c r="H102" s="93">
        <v>2844</v>
      </c>
      <c r="I102" s="93">
        <v>2727</v>
      </c>
      <c r="J102" s="93">
        <v>3360</v>
      </c>
      <c r="K102" s="93">
        <v>3375</v>
      </c>
      <c r="L102" s="93">
        <v>4519</v>
      </c>
      <c r="M102" s="93">
        <v>3994</v>
      </c>
      <c r="N102" s="93">
        <v>3468</v>
      </c>
      <c r="O102" s="93">
        <v>3009</v>
      </c>
      <c r="P102" s="93">
        <v>3382</v>
      </c>
      <c r="Q102" s="123">
        <v>3100</v>
      </c>
      <c r="R102" s="123">
        <v>3367</v>
      </c>
      <c r="S102" s="123">
        <v>3358</v>
      </c>
      <c r="T102" s="123">
        <v>2994</v>
      </c>
      <c r="U102" s="149">
        <f t="shared" si="52"/>
        <v>-0.11288888888888889</v>
      </c>
      <c r="V102" s="149">
        <f t="shared" si="53"/>
        <v>-0.11472501478415138</v>
      </c>
      <c r="W102" s="149">
        <f t="shared" si="54"/>
        <v>-0.10839785586658725</v>
      </c>
      <c r="X102" s="218">
        <f t="shared" si="56"/>
        <v>8.2554615916993184E-3</v>
      </c>
      <c r="Y102" s="219">
        <f t="shared" si="55"/>
        <v>-364</v>
      </c>
    </row>
    <row r="103" spans="1:26" x14ac:dyDescent="0.25">
      <c r="A103" s="144" t="s">
        <v>328</v>
      </c>
      <c r="B103" s="93">
        <v>106414</v>
      </c>
      <c r="C103" s="93">
        <v>111306</v>
      </c>
      <c r="D103" s="93">
        <v>120028</v>
      </c>
      <c r="E103" s="93">
        <v>125529</v>
      </c>
      <c r="F103" s="93">
        <v>129042</v>
      </c>
      <c r="G103" s="93">
        <v>130030</v>
      </c>
      <c r="H103" s="93">
        <v>120557</v>
      </c>
      <c r="I103" s="93">
        <v>118207</v>
      </c>
      <c r="J103" s="93">
        <v>121708</v>
      </c>
      <c r="K103" s="93">
        <v>128491</v>
      </c>
      <c r="L103" s="93">
        <v>127319</v>
      </c>
      <c r="M103" s="93">
        <v>126200</v>
      </c>
      <c r="N103" s="93">
        <v>122216</v>
      </c>
      <c r="O103" s="93">
        <v>115060</v>
      </c>
      <c r="P103" s="93">
        <v>113754</v>
      </c>
      <c r="Q103" s="123">
        <v>111504</v>
      </c>
      <c r="R103" s="123">
        <v>127997</v>
      </c>
      <c r="S103" s="123">
        <v>132380</v>
      </c>
      <c r="T103" s="123">
        <v>137023</v>
      </c>
      <c r="U103" s="149">
        <f t="shared" si="52"/>
        <v>6.6401537850900069E-2</v>
      </c>
      <c r="V103" s="149">
        <f t="shared" si="53"/>
        <v>0.20455544420415986</v>
      </c>
      <c r="W103" s="149">
        <f t="shared" si="54"/>
        <v>3.5073273908445383E-2</v>
      </c>
      <c r="X103" s="218">
        <f t="shared" si="56"/>
        <v>0.3778183412422898</v>
      </c>
      <c r="Y103" s="219">
        <f t="shared" si="55"/>
        <v>4643</v>
      </c>
    </row>
    <row r="104" spans="1:26" s="42" customFormat="1" x14ac:dyDescent="0.25">
      <c r="A104" s="92" t="s">
        <v>0</v>
      </c>
      <c r="B104" s="2">
        <v>243379</v>
      </c>
      <c r="C104" s="2">
        <v>252964</v>
      </c>
      <c r="D104" s="2">
        <v>281647</v>
      </c>
      <c r="E104" s="2">
        <v>315058</v>
      </c>
      <c r="F104" s="2">
        <v>328323</v>
      </c>
      <c r="G104" s="2">
        <v>332828</v>
      </c>
      <c r="H104" s="2">
        <v>343000</v>
      </c>
      <c r="I104" s="2">
        <v>341460</v>
      </c>
      <c r="J104" s="2">
        <v>337759</v>
      </c>
      <c r="K104" s="2">
        <v>337906</v>
      </c>
      <c r="L104" s="2">
        <v>335271</v>
      </c>
      <c r="M104" s="2">
        <v>334890</v>
      </c>
      <c r="N104" s="2">
        <v>330653</v>
      </c>
      <c r="O104" s="2">
        <v>303422</v>
      </c>
      <c r="P104" s="2">
        <v>314451</v>
      </c>
      <c r="Q104" s="89">
        <v>318411</v>
      </c>
      <c r="R104" s="89">
        <v>345529</v>
      </c>
      <c r="S104" s="89">
        <v>350683</v>
      </c>
      <c r="T104" s="89">
        <v>362669</v>
      </c>
      <c r="U104" s="150">
        <f t="shared" si="52"/>
        <v>7.3283694281841699E-2</v>
      </c>
      <c r="V104" s="150">
        <f t="shared" si="53"/>
        <v>0.15334026605099046</v>
      </c>
      <c r="W104" s="150">
        <f t="shared" si="54"/>
        <v>3.4179016376613636E-2</v>
      </c>
      <c r="X104" s="220">
        <f t="shared" si="56"/>
        <v>1</v>
      </c>
      <c r="Y104" s="221">
        <f t="shared" si="55"/>
        <v>11986</v>
      </c>
    </row>
    <row r="105" spans="1:26" x14ac:dyDescent="0.25">
      <c r="A105" s="3"/>
      <c r="B105" s="27"/>
      <c r="C105" s="27"/>
      <c r="D105" s="27"/>
      <c r="E105" s="27"/>
      <c r="F105" s="28"/>
      <c r="G105" s="28"/>
      <c r="H105" s="28"/>
      <c r="I105" s="28"/>
      <c r="J105" s="28"/>
      <c r="K105" s="28"/>
      <c r="L105" s="28"/>
      <c r="M105" s="28"/>
      <c r="N105" s="28"/>
      <c r="O105" s="28"/>
      <c r="P105" s="28"/>
      <c r="Q105" s="28"/>
      <c r="R105" s="28"/>
      <c r="S105" s="28"/>
      <c r="T105" s="28"/>
      <c r="U105" s="28"/>
      <c r="V105" s="28"/>
      <c r="W105" s="27"/>
      <c r="X105" s="27"/>
      <c r="Y105" s="27"/>
    </row>
    <row r="106" spans="1:26" ht="15.75" x14ac:dyDescent="0.25">
      <c r="A106" s="22" t="s">
        <v>72</v>
      </c>
      <c r="B106" s="22"/>
      <c r="C106" s="22"/>
      <c r="D106" s="22"/>
      <c r="E106" s="22"/>
      <c r="F106" s="22"/>
      <c r="G106" s="22"/>
      <c r="H106" s="22"/>
      <c r="I106" s="3"/>
      <c r="J106" s="3"/>
      <c r="K106" s="3"/>
      <c r="L106" s="3"/>
      <c r="N106" s="3"/>
      <c r="O106" s="3"/>
      <c r="P106" s="3"/>
      <c r="Q106" s="3"/>
      <c r="R106" s="3"/>
      <c r="S106" s="3"/>
      <c r="T106" s="3"/>
      <c r="U106" s="27"/>
      <c r="V106" s="27"/>
      <c r="W106" s="27"/>
      <c r="X106" s="27"/>
      <c r="Y106" s="27"/>
    </row>
    <row r="107" spans="1:26" ht="44.1" customHeight="1" x14ac:dyDescent="0.25">
      <c r="A107" s="120" t="s">
        <v>56</v>
      </c>
      <c r="B107" s="105">
        <v>2007</v>
      </c>
      <c r="C107" s="105">
        <v>2008</v>
      </c>
      <c r="D107" s="105">
        <v>2009</v>
      </c>
      <c r="E107" s="105">
        <v>2010</v>
      </c>
      <c r="F107" s="105">
        <v>2011</v>
      </c>
      <c r="G107" s="105">
        <v>2012</v>
      </c>
      <c r="H107" s="105">
        <v>2013</v>
      </c>
      <c r="I107" s="105">
        <v>2014</v>
      </c>
      <c r="J107" s="105">
        <v>2015</v>
      </c>
      <c r="K107" s="105">
        <v>2016</v>
      </c>
      <c r="L107" s="105">
        <v>2017</v>
      </c>
      <c r="M107" s="132">
        <v>2018</v>
      </c>
      <c r="N107" s="105">
        <v>2019</v>
      </c>
      <c r="O107" s="105">
        <v>2020</v>
      </c>
      <c r="P107" s="105">
        <v>2021</v>
      </c>
      <c r="Q107" s="105">
        <v>2022</v>
      </c>
      <c r="R107" s="105">
        <v>2023</v>
      </c>
      <c r="S107" s="105">
        <v>2024</v>
      </c>
      <c r="T107" s="105">
        <v>2025</v>
      </c>
      <c r="U107" s="106" t="s">
        <v>546</v>
      </c>
      <c r="V107" s="106" t="s">
        <v>547</v>
      </c>
      <c r="W107" s="106" t="s">
        <v>548</v>
      </c>
      <c r="X107" s="106" t="s">
        <v>549</v>
      </c>
      <c r="Y107" s="216" t="s">
        <v>563</v>
      </c>
    </row>
    <row r="108" spans="1:26" x14ac:dyDescent="0.25">
      <c r="A108" s="88" t="s">
        <v>88</v>
      </c>
      <c r="B108" s="93">
        <v>587404</v>
      </c>
      <c r="C108" s="93">
        <v>609869</v>
      </c>
      <c r="D108" s="93">
        <v>647444</v>
      </c>
      <c r="E108" s="93">
        <v>705887</v>
      </c>
      <c r="F108" s="93">
        <v>748519</v>
      </c>
      <c r="G108" s="93">
        <v>771720</v>
      </c>
      <c r="H108" s="93">
        <v>795788</v>
      </c>
      <c r="I108" s="93">
        <v>809291</v>
      </c>
      <c r="J108" s="93">
        <v>821325</v>
      </c>
      <c r="K108" s="93">
        <v>829437</v>
      </c>
      <c r="L108" s="93">
        <v>835489</v>
      </c>
      <c r="M108" s="93">
        <v>853675</v>
      </c>
      <c r="N108" s="93">
        <v>862246</v>
      </c>
      <c r="O108" s="93">
        <v>846629</v>
      </c>
      <c r="P108" s="93">
        <v>870505</v>
      </c>
      <c r="Q108" s="123">
        <v>859480</v>
      </c>
      <c r="R108" s="123">
        <v>876860</v>
      </c>
      <c r="S108" s="123">
        <v>892848</v>
      </c>
      <c r="T108" s="123">
        <v>914448</v>
      </c>
      <c r="U108" s="149">
        <f t="shared" ref="U108:U113" si="57">(T108-K108)/K108</f>
        <v>0.10249241352869476</v>
      </c>
      <c r="V108" s="149">
        <f t="shared" ref="V108:V113" si="58">(T108-P108)/P108</f>
        <v>5.0479893854716518E-2</v>
      </c>
      <c r="W108" s="149">
        <f t="shared" ref="W108:W113" si="59">(T108-S108)/S108</f>
        <v>2.419224772861674E-2</v>
      </c>
      <c r="X108" s="218">
        <f>T108/T$9</f>
        <v>0.68893067659928398</v>
      </c>
      <c r="Y108" s="219">
        <f t="shared" ref="Y108:Y113" si="60">T108-S108</f>
        <v>21600</v>
      </c>
    </row>
    <row r="109" spans="1:26" x14ac:dyDescent="0.25">
      <c r="A109" s="88" t="s">
        <v>89</v>
      </c>
      <c r="B109" s="93">
        <v>148471</v>
      </c>
      <c r="C109" s="93">
        <v>163998</v>
      </c>
      <c r="D109" s="93">
        <v>187341</v>
      </c>
      <c r="E109" s="93">
        <v>215661</v>
      </c>
      <c r="F109" s="93">
        <v>243631</v>
      </c>
      <c r="G109" s="93">
        <v>266771</v>
      </c>
      <c r="H109" s="93">
        <v>297724</v>
      </c>
      <c r="I109" s="93">
        <v>308960</v>
      </c>
      <c r="J109" s="93">
        <v>314721</v>
      </c>
      <c r="K109" s="93">
        <v>307380</v>
      </c>
      <c r="L109" s="93">
        <v>295468</v>
      </c>
      <c r="M109" s="93">
        <v>281794</v>
      </c>
      <c r="N109" s="93">
        <v>269533</v>
      </c>
      <c r="O109" s="93">
        <v>238304</v>
      </c>
      <c r="P109" s="93">
        <v>240097</v>
      </c>
      <c r="Q109" s="123">
        <v>227630</v>
      </c>
      <c r="R109" s="123">
        <v>217197</v>
      </c>
      <c r="S109" s="123">
        <v>210756</v>
      </c>
      <c r="T109" s="123">
        <v>210072</v>
      </c>
      <c r="U109" s="149">
        <f t="shared" si="57"/>
        <v>-0.3165723209057193</v>
      </c>
      <c r="V109" s="149">
        <f t="shared" si="58"/>
        <v>-0.12505362416023524</v>
      </c>
      <c r="W109" s="149">
        <f t="shared" si="59"/>
        <v>-3.2454592040084269E-3</v>
      </c>
      <c r="X109" s="218">
        <f t="shared" ref="X109:X113" si="61">T109/T$9</f>
        <v>0.15826492604780676</v>
      </c>
      <c r="Y109" s="219">
        <f t="shared" si="60"/>
        <v>-684</v>
      </c>
    </row>
    <row r="110" spans="1:26" x14ac:dyDescent="0.25">
      <c r="A110" s="72" t="s">
        <v>90</v>
      </c>
      <c r="B110" s="11">
        <v>771</v>
      </c>
      <c r="C110" s="11">
        <v>1009</v>
      </c>
      <c r="D110" s="11">
        <v>613</v>
      </c>
      <c r="E110" s="11">
        <v>1652</v>
      </c>
      <c r="F110" s="11">
        <v>1958</v>
      </c>
      <c r="G110" s="11">
        <v>2827</v>
      </c>
      <c r="H110" s="11">
        <v>4296</v>
      </c>
      <c r="I110" s="11">
        <v>6628</v>
      </c>
      <c r="J110" s="11">
        <v>6224</v>
      </c>
      <c r="K110" s="11">
        <v>7102</v>
      </c>
      <c r="L110" s="11">
        <v>7517</v>
      </c>
      <c r="M110" s="11">
        <v>6377</v>
      </c>
      <c r="N110" s="11">
        <v>7302</v>
      </c>
      <c r="O110" s="11">
        <v>6401</v>
      </c>
      <c r="P110" s="11">
        <v>7212</v>
      </c>
      <c r="Q110" s="60">
        <v>8284</v>
      </c>
      <c r="R110" s="60">
        <v>11012</v>
      </c>
      <c r="S110" s="60">
        <v>13229</v>
      </c>
      <c r="T110" s="60">
        <v>17551</v>
      </c>
      <c r="U110" s="149">
        <f t="shared" si="57"/>
        <v>1.4712756969867642</v>
      </c>
      <c r="V110" s="149">
        <f t="shared" si="58"/>
        <v>1.4335829173599557</v>
      </c>
      <c r="W110" s="149">
        <f t="shared" si="59"/>
        <v>0.32670647819185122</v>
      </c>
      <c r="X110" s="218">
        <f t="shared" si="61"/>
        <v>1.3222646126399788E-2</v>
      </c>
      <c r="Y110" s="219">
        <f t="shared" si="60"/>
        <v>4322</v>
      </c>
    </row>
    <row r="111" spans="1:26" x14ac:dyDescent="0.25">
      <c r="A111" s="72" t="s">
        <v>91</v>
      </c>
      <c r="B111" s="11">
        <v>6928</v>
      </c>
      <c r="C111" s="11">
        <v>4286</v>
      </c>
      <c r="D111" s="11">
        <v>4254</v>
      </c>
      <c r="E111" s="11">
        <v>5021</v>
      </c>
      <c r="F111" s="11">
        <v>6091</v>
      </c>
      <c r="G111" s="11">
        <v>8291</v>
      </c>
      <c r="H111" s="11">
        <v>9655</v>
      </c>
      <c r="I111" s="11">
        <v>14709</v>
      </c>
      <c r="J111" s="11">
        <v>20371</v>
      </c>
      <c r="K111" s="11">
        <v>24659</v>
      </c>
      <c r="L111" s="11">
        <v>28500</v>
      </c>
      <c r="M111" s="11">
        <v>35459</v>
      </c>
      <c r="N111" s="11">
        <v>45448</v>
      </c>
      <c r="O111" s="11">
        <v>52506</v>
      </c>
      <c r="P111" s="11">
        <v>79391</v>
      </c>
      <c r="Q111" s="60">
        <v>112264</v>
      </c>
      <c r="R111" s="60">
        <v>141448</v>
      </c>
      <c r="S111" s="60">
        <v>158424</v>
      </c>
      <c r="T111" s="60">
        <v>183549</v>
      </c>
      <c r="U111" s="149">
        <f t="shared" si="57"/>
        <v>6.4434891925868847</v>
      </c>
      <c r="V111" s="149">
        <f t="shared" si="58"/>
        <v>1.3119623131085387</v>
      </c>
      <c r="W111" s="149">
        <f t="shared" si="59"/>
        <v>0.15859339494016059</v>
      </c>
      <c r="X111" s="218">
        <f t="shared" si="61"/>
        <v>0.13828291686254657</v>
      </c>
      <c r="Y111" s="219">
        <f t="shared" si="60"/>
        <v>25125</v>
      </c>
    </row>
    <row r="112" spans="1:26" x14ac:dyDescent="0.25">
      <c r="A112" s="88" t="s">
        <v>92</v>
      </c>
      <c r="B112" s="93">
        <v>4770</v>
      </c>
      <c r="C112" s="93">
        <v>4187</v>
      </c>
      <c r="D112" s="93">
        <v>9688</v>
      </c>
      <c r="E112" s="93">
        <v>10037</v>
      </c>
      <c r="F112" s="93">
        <v>14878</v>
      </c>
      <c r="G112" s="93">
        <v>15207</v>
      </c>
      <c r="H112" s="93">
        <v>6814</v>
      </c>
      <c r="I112" s="93">
        <v>4793</v>
      </c>
      <c r="J112" s="93">
        <v>3265</v>
      </c>
      <c r="K112" s="93">
        <v>9902</v>
      </c>
      <c r="L112" s="93">
        <v>10318</v>
      </c>
      <c r="M112" s="93">
        <v>10740</v>
      </c>
      <c r="N112" s="93">
        <v>9930</v>
      </c>
      <c r="O112" s="93">
        <v>7994</v>
      </c>
      <c r="P112" s="93">
        <v>7171</v>
      </c>
      <c r="Q112" s="123">
        <v>6353</v>
      </c>
      <c r="R112" s="123">
        <v>2902</v>
      </c>
      <c r="S112" s="123">
        <v>2354</v>
      </c>
      <c r="T112" s="123">
        <v>1724</v>
      </c>
      <c r="U112" s="149">
        <f t="shared" si="57"/>
        <v>-0.82589375883659866</v>
      </c>
      <c r="V112" s="149">
        <f t="shared" si="58"/>
        <v>-0.75958722632826658</v>
      </c>
      <c r="W112" s="149">
        <f t="shared" si="59"/>
        <v>-0.26762956669498728</v>
      </c>
      <c r="X112" s="218">
        <f t="shared" si="61"/>
        <v>1.2988343639629214E-3</v>
      </c>
      <c r="Y112" s="219">
        <f t="shared" si="60"/>
        <v>-630</v>
      </c>
    </row>
    <row r="113" spans="1:26" s="42" customFormat="1" x14ac:dyDescent="0.25">
      <c r="A113" s="92" t="s">
        <v>0</v>
      </c>
      <c r="B113" s="2">
        <v>748344</v>
      </c>
      <c r="C113" s="2">
        <v>783349</v>
      </c>
      <c r="D113" s="2">
        <v>849340</v>
      </c>
      <c r="E113" s="2">
        <v>938258</v>
      </c>
      <c r="F113" s="2">
        <v>1015077</v>
      </c>
      <c r="G113" s="2">
        <v>1064816</v>
      </c>
      <c r="H113" s="2">
        <v>1114277</v>
      </c>
      <c r="I113" s="2">
        <v>1144381</v>
      </c>
      <c r="J113" s="2">
        <v>1165906</v>
      </c>
      <c r="K113" s="2">
        <v>1178480</v>
      </c>
      <c r="L113" s="2">
        <v>1177292</v>
      </c>
      <c r="M113" s="2">
        <v>1188045</v>
      </c>
      <c r="N113" s="2">
        <v>1194459</v>
      </c>
      <c r="O113" s="2">
        <v>1151834</v>
      </c>
      <c r="P113" s="2">
        <v>1204376</v>
      </c>
      <c r="Q113" s="89">
        <v>1214011</v>
      </c>
      <c r="R113" s="89">
        <v>1249419</v>
      </c>
      <c r="S113" s="89">
        <v>1277611</v>
      </c>
      <c r="T113" s="89">
        <v>1327344</v>
      </c>
      <c r="U113" s="150">
        <f t="shared" si="57"/>
        <v>0.1263186477496436</v>
      </c>
      <c r="V113" s="150">
        <f t="shared" si="58"/>
        <v>0.10210100500176025</v>
      </c>
      <c r="W113" s="150">
        <f t="shared" si="59"/>
        <v>3.8926559023051616E-2</v>
      </c>
      <c r="X113" s="220">
        <f t="shared" si="61"/>
        <v>1</v>
      </c>
      <c r="Y113" s="221">
        <f t="shared" si="60"/>
        <v>49733</v>
      </c>
    </row>
    <row r="114" spans="1:26"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row>
    <row r="115" spans="1:26" ht="15.75" x14ac:dyDescent="0.25">
      <c r="A115" s="22" t="s">
        <v>368</v>
      </c>
      <c r="B115" s="22"/>
      <c r="C115" s="22"/>
      <c r="D115" s="22"/>
      <c r="E115" s="22"/>
      <c r="F115" s="22"/>
      <c r="G115" s="22"/>
      <c r="H115" s="22"/>
      <c r="I115" s="3"/>
      <c r="J115" s="3"/>
      <c r="K115" s="3"/>
      <c r="L115" s="3"/>
      <c r="N115" s="3"/>
      <c r="O115" s="3"/>
      <c r="P115" s="3"/>
      <c r="Q115" s="3"/>
      <c r="R115" s="3"/>
      <c r="S115" s="3"/>
      <c r="T115" s="3"/>
      <c r="U115" s="27"/>
      <c r="V115" s="27"/>
      <c r="W115" s="27"/>
      <c r="X115" s="27"/>
      <c r="Y115" s="27"/>
    </row>
    <row r="116" spans="1:26" ht="44.1" customHeight="1" x14ac:dyDescent="0.25">
      <c r="A116" s="120" t="s">
        <v>127</v>
      </c>
      <c r="B116" s="105">
        <v>2007</v>
      </c>
      <c r="C116" s="105">
        <v>2008</v>
      </c>
      <c r="D116" s="105">
        <v>2009</v>
      </c>
      <c r="E116" s="105">
        <v>2010</v>
      </c>
      <c r="F116" s="105">
        <v>2011</v>
      </c>
      <c r="G116" s="105">
        <v>2012</v>
      </c>
      <c r="H116" s="105">
        <v>2013</v>
      </c>
      <c r="I116" s="105">
        <v>2014</v>
      </c>
      <c r="J116" s="105">
        <v>2015</v>
      </c>
      <c r="K116" s="105">
        <v>2016</v>
      </c>
      <c r="L116" s="105">
        <v>2017</v>
      </c>
      <c r="M116" s="132">
        <v>2018</v>
      </c>
      <c r="N116" s="105">
        <v>2019</v>
      </c>
      <c r="O116" s="105">
        <v>2020</v>
      </c>
      <c r="P116" s="105">
        <v>2021</v>
      </c>
      <c r="Q116" s="105">
        <v>2022</v>
      </c>
      <c r="R116" s="105">
        <v>2023</v>
      </c>
      <c r="S116" s="105">
        <v>2024</v>
      </c>
      <c r="T116" s="105">
        <v>2025</v>
      </c>
      <c r="U116" s="106" t="s">
        <v>546</v>
      </c>
      <c r="V116" s="106" t="s">
        <v>547</v>
      </c>
      <c r="W116" s="106" t="s">
        <v>548</v>
      </c>
      <c r="X116" s="106" t="s">
        <v>549</v>
      </c>
      <c r="Y116" s="216" t="s">
        <v>563</v>
      </c>
    </row>
    <row r="117" spans="1:26" x14ac:dyDescent="0.25">
      <c r="A117" s="92" t="s">
        <v>2</v>
      </c>
      <c r="B117" s="89">
        <v>86838</v>
      </c>
      <c r="C117" s="89">
        <v>95891</v>
      </c>
      <c r="D117" s="89">
        <v>110007</v>
      </c>
      <c r="E117" s="89">
        <v>128566</v>
      </c>
      <c r="F117" s="89">
        <v>138574</v>
      </c>
      <c r="G117" s="89">
        <v>140031</v>
      </c>
      <c r="H117" s="89">
        <v>144365</v>
      </c>
      <c r="I117" s="89">
        <v>148010</v>
      </c>
      <c r="J117" s="89">
        <v>146540</v>
      </c>
      <c r="K117" s="89">
        <v>141711</v>
      </c>
      <c r="L117" s="89">
        <v>136777</v>
      </c>
      <c r="M117" s="89">
        <v>136728</v>
      </c>
      <c r="N117" s="89">
        <v>137919</v>
      </c>
      <c r="O117" s="89">
        <v>130338</v>
      </c>
      <c r="P117" s="89">
        <v>134463</v>
      </c>
      <c r="Q117" s="89">
        <v>131747</v>
      </c>
      <c r="R117" s="89">
        <v>136743</v>
      </c>
      <c r="S117" s="89">
        <v>145299</v>
      </c>
      <c r="T117" s="89">
        <v>152439</v>
      </c>
      <c r="U117" s="150">
        <f t="shared" ref="U117:U135" si="62">(T117-K117)/K117</f>
        <v>7.5703368122446393E-2</v>
      </c>
      <c r="V117" s="150">
        <f t="shared" ref="V117:V135" si="63">(T117-P117)/P117</f>
        <v>0.13368733406215835</v>
      </c>
      <c r="W117" s="150">
        <f t="shared" ref="W117:W135" si="64">(T117-S117)/S117</f>
        <v>4.9140049140049137E-2</v>
      </c>
      <c r="X117" s="220">
        <f>T117/T$9</f>
        <v>0.11484513434347086</v>
      </c>
      <c r="Y117" s="221">
        <f t="shared" ref="Y117:Y135" si="65">T117-S117</f>
        <v>7140</v>
      </c>
    </row>
    <row r="118" spans="1:26" x14ac:dyDescent="0.25">
      <c r="A118" s="144" t="s">
        <v>88</v>
      </c>
      <c r="B118" s="123">
        <v>52521</v>
      </c>
      <c r="C118" s="123">
        <v>59016</v>
      </c>
      <c r="D118" s="123">
        <v>68332</v>
      </c>
      <c r="E118" s="123">
        <v>78639</v>
      </c>
      <c r="F118" s="123">
        <v>82718</v>
      </c>
      <c r="G118" s="123">
        <v>80378</v>
      </c>
      <c r="H118" s="123">
        <v>81391</v>
      </c>
      <c r="I118" s="123">
        <v>83590</v>
      </c>
      <c r="J118" s="123">
        <v>84345</v>
      </c>
      <c r="K118" s="123">
        <v>82508</v>
      </c>
      <c r="L118" s="123">
        <v>82410</v>
      </c>
      <c r="M118" s="123">
        <v>85046</v>
      </c>
      <c r="N118" s="123">
        <v>87565</v>
      </c>
      <c r="O118" s="123">
        <v>83718</v>
      </c>
      <c r="P118" s="123">
        <v>82916</v>
      </c>
      <c r="Q118" s="123">
        <v>81526</v>
      </c>
      <c r="R118" s="123">
        <v>84570</v>
      </c>
      <c r="S118" s="123">
        <v>88723</v>
      </c>
      <c r="T118" s="123">
        <v>91269</v>
      </c>
      <c r="U118" s="149">
        <f t="shared" si="62"/>
        <v>0.10618364279827411</v>
      </c>
      <c r="V118" s="149">
        <f t="shared" si="63"/>
        <v>0.10074050846639973</v>
      </c>
      <c r="W118" s="149">
        <f t="shared" si="64"/>
        <v>2.869605401079765E-2</v>
      </c>
      <c r="X118" s="218">
        <f t="shared" ref="X118:X135" si="66">T118/T$9</f>
        <v>6.8760622717245867E-2</v>
      </c>
      <c r="Y118" s="219">
        <f t="shared" si="65"/>
        <v>2546</v>
      </c>
    </row>
    <row r="119" spans="1:26" x14ac:dyDescent="0.25">
      <c r="A119" s="144" t="s">
        <v>89</v>
      </c>
      <c r="B119" s="123">
        <v>33196</v>
      </c>
      <c r="C119" s="123">
        <v>36227</v>
      </c>
      <c r="D119" s="123">
        <v>41042</v>
      </c>
      <c r="E119" s="123">
        <v>48631</v>
      </c>
      <c r="F119" s="123">
        <v>55185</v>
      </c>
      <c r="G119" s="123">
        <v>58274</v>
      </c>
      <c r="H119" s="123">
        <v>62066</v>
      </c>
      <c r="I119" s="123">
        <v>63108</v>
      </c>
      <c r="J119" s="123">
        <v>60443</v>
      </c>
      <c r="K119" s="123">
        <v>56903</v>
      </c>
      <c r="L119" s="123">
        <v>52618</v>
      </c>
      <c r="M119" s="123">
        <v>49746</v>
      </c>
      <c r="N119" s="123">
        <v>48625</v>
      </c>
      <c r="O119" s="123">
        <v>43577</v>
      </c>
      <c r="P119" s="123">
        <v>46002</v>
      </c>
      <c r="Q119" s="123">
        <v>44727</v>
      </c>
      <c r="R119" s="123">
        <v>44468</v>
      </c>
      <c r="S119" s="123">
        <v>47415</v>
      </c>
      <c r="T119" s="123">
        <v>50526</v>
      </c>
      <c r="U119" s="149">
        <f t="shared" si="62"/>
        <v>-0.11206790503136917</v>
      </c>
      <c r="V119" s="149">
        <f t="shared" si="63"/>
        <v>9.834355028042259E-2</v>
      </c>
      <c r="W119" s="149">
        <f t="shared" si="64"/>
        <v>6.5612148054413164E-2</v>
      </c>
      <c r="X119" s="218">
        <f t="shared" si="66"/>
        <v>3.8065490181897081E-2</v>
      </c>
      <c r="Y119" s="219">
        <f t="shared" si="65"/>
        <v>3111</v>
      </c>
    </row>
    <row r="120" spans="1:26" x14ac:dyDescent="0.25">
      <c r="A120" s="144" t="s">
        <v>90</v>
      </c>
      <c r="B120" s="123">
        <v>181</v>
      </c>
      <c r="C120" s="123">
        <v>300</v>
      </c>
      <c r="D120" s="123">
        <v>212</v>
      </c>
      <c r="E120" s="123">
        <v>1011</v>
      </c>
      <c r="F120" s="123">
        <v>500</v>
      </c>
      <c r="G120" s="123">
        <v>625</v>
      </c>
      <c r="H120" s="123">
        <v>219</v>
      </c>
      <c r="I120" s="123">
        <v>469</v>
      </c>
      <c r="J120" s="123">
        <v>316</v>
      </c>
      <c r="K120" s="123">
        <v>294</v>
      </c>
      <c r="L120" s="123">
        <v>390</v>
      </c>
      <c r="M120" s="123">
        <v>430</v>
      </c>
      <c r="N120" s="123">
        <v>211</v>
      </c>
      <c r="O120" s="123">
        <v>469</v>
      </c>
      <c r="P120" s="123">
        <v>473</v>
      </c>
      <c r="Q120" s="123">
        <v>164</v>
      </c>
      <c r="R120" s="123">
        <v>590</v>
      </c>
      <c r="S120" s="123">
        <v>652</v>
      </c>
      <c r="T120" s="123">
        <v>711</v>
      </c>
      <c r="U120" s="149">
        <f t="shared" si="62"/>
        <v>1.4183673469387754</v>
      </c>
      <c r="V120" s="149">
        <f t="shared" si="63"/>
        <v>0.5031712473572939</v>
      </c>
      <c r="W120" s="149">
        <f t="shared" si="64"/>
        <v>9.0490797546012275E-2</v>
      </c>
      <c r="X120" s="218">
        <f t="shared" si="66"/>
        <v>5.3565616750442995E-4</v>
      </c>
      <c r="Y120" s="219">
        <f t="shared" si="65"/>
        <v>59</v>
      </c>
    </row>
    <row r="121" spans="1:26" x14ac:dyDescent="0.25">
      <c r="A121" s="144" t="s">
        <v>91</v>
      </c>
      <c r="B121" s="123">
        <v>0</v>
      </c>
      <c r="C121" s="123">
        <v>0</v>
      </c>
      <c r="D121" s="123">
        <v>0</v>
      </c>
      <c r="E121" s="123">
        <v>0</v>
      </c>
      <c r="F121" s="123">
        <v>73</v>
      </c>
      <c r="G121" s="123">
        <v>172</v>
      </c>
      <c r="H121" s="123">
        <v>180</v>
      </c>
      <c r="I121" s="123">
        <v>376</v>
      </c>
      <c r="J121" s="123">
        <v>1181</v>
      </c>
      <c r="K121" s="123">
        <v>1890</v>
      </c>
      <c r="L121" s="123">
        <v>1049</v>
      </c>
      <c r="M121" s="123">
        <v>1287</v>
      </c>
      <c r="N121" s="123">
        <v>1517</v>
      </c>
      <c r="O121" s="123">
        <v>2573</v>
      </c>
      <c r="P121" s="123">
        <v>5072</v>
      </c>
      <c r="Q121" s="123">
        <v>5330</v>
      </c>
      <c r="R121" s="123">
        <v>7115</v>
      </c>
      <c r="S121" s="123">
        <v>8509</v>
      </c>
      <c r="T121" s="123">
        <v>9933</v>
      </c>
      <c r="U121" s="149">
        <f t="shared" si="62"/>
        <v>4.2555555555555555</v>
      </c>
      <c r="V121" s="149">
        <f t="shared" si="63"/>
        <v>0.95839905362776023</v>
      </c>
      <c r="W121" s="149">
        <f t="shared" si="64"/>
        <v>0.16735221530144553</v>
      </c>
      <c r="X121" s="218">
        <f t="shared" si="66"/>
        <v>7.4833652768234908E-3</v>
      </c>
      <c r="Y121" s="219">
        <f t="shared" si="65"/>
        <v>1424</v>
      </c>
    </row>
    <row r="122" spans="1:26" x14ac:dyDescent="0.25">
      <c r="A122" s="144" t="s">
        <v>92</v>
      </c>
      <c r="B122" s="123">
        <v>940</v>
      </c>
      <c r="C122" s="123">
        <v>348</v>
      </c>
      <c r="D122" s="123">
        <v>421</v>
      </c>
      <c r="E122" s="123">
        <v>285</v>
      </c>
      <c r="F122" s="123">
        <v>98</v>
      </c>
      <c r="G122" s="123">
        <v>582</v>
      </c>
      <c r="H122" s="123">
        <v>509</v>
      </c>
      <c r="I122" s="123">
        <v>467</v>
      </c>
      <c r="J122" s="123">
        <v>255</v>
      </c>
      <c r="K122" s="123">
        <v>116</v>
      </c>
      <c r="L122" s="123">
        <v>310</v>
      </c>
      <c r="M122" s="123">
        <v>219</v>
      </c>
      <c r="N122" s="123">
        <v>1</v>
      </c>
      <c r="O122" s="123">
        <v>1</v>
      </c>
      <c r="P122" s="123">
        <v>0</v>
      </c>
      <c r="Q122" s="123">
        <v>0</v>
      </c>
      <c r="R122" s="123">
        <v>0</v>
      </c>
      <c r="S122" s="123">
        <v>0</v>
      </c>
      <c r="T122" s="123">
        <v>0</v>
      </c>
      <c r="U122" s="149">
        <f t="shared" si="62"/>
        <v>-1</v>
      </c>
      <c r="V122" s="149" t="s">
        <v>130</v>
      </c>
      <c r="W122" s="149" t="s">
        <v>130</v>
      </c>
      <c r="X122" s="218">
        <f t="shared" si="66"/>
        <v>0</v>
      </c>
      <c r="Y122" s="219">
        <f t="shared" si="65"/>
        <v>0</v>
      </c>
    </row>
    <row r="123" spans="1:26" x14ac:dyDescent="0.25">
      <c r="A123" s="92" t="s">
        <v>3</v>
      </c>
      <c r="B123" s="89">
        <v>156124</v>
      </c>
      <c r="C123" s="89">
        <v>162848</v>
      </c>
      <c r="D123" s="89">
        <v>189597</v>
      </c>
      <c r="E123" s="89">
        <v>224301</v>
      </c>
      <c r="F123" s="89">
        <v>260692</v>
      </c>
      <c r="G123" s="89">
        <v>293519</v>
      </c>
      <c r="H123" s="89">
        <v>324579</v>
      </c>
      <c r="I123" s="89">
        <v>351004</v>
      </c>
      <c r="J123" s="89">
        <v>373171</v>
      </c>
      <c r="K123" s="89">
        <v>380988</v>
      </c>
      <c r="L123" s="89">
        <v>374709</v>
      </c>
      <c r="M123" s="89">
        <v>373104</v>
      </c>
      <c r="N123" s="89">
        <v>379456</v>
      </c>
      <c r="O123" s="89">
        <v>361387</v>
      </c>
      <c r="P123" s="89">
        <v>378538</v>
      </c>
      <c r="Q123" s="89">
        <v>396829</v>
      </c>
      <c r="R123" s="89">
        <v>419014</v>
      </c>
      <c r="S123" s="89">
        <v>426272</v>
      </c>
      <c r="T123" s="89">
        <v>442924</v>
      </c>
      <c r="U123" s="150">
        <f t="shared" si="62"/>
        <v>0.1625668000041996</v>
      </c>
      <c r="V123" s="150">
        <f t="shared" si="63"/>
        <v>0.17009124579302473</v>
      </c>
      <c r="W123" s="150">
        <f t="shared" si="64"/>
        <v>3.9064259439981985E-2</v>
      </c>
      <c r="X123" s="220">
        <f t="shared" si="66"/>
        <v>0.33369194421340664</v>
      </c>
      <c r="Y123" s="221">
        <f t="shared" si="65"/>
        <v>16652</v>
      </c>
    </row>
    <row r="124" spans="1:26" x14ac:dyDescent="0.25">
      <c r="A124" s="144" t="s">
        <v>88</v>
      </c>
      <c r="B124" s="123">
        <v>97146</v>
      </c>
      <c r="C124" s="123">
        <v>98816</v>
      </c>
      <c r="D124" s="123">
        <v>111408</v>
      </c>
      <c r="E124" s="123">
        <v>129485</v>
      </c>
      <c r="F124" s="123">
        <v>144177</v>
      </c>
      <c r="G124" s="123">
        <v>154645</v>
      </c>
      <c r="H124" s="123">
        <v>167458</v>
      </c>
      <c r="I124" s="123">
        <v>177573</v>
      </c>
      <c r="J124" s="123">
        <v>185392</v>
      </c>
      <c r="K124" s="123">
        <v>187914</v>
      </c>
      <c r="L124" s="123">
        <v>186123</v>
      </c>
      <c r="M124" s="123">
        <v>187800</v>
      </c>
      <c r="N124" s="123">
        <v>189242</v>
      </c>
      <c r="O124" s="123">
        <v>182857</v>
      </c>
      <c r="P124" s="123">
        <v>181595</v>
      </c>
      <c r="Q124" s="123">
        <v>181329</v>
      </c>
      <c r="R124" s="123">
        <v>185819</v>
      </c>
      <c r="S124" s="123">
        <v>187113</v>
      </c>
      <c r="T124" s="123">
        <v>183956</v>
      </c>
      <c r="U124" s="149">
        <f t="shared" si="62"/>
        <v>-2.1062826612173655E-2</v>
      </c>
      <c r="V124" s="149">
        <f t="shared" si="63"/>
        <v>1.3001459291280047E-2</v>
      </c>
      <c r="W124" s="149">
        <f t="shared" si="64"/>
        <v>-1.6872157466343869E-2</v>
      </c>
      <c r="X124" s="218">
        <f t="shared" si="66"/>
        <v>0.13858954423269326</v>
      </c>
      <c r="Y124" s="219">
        <f t="shared" si="65"/>
        <v>-3157</v>
      </c>
    </row>
    <row r="125" spans="1:26" x14ac:dyDescent="0.25">
      <c r="A125" s="144" t="s">
        <v>89</v>
      </c>
      <c r="B125" s="123">
        <v>58202</v>
      </c>
      <c r="C125" s="123">
        <v>61188</v>
      </c>
      <c r="D125" s="123">
        <v>73193</v>
      </c>
      <c r="E125" s="123">
        <v>88873</v>
      </c>
      <c r="F125" s="123">
        <v>108554</v>
      </c>
      <c r="G125" s="123">
        <v>127979</v>
      </c>
      <c r="H125" s="123">
        <v>144439</v>
      </c>
      <c r="I125" s="123">
        <v>155454</v>
      </c>
      <c r="J125" s="123">
        <v>165442</v>
      </c>
      <c r="K125" s="123">
        <v>166775</v>
      </c>
      <c r="L125" s="123">
        <v>157443</v>
      </c>
      <c r="M125" s="123">
        <v>148389</v>
      </c>
      <c r="N125" s="123">
        <v>142597</v>
      </c>
      <c r="O125" s="123">
        <v>127616</v>
      </c>
      <c r="P125" s="123">
        <v>128615</v>
      </c>
      <c r="Q125" s="123">
        <v>123730</v>
      </c>
      <c r="R125" s="123">
        <v>119551</v>
      </c>
      <c r="S125" s="123">
        <v>114460</v>
      </c>
      <c r="T125" s="123">
        <v>114722</v>
      </c>
      <c r="U125" s="149">
        <f t="shared" si="62"/>
        <v>-0.31211512516864037</v>
      </c>
      <c r="V125" s="149">
        <f t="shared" si="63"/>
        <v>-0.10802005986860008</v>
      </c>
      <c r="W125" s="149">
        <f t="shared" si="64"/>
        <v>2.2890092608771622E-3</v>
      </c>
      <c r="X125" s="218">
        <f t="shared" si="66"/>
        <v>8.642974240287371E-2</v>
      </c>
      <c r="Y125" s="219">
        <f t="shared" si="65"/>
        <v>262</v>
      </c>
    </row>
    <row r="126" spans="1:26" x14ac:dyDescent="0.25">
      <c r="A126" s="144" t="s">
        <v>90</v>
      </c>
      <c r="B126" s="123">
        <v>154</v>
      </c>
      <c r="C126" s="123">
        <v>240</v>
      </c>
      <c r="D126" s="123">
        <v>92</v>
      </c>
      <c r="E126" s="123">
        <v>131</v>
      </c>
      <c r="F126" s="123">
        <v>939</v>
      </c>
      <c r="G126" s="123">
        <v>1536</v>
      </c>
      <c r="H126" s="123">
        <v>3206</v>
      </c>
      <c r="I126" s="123">
        <v>5094</v>
      </c>
      <c r="J126" s="123">
        <v>4476</v>
      </c>
      <c r="K126" s="123">
        <v>4796</v>
      </c>
      <c r="L126" s="123">
        <v>5308</v>
      </c>
      <c r="M126" s="123">
        <v>4369</v>
      </c>
      <c r="N126" s="123">
        <v>5573</v>
      </c>
      <c r="O126" s="123">
        <v>4259</v>
      </c>
      <c r="P126" s="123">
        <v>4080</v>
      </c>
      <c r="Q126" s="123">
        <v>4148</v>
      </c>
      <c r="R126" s="123">
        <v>5251</v>
      </c>
      <c r="S126" s="123">
        <v>6537</v>
      </c>
      <c r="T126" s="123">
        <v>8450</v>
      </c>
      <c r="U126" s="149">
        <f t="shared" si="62"/>
        <v>0.76188490408673892</v>
      </c>
      <c r="V126" s="149">
        <f t="shared" si="63"/>
        <v>1.071078431372549</v>
      </c>
      <c r="W126" s="149">
        <f t="shared" si="64"/>
        <v>0.29264188465657032</v>
      </c>
      <c r="X126" s="218">
        <f t="shared" si="66"/>
        <v>6.3660965055027186E-3</v>
      </c>
      <c r="Y126" s="219">
        <f t="shared" si="65"/>
        <v>1913</v>
      </c>
    </row>
    <row r="127" spans="1:26" x14ac:dyDescent="0.25">
      <c r="A127" s="144" t="s">
        <v>91</v>
      </c>
      <c r="B127" s="123">
        <v>369</v>
      </c>
      <c r="C127" s="123">
        <v>2252</v>
      </c>
      <c r="D127" s="123">
        <v>2568</v>
      </c>
      <c r="E127" s="123">
        <v>3020</v>
      </c>
      <c r="F127" s="123">
        <v>3931</v>
      </c>
      <c r="G127" s="123">
        <v>6101</v>
      </c>
      <c r="H127" s="123">
        <v>7596</v>
      </c>
      <c r="I127" s="123">
        <v>11631</v>
      </c>
      <c r="J127" s="123">
        <v>17198</v>
      </c>
      <c r="K127" s="123">
        <v>21100</v>
      </c>
      <c r="L127" s="123">
        <v>25605</v>
      </c>
      <c r="M127" s="123">
        <v>32317</v>
      </c>
      <c r="N127" s="123">
        <v>41787</v>
      </c>
      <c r="O127" s="123">
        <v>46393</v>
      </c>
      <c r="P127" s="123">
        <v>63983</v>
      </c>
      <c r="Q127" s="123">
        <v>87400</v>
      </c>
      <c r="R127" s="123">
        <v>108181</v>
      </c>
      <c r="S127" s="123">
        <v>117942</v>
      </c>
      <c r="T127" s="123">
        <v>135554</v>
      </c>
      <c r="U127" s="149">
        <f t="shared" si="62"/>
        <v>5.4243601895734601</v>
      </c>
      <c r="V127" s="149">
        <f t="shared" si="63"/>
        <v>1.1185940015316569</v>
      </c>
      <c r="W127" s="149">
        <f t="shared" si="64"/>
        <v>0.14932763561750692</v>
      </c>
      <c r="X127" s="218">
        <f t="shared" si="66"/>
        <v>0.10212424209549295</v>
      </c>
      <c r="Y127" s="219">
        <f t="shared" si="65"/>
        <v>17612</v>
      </c>
      <c r="Z127" s="38"/>
    </row>
    <row r="128" spans="1:26" x14ac:dyDescent="0.25">
      <c r="A128" s="144" t="s">
        <v>92</v>
      </c>
      <c r="B128" s="123">
        <v>253</v>
      </c>
      <c r="C128" s="123">
        <v>352</v>
      </c>
      <c r="D128" s="123">
        <v>2336</v>
      </c>
      <c r="E128" s="123">
        <v>2792</v>
      </c>
      <c r="F128" s="123">
        <v>3091</v>
      </c>
      <c r="G128" s="123">
        <v>3258</v>
      </c>
      <c r="H128" s="123">
        <v>1880</v>
      </c>
      <c r="I128" s="123">
        <v>1252</v>
      </c>
      <c r="J128" s="123">
        <v>663</v>
      </c>
      <c r="K128" s="123">
        <v>403</v>
      </c>
      <c r="L128" s="123">
        <v>230</v>
      </c>
      <c r="M128" s="123">
        <v>229</v>
      </c>
      <c r="N128" s="123">
        <v>257</v>
      </c>
      <c r="O128" s="123">
        <v>262</v>
      </c>
      <c r="P128" s="123">
        <v>265</v>
      </c>
      <c r="Q128" s="123">
        <v>222</v>
      </c>
      <c r="R128" s="123">
        <v>212</v>
      </c>
      <c r="S128" s="123">
        <v>220</v>
      </c>
      <c r="T128" s="123">
        <v>242</v>
      </c>
      <c r="U128" s="149">
        <f t="shared" si="62"/>
        <v>-0.39950372208436724</v>
      </c>
      <c r="V128" s="149">
        <f t="shared" si="63"/>
        <v>-8.6792452830188674E-2</v>
      </c>
      <c r="W128" s="149">
        <f t="shared" si="64"/>
        <v>0.1</v>
      </c>
      <c r="X128" s="218">
        <f t="shared" si="66"/>
        <v>1.8231897684398317E-4</v>
      </c>
      <c r="Y128" s="219">
        <f t="shared" si="65"/>
        <v>22</v>
      </c>
    </row>
    <row r="129" spans="1:25" x14ac:dyDescent="0.25">
      <c r="A129" s="92" t="s">
        <v>4</v>
      </c>
      <c r="B129" s="89">
        <v>505382</v>
      </c>
      <c r="C129" s="89">
        <v>524610</v>
      </c>
      <c r="D129" s="89">
        <v>549736</v>
      </c>
      <c r="E129" s="89">
        <v>585391</v>
      </c>
      <c r="F129" s="89">
        <v>615811</v>
      </c>
      <c r="G129" s="89">
        <v>631266</v>
      </c>
      <c r="H129" s="89">
        <v>645333</v>
      </c>
      <c r="I129" s="89">
        <v>645367</v>
      </c>
      <c r="J129" s="89">
        <v>646195</v>
      </c>
      <c r="K129" s="89">
        <v>655781</v>
      </c>
      <c r="L129" s="89">
        <v>665806</v>
      </c>
      <c r="M129" s="89">
        <v>678213</v>
      </c>
      <c r="N129" s="89">
        <v>677084</v>
      </c>
      <c r="O129" s="89">
        <v>660109</v>
      </c>
      <c r="P129" s="89">
        <v>691375</v>
      </c>
      <c r="Q129" s="89">
        <v>685435</v>
      </c>
      <c r="R129" s="89">
        <v>693662</v>
      </c>
      <c r="S129" s="89">
        <v>706040</v>
      </c>
      <c r="T129" s="89">
        <v>731981</v>
      </c>
      <c r="U129" s="150">
        <f t="shared" si="62"/>
        <v>0.11619732807141409</v>
      </c>
      <c r="V129" s="150">
        <f t="shared" si="63"/>
        <v>5.873223648526487E-2</v>
      </c>
      <c r="W129" s="150">
        <f t="shared" si="64"/>
        <v>3.6741544388419922E-2</v>
      </c>
      <c r="X129" s="220">
        <f t="shared" si="66"/>
        <v>0.55146292144312248</v>
      </c>
      <c r="Y129" s="221">
        <f t="shared" si="65"/>
        <v>25941</v>
      </c>
    </row>
    <row r="130" spans="1:25" x14ac:dyDescent="0.25">
      <c r="A130" s="144" t="s">
        <v>88</v>
      </c>
      <c r="B130" s="123">
        <v>437737</v>
      </c>
      <c r="C130" s="123">
        <v>452037</v>
      </c>
      <c r="D130" s="123">
        <v>467704</v>
      </c>
      <c r="E130" s="123">
        <v>497763</v>
      </c>
      <c r="F130" s="123">
        <v>521624</v>
      </c>
      <c r="G130" s="123">
        <v>536697</v>
      </c>
      <c r="H130" s="123">
        <v>546939</v>
      </c>
      <c r="I130" s="123">
        <v>548128</v>
      </c>
      <c r="J130" s="123">
        <v>551588</v>
      </c>
      <c r="K130" s="123">
        <v>559015</v>
      </c>
      <c r="L130" s="123">
        <v>566956</v>
      </c>
      <c r="M130" s="123">
        <v>580829</v>
      </c>
      <c r="N130" s="123">
        <v>585439</v>
      </c>
      <c r="O130" s="123">
        <v>580054</v>
      </c>
      <c r="P130" s="123">
        <v>605994</v>
      </c>
      <c r="Q130" s="123">
        <v>596625</v>
      </c>
      <c r="R130" s="123">
        <v>606471</v>
      </c>
      <c r="S130" s="123">
        <v>617012</v>
      </c>
      <c r="T130" s="123">
        <v>639223</v>
      </c>
      <c r="U130" s="149">
        <f t="shared" si="62"/>
        <v>0.14348094416071125</v>
      </c>
      <c r="V130" s="149">
        <f t="shared" si="63"/>
        <v>5.4833876242999104E-2</v>
      </c>
      <c r="W130" s="149">
        <f t="shared" si="64"/>
        <v>3.5997679137520826E-2</v>
      </c>
      <c r="X130" s="218">
        <f t="shared" si="66"/>
        <v>0.48158050964934485</v>
      </c>
      <c r="Y130" s="219">
        <f t="shared" si="65"/>
        <v>22211</v>
      </c>
    </row>
    <row r="131" spans="1:25" x14ac:dyDescent="0.25">
      <c r="A131" s="144" t="s">
        <v>89</v>
      </c>
      <c r="B131" s="123">
        <v>57073</v>
      </c>
      <c r="C131" s="123">
        <v>66583</v>
      </c>
      <c r="D131" s="123">
        <v>73106</v>
      </c>
      <c r="E131" s="123">
        <v>78157</v>
      </c>
      <c r="F131" s="123">
        <v>79892</v>
      </c>
      <c r="G131" s="123">
        <v>80518</v>
      </c>
      <c r="H131" s="123">
        <v>91219</v>
      </c>
      <c r="I131" s="123">
        <v>90398</v>
      </c>
      <c r="J131" s="123">
        <v>88836</v>
      </c>
      <c r="K131" s="123">
        <v>83702</v>
      </c>
      <c r="L131" s="123">
        <v>85407</v>
      </c>
      <c r="M131" s="123">
        <v>83659</v>
      </c>
      <c r="N131" s="123">
        <v>78311</v>
      </c>
      <c r="O131" s="123">
        <v>67111</v>
      </c>
      <c r="P131" s="123">
        <v>65480</v>
      </c>
      <c r="Q131" s="123">
        <v>59173</v>
      </c>
      <c r="R131" s="123">
        <v>53178</v>
      </c>
      <c r="S131" s="123">
        <v>48881</v>
      </c>
      <c r="T131" s="123">
        <v>44824</v>
      </c>
      <c r="U131" s="149">
        <f t="shared" si="62"/>
        <v>-0.46448113545673936</v>
      </c>
      <c r="V131" s="149">
        <f t="shared" si="63"/>
        <v>-0.31545510079413563</v>
      </c>
      <c r="W131" s="149">
        <f t="shared" si="64"/>
        <v>-8.2997483684867326E-2</v>
      </c>
      <c r="X131" s="218">
        <f t="shared" si="66"/>
        <v>3.376969346303596E-2</v>
      </c>
      <c r="Y131" s="219">
        <f t="shared" si="65"/>
        <v>-4057</v>
      </c>
    </row>
    <row r="132" spans="1:25" x14ac:dyDescent="0.25">
      <c r="A132" s="144" t="s">
        <v>90</v>
      </c>
      <c r="B132" s="123">
        <v>436</v>
      </c>
      <c r="C132" s="123">
        <v>469</v>
      </c>
      <c r="D132" s="123">
        <v>309</v>
      </c>
      <c r="E132" s="123">
        <v>510</v>
      </c>
      <c r="F132" s="123">
        <v>519</v>
      </c>
      <c r="G132" s="123">
        <v>666</v>
      </c>
      <c r="H132" s="123">
        <v>871</v>
      </c>
      <c r="I132" s="123">
        <v>1065</v>
      </c>
      <c r="J132" s="123">
        <v>1432</v>
      </c>
      <c r="K132" s="123">
        <v>2012</v>
      </c>
      <c r="L132" s="123">
        <v>1819</v>
      </c>
      <c r="M132" s="123">
        <v>1578</v>
      </c>
      <c r="N132" s="123">
        <v>1518</v>
      </c>
      <c r="O132" s="123">
        <v>1673</v>
      </c>
      <c r="P132" s="123">
        <v>2659</v>
      </c>
      <c r="Q132" s="123">
        <v>3972</v>
      </c>
      <c r="R132" s="123">
        <v>5171</v>
      </c>
      <c r="S132" s="123">
        <v>6040</v>
      </c>
      <c r="T132" s="123">
        <v>8390</v>
      </c>
      <c r="U132" s="149">
        <f t="shared" si="62"/>
        <v>3.1699801192842942</v>
      </c>
      <c r="V132" s="149">
        <f t="shared" si="63"/>
        <v>2.155321549454682</v>
      </c>
      <c r="W132" s="149">
        <f t="shared" si="64"/>
        <v>0.38907284768211919</v>
      </c>
      <c r="X132" s="218">
        <f t="shared" si="66"/>
        <v>6.3208934533926396E-3</v>
      </c>
      <c r="Y132" s="219">
        <f t="shared" si="65"/>
        <v>2350</v>
      </c>
    </row>
    <row r="133" spans="1:25" x14ac:dyDescent="0.25">
      <c r="A133" s="144" t="s">
        <v>91</v>
      </c>
      <c r="B133" s="123">
        <v>6559</v>
      </c>
      <c r="C133" s="123">
        <v>2034</v>
      </c>
      <c r="D133" s="123">
        <v>1686</v>
      </c>
      <c r="E133" s="123">
        <v>2001</v>
      </c>
      <c r="F133" s="123">
        <v>2087</v>
      </c>
      <c r="G133" s="123">
        <v>2018</v>
      </c>
      <c r="H133" s="123">
        <v>1879</v>
      </c>
      <c r="I133" s="123">
        <v>2702</v>
      </c>
      <c r="J133" s="123">
        <v>1992</v>
      </c>
      <c r="K133" s="123">
        <v>1669</v>
      </c>
      <c r="L133" s="123">
        <v>1846</v>
      </c>
      <c r="M133" s="123">
        <v>1855</v>
      </c>
      <c r="N133" s="123">
        <v>2144</v>
      </c>
      <c r="O133" s="123">
        <v>3540</v>
      </c>
      <c r="P133" s="123">
        <v>10336</v>
      </c>
      <c r="Q133" s="123">
        <v>19534</v>
      </c>
      <c r="R133" s="123">
        <v>26152</v>
      </c>
      <c r="S133" s="123">
        <v>31973</v>
      </c>
      <c r="T133" s="123">
        <v>38062</v>
      </c>
      <c r="U133" s="149">
        <f t="shared" si="62"/>
        <v>21.805272618334332</v>
      </c>
      <c r="V133" s="149">
        <f t="shared" si="63"/>
        <v>2.6824690402476778</v>
      </c>
      <c r="W133" s="149">
        <f t="shared" si="64"/>
        <v>0.19044193538297938</v>
      </c>
      <c r="X133" s="218">
        <f t="shared" si="66"/>
        <v>2.8675309490230113E-2</v>
      </c>
      <c r="Y133" s="219">
        <f t="shared" si="65"/>
        <v>6089</v>
      </c>
    </row>
    <row r="134" spans="1:25" x14ac:dyDescent="0.25">
      <c r="A134" s="144" t="s">
        <v>92</v>
      </c>
      <c r="B134" s="123">
        <v>3577</v>
      </c>
      <c r="C134" s="123">
        <v>3487</v>
      </c>
      <c r="D134" s="123">
        <v>6931</v>
      </c>
      <c r="E134" s="123">
        <v>6960</v>
      </c>
      <c r="F134" s="123">
        <v>11689</v>
      </c>
      <c r="G134" s="123">
        <v>11367</v>
      </c>
      <c r="H134" s="123">
        <v>4425</v>
      </c>
      <c r="I134" s="123">
        <v>3074</v>
      </c>
      <c r="J134" s="123">
        <v>2347</v>
      </c>
      <c r="K134" s="123">
        <v>9383</v>
      </c>
      <c r="L134" s="123">
        <v>9778</v>
      </c>
      <c r="M134" s="123">
        <v>10292</v>
      </c>
      <c r="N134" s="123">
        <v>9672</v>
      </c>
      <c r="O134" s="123">
        <v>7731</v>
      </c>
      <c r="P134" s="123">
        <v>6906</v>
      </c>
      <c r="Q134" s="123">
        <v>6131</v>
      </c>
      <c r="R134" s="123">
        <v>2690</v>
      </c>
      <c r="S134" s="123">
        <v>2134</v>
      </c>
      <c r="T134" s="123">
        <v>1482</v>
      </c>
      <c r="U134" s="149">
        <f t="shared" si="62"/>
        <v>-0.84205477992113398</v>
      </c>
      <c r="V134" s="149">
        <f t="shared" si="63"/>
        <v>-0.78540399652476112</v>
      </c>
      <c r="W134" s="149">
        <f t="shared" si="64"/>
        <v>-0.30552952202436739</v>
      </c>
      <c r="X134" s="218">
        <f t="shared" si="66"/>
        <v>1.1165153871189382E-3</v>
      </c>
      <c r="Y134" s="219">
        <f t="shared" si="65"/>
        <v>-652</v>
      </c>
    </row>
    <row r="135" spans="1:25" x14ac:dyDescent="0.25">
      <c r="A135" s="92" t="s">
        <v>0</v>
      </c>
      <c r="B135" s="89">
        <v>748344</v>
      </c>
      <c r="C135" s="89">
        <v>783349</v>
      </c>
      <c r="D135" s="89">
        <v>849340</v>
      </c>
      <c r="E135" s="89">
        <v>938258</v>
      </c>
      <c r="F135" s="89">
        <v>1015077</v>
      </c>
      <c r="G135" s="89">
        <v>1064816</v>
      </c>
      <c r="H135" s="89">
        <v>1114277</v>
      </c>
      <c r="I135" s="89">
        <v>1144381</v>
      </c>
      <c r="J135" s="89">
        <v>1165906</v>
      </c>
      <c r="K135" s="89">
        <v>1178480</v>
      </c>
      <c r="L135" s="89">
        <v>1177292</v>
      </c>
      <c r="M135" s="89">
        <v>1188045</v>
      </c>
      <c r="N135" s="89">
        <v>1194459</v>
      </c>
      <c r="O135" s="89">
        <v>1151834</v>
      </c>
      <c r="P135" s="89">
        <v>1204376</v>
      </c>
      <c r="Q135" s="89">
        <v>1214011</v>
      </c>
      <c r="R135" s="89">
        <v>1249419</v>
      </c>
      <c r="S135" s="89">
        <v>1277611</v>
      </c>
      <c r="T135" s="89">
        <v>1327344</v>
      </c>
      <c r="U135" s="150">
        <f t="shared" si="62"/>
        <v>0.1263186477496436</v>
      </c>
      <c r="V135" s="150">
        <f t="shared" si="63"/>
        <v>0.10210100500176025</v>
      </c>
      <c r="W135" s="150">
        <f t="shared" si="64"/>
        <v>3.8926559023051616E-2</v>
      </c>
      <c r="X135" s="220">
        <f t="shared" si="66"/>
        <v>1</v>
      </c>
      <c r="Y135" s="221">
        <f t="shared" si="65"/>
        <v>49733</v>
      </c>
    </row>
    <row r="136" spans="1:25" x14ac:dyDescent="0.25">
      <c r="A136" s="12"/>
      <c r="B136" s="12"/>
      <c r="C136" s="12"/>
      <c r="D136" s="12"/>
      <c r="E136" s="12"/>
      <c r="F136" s="12"/>
      <c r="G136" s="12"/>
      <c r="H136" s="12"/>
      <c r="I136" s="12"/>
      <c r="J136" s="12"/>
      <c r="K136" s="12"/>
      <c r="L136" s="12"/>
      <c r="M136" s="207"/>
      <c r="N136" s="12"/>
      <c r="O136" s="12"/>
      <c r="P136" s="12"/>
      <c r="Q136" s="12"/>
      <c r="R136" s="12"/>
      <c r="S136" s="12"/>
      <c r="T136" s="12"/>
      <c r="U136" s="210"/>
      <c r="V136" s="210"/>
      <c r="W136" s="210"/>
      <c r="X136" s="210"/>
      <c r="Y136" s="210"/>
    </row>
    <row r="137" spans="1:25" ht="18" x14ac:dyDescent="0.25">
      <c r="A137" s="19" t="s">
        <v>117</v>
      </c>
      <c r="B137" s="19"/>
      <c r="C137" s="19"/>
      <c r="D137" s="19"/>
      <c r="E137" s="19"/>
      <c r="F137" s="19"/>
      <c r="G137" s="19"/>
      <c r="H137" s="19"/>
      <c r="I137" s="12"/>
      <c r="J137" s="12"/>
      <c r="K137" s="12"/>
      <c r="L137" s="12"/>
      <c r="M137" s="207"/>
      <c r="N137" s="12"/>
      <c r="O137" s="12"/>
      <c r="P137" s="12"/>
      <c r="Q137" s="12"/>
      <c r="R137" s="12"/>
      <c r="S137" s="12"/>
      <c r="T137" s="12"/>
      <c r="U137" s="28"/>
      <c r="V137" s="28"/>
      <c r="W137" s="28"/>
      <c r="X137" s="28"/>
      <c r="Y137" s="28"/>
    </row>
    <row r="138" spans="1:25" ht="44.1" customHeight="1" x14ac:dyDescent="0.25">
      <c r="A138" s="120" t="s">
        <v>56</v>
      </c>
      <c r="B138" s="105">
        <v>2007</v>
      </c>
      <c r="C138" s="105">
        <v>2008</v>
      </c>
      <c r="D138" s="105">
        <v>2009</v>
      </c>
      <c r="E138" s="105">
        <v>2010</v>
      </c>
      <c r="F138" s="105">
        <v>2011</v>
      </c>
      <c r="G138" s="105">
        <v>2012</v>
      </c>
      <c r="H138" s="105">
        <v>2013</v>
      </c>
      <c r="I138" s="105">
        <v>2014</v>
      </c>
      <c r="J138" s="105">
        <v>2015</v>
      </c>
      <c r="K138" s="105">
        <v>2016</v>
      </c>
      <c r="L138" s="105">
        <v>2017</v>
      </c>
      <c r="M138" s="132">
        <v>2018</v>
      </c>
      <c r="N138" s="105">
        <v>2019</v>
      </c>
      <c r="O138" s="105">
        <v>2020</v>
      </c>
      <c r="P138" s="105">
        <v>2021</v>
      </c>
      <c r="Q138" s="105">
        <v>2022</v>
      </c>
      <c r="R138" s="105">
        <v>2023</v>
      </c>
      <c r="S138" s="105">
        <v>2024</v>
      </c>
      <c r="T138" s="105">
        <v>2025</v>
      </c>
      <c r="U138" s="106" t="s">
        <v>546</v>
      </c>
      <c r="V138" s="106" t="s">
        <v>547</v>
      </c>
      <c r="W138" s="106" t="s">
        <v>548</v>
      </c>
      <c r="X138" s="106" t="s">
        <v>549</v>
      </c>
      <c r="Y138" s="216" t="s">
        <v>563</v>
      </c>
    </row>
    <row r="139" spans="1:25" x14ac:dyDescent="0.25">
      <c r="A139" s="88" t="s">
        <v>88</v>
      </c>
      <c r="B139" s="93">
        <v>176706</v>
      </c>
      <c r="C139" s="93">
        <v>181847</v>
      </c>
      <c r="D139" s="93">
        <v>196944</v>
      </c>
      <c r="E139" s="93">
        <v>216605</v>
      </c>
      <c r="F139" s="93">
        <v>218904</v>
      </c>
      <c r="G139" s="93">
        <v>219112</v>
      </c>
      <c r="H139" s="93">
        <v>222484</v>
      </c>
      <c r="I139" s="93">
        <v>222438</v>
      </c>
      <c r="J139" s="93">
        <v>221723</v>
      </c>
      <c r="K139" s="93">
        <v>224839</v>
      </c>
      <c r="L139" s="93">
        <v>227162</v>
      </c>
      <c r="M139" s="123">
        <v>229949</v>
      </c>
      <c r="N139" s="93">
        <v>227337</v>
      </c>
      <c r="O139" s="93">
        <v>215170</v>
      </c>
      <c r="P139" s="93">
        <v>208665</v>
      </c>
      <c r="Q139" s="93">
        <v>212308</v>
      </c>
      <c r="R139" s="93">
        <v>233933</v>
      </c>
      <c r="S139" s="93">
        <v>235892</v>
      </c>
      <c r="T139" s="93">
        <v>240021</v>
      </c>
      <c r="U139" s="149">
        <f t="shared" ref="U139:U144" si="67">(T139-K139)/K139</f>
        <v>6.7523872637754126E-2</v>
      </c>
      <c r="V139" s="149">
        <f t="shared" ref="V139:V144" si="68">(T139-P139)/P139</f>
        <v>0.1502695708432176</v>
      </c>
      <c r="W139" s="149">
        <f t="shared" ref="W139:W144" si="69">(T139-S139)/S139</f>
        <v>1.7503772913027994E-2</v>
      </c>
      <c r="X139" s="218">
        <f>T139/T$16</f>
        <v>0.66181835227163055</v>
      </c>
      <c r="Y139" s="219">
        <f t="shared" ref="Y139:Y144" si="70">T139-S139</f>
        <v>4129</v>
      </c>
    </row>
    <row r="140" spans="1:25" x14ac:dyDescent="0.25">
      <c r="A140" s="88" t="s">
        <v>89</v>
      </c>
      <c r="B140" s="93">
        <v>62280</v>
      </c>
      <c r="C140" s="93">
        <v>68258</v>
      </c>
      <c r="D140" s="93">
        <v>77955</v>
      </c>
      <c r="E140" s="93">
        <v>91697</v>
      </c>
      <c r="F140" s="93">
        <v>101023</v>
      </c>
      <c r="G140" s="93">
        <v>104348</v>
      </c>
      <c r="H140" s="93">
        <v>113321</v>
      </c>
      <c r="I140" s="93">
        <v>110620</v>
      </c>
      <c r="J140" s="93">
        <v>106066</v>
      </c>
      <c r="K140" s="93">
        <v>99206</v>
      </c>
      <c r="L140" s="93">
        <v>91788</v>
      </c>
      <c r="M140" s="123">
        <v>86682</v>
      </c>
      <c r="N140" s="93">
        <v>82150</v>
      </c>
      <c r="O140" s="93">
        <v>66709</v>
      </c>
      <c r="P140" s="93">
        <v>71220</v>
      </c>
      <c r="Q140" s="93">
        <v>66676</v>
      </c>
      <c r="R140" s="93">
        <v>65554</v>
      </c>
      <c r="S140" s="93">
        <v>64317</v>
      </c>
      <c r="T140" s="93">
        <v>64374</v>
      </c>
      <c r="U140" s="149">
        <f t="shared" si="67"/>
        <v>-0.35110779589944158</v>
      </c>
      <c r="V140" s="149">
        <f t="shared" si="68"/>
        <v>-9.6124684077506323E-2</v>
      </c>
      <c r="W140" s="149">
        <f t="shared" si="69"/>
        <v>8.8623536545547835E-4</v>
      </c>
      <c r="X140" s="218">
        <f t="shared" ref="X140:X144" si="71">T140/T$16</f>
        <v>0.17750069622713824</v>
      </c>
      <c r="Y140" s="219">
        <f t="shared" si="70"/>
        <v>57</v>
      </c>
    </row>
    <row r="141" spans="1:25" x14ac:dyDescent="0.25">
      <c r="A141" s="72" t="s">
        <v>90</v>
      </c>
      <c r="B141" s="11">
        <v>457</v>
      </c>
      <c r="C141" s="11">
        <v>293</v>
      </c>
      <c r="D141" s="11">
        <v>327</v>
      </c>
      <c r="E141" s="11">
        <v>1131</v>
      </c>
      <c r="F141" s="11">
        <v>1340</v>
      </c>
      <c r="G141" s="11">
        <v>1610</v>
      </c>
      <c r="H141" s="11">
        <v>2435</v>
      </c>
      <c r="I141" s="11">
        <v>2982</v>
      </c>
      <c r="J141" s="11">
        <v>2061</v>
      </c>
      <c r="K141" s="11">
        <v>2209</v>
      </c>
      <c r="L141" s="11">
        <v>2622</v>
      </c>
      <c r="M141" s="60">
        <v>2171</v>
      </c>
      <c r="N141" s="11">
        <v>2615</v>
      </c>
      <c r="O141" s="11">
        <v>1875</v>
      </c>
      <c r="P141" s="11">
        <v>2364</v>
      </c>
      <c r="Q141" s="11">
        <v>2031</v>
      </c>
      <c r="R141" s="11">
        <v>4004</v>
      </c>
      <c r="S141" s="11">
        <v>4638</v>
      </c>
      <c r="T141" s="11">
        <v>4616</v>
      </c>
      <c r="U141" s="149">
        <f t="shared" si="67"/>
        <v>1.0896333182435491</v>
      </c>
      <c r="V141" s="149">
        <f t="shared" si="68"/>
        <v>0.95262267343485618</v>
      </c>
      <c r="W141" s="149">
        <f t="shared" si="69"/>
        <v>-4.7434238896075891E-3</v>
      </c>
      <c r="X141" s="218">
        <f t="shared" si="71"/>
        <v>1.2727859287670024E-2</v>
      </c>
      <c r="Y141" s="219">
        <f t="shared" si="70"/>
        <v>-22</v>
      </c>
    </row>
    <row r="142" spans="1:25" x14ac:dyDescent="0.25">
      <c r="A142" s="72" t="s">
        <v>91</v>
      </c>
      <c r="B142" s="11">
        <v>2457</v>
      </c>
      <c r="C142" s="11">
        <v>1305</v>
      </c>
      <c r="D142" s="11">
        <v>1478</v>
      </c>
      <c r="E142" s="11">
        <v>1664</v>
      </c>
      <c r="F142" s="11">
        <v>1777</v>
      </c>
      <c r="G142" s="11">
        <v>1856</v>
      </c>
      <c r="H142" s="11">
        <v>3116</v>
      </c>
      <c r="I142" s="11">
        <v>5108</v>
      </c>
      <c r="J142" s="11">
        <v>7522</v>
      </c>
      <c r="K142" s="11">
        <v>9491</v>
      </c>
      <c r="L142" s="11">
        <v>11289</v>
      </c>
      <c r="M142" s="60">
        <v>14121</v>
      </c>
      <c r="N142" s="11">
        <v>17302</v>
      </c>
      <c r="O142" s="11">
        <v>18655</v>
      </c>
      <c r="P142" s="11">
        <v>31440</v>
      </c>
      <c r="Q142" s="11">
        <v>37046</v>
      </c>
      <c r="R142" s="11">
        <v>41980</v>
      </c>
      <c r="S142" s="11">
        <v>45770</v>
      </c>
      <c r="T142" s="11">
        <v>53571</v>
      </c>
      <c r="U142" s="149">
        <f t="shared" si="67"/>
        <v>4.6443999578548096</v>
      </c>
      <c r="V142" s="149">
        <f t="shared" si="68"/>
        <v>0.70391221374045798</v>
      </c>
      <c r="W142" s="149">
        <f t="shared" si="69"/>
        <v>0.1704391522831549</v>
      </c>
      <c r="X142" s="218">
        <f t="shared" si="71"/>
        <v>0.14771320405107688</v>
      </c>
      <c r="Y142" s="219">
        <f t="shared" si="70"/>
        <v>7801</v>
      </c>
    </row>
    <row r="143" spans="1:25" x14ac:dyDescent="0.25">
      <c r="A143" s="88" t="s">
        <v>92</v>
      </c>
      <c r="B143" s="93">
        <v>1479</v>
      </c>
      <c r="C143" s="93">
        <v>1261</v>
      </c>
      <c r="D143" s="93">
        <v>4943</v>
      </c>
      <c r="E143" s="93">
        <v>3961</v>
      </c>
      <c r="F143" s="93">
        <v>5279</v>
      </c>
      <c r="G143" s="93">
        <v>5902</v>
      </c>
      <c r="H143" s="93">
        <v>1644</v>
      </c>
      <c r="I143" s="93">
        <v>312</v>
      </c>
      <c r="J143" s="93">
        <v>387</v>
      </c>
      <c r="K143" s="93">
        <v>2161</v>
      </c>
      <c r="L143" s="93">
        <v>2410</v>
      </c>
      <c r="M143" s="123">
        <v>1967</v>
      </c>
      <c r="N143" s="93">
        <v>1249</v>
      </c>
      <c r="O143" s="93">
        <v>1013</v>
      </c>
      <c r="P143" s="93">
        <v>762</v>
      </c>
      <c r="Q143" s="93">
        <v>350</v>
      </c>
      <c r="R143" s="93">
        <v>58</v>
      </c>
      <c r="S143" s="93">
        <v>66</v>
      </c>
      <c r="T143" s="93">
        <v>87</v>
      </c>
      <c r="U143" s="149">
        <f t="shared" si="67"/>
        <v>-0.95974086071263309</v>
      </c>
      <c r="V143" s="149">
        <f t="shared" si="68"/>
        <v>-0.88582677165354329</v>
      </c>
      <c r="W143" s="149">
        <f t="shared" si="69"/>
        <v>0.31818181818181818</v>
      </c>
      <c r="X143" s="218">
        <f t="shared" si="71"/>
        <v>2.3988816248424872E-4</v>
      </c>
      <c r="Y143" s="219">
        <f t="shared" si="70"/>
        <v>21</v>
      </c>
    </row>
    <row r="144" spans="1:25" s="42" customFormat="1" x14ac:dyDescent="0.25">
      <c r="A144" s="92" t="s">
        <v>0</v>
      </c>
      <c r="B144" s="2">
        <v>243379</v>
      </c>
      <c r="C144" s="2">
        <v>252964</v>
      </c>
      <c r="D144" s="2">
        <v>281647</v>
      </c>
      <c r="E144" s="2">
        <v>315058</v>
      </c>
      <c r="F144" s="2">
        <v>328323</v>
      </c>
      <c r="G144" s="2">
        <v>332828</v>
      </c>
      <c r="H144" s="2">
        <v>343000</v>
      </c>
      <c r="I144" s="2">
        <v>341460</v>
      </c>
      <c r="J144" s="2">
        <v>337759</v>
      </c>
      <c r="K144" s="2">
        <v>337906</v>
      </c>
      <c r="L144" s="2">
        <v>335271</v>
      </c>
      <c r="M144" s="89">
        <v>334890</v>
      </c>
      <c r="N144" s="2">
        <v>330653</v>
      </c>
      <c r="O144" s="2">
        <v>303422</v>
      </c>
      <c r="P144" s="2">
        <v>314451</v>
      </c>
      <c r="Q144" s="2">
        <v>318411</v>
      </c>
      <c r="R144" s="2">
        <v>345529</v>
      </c>
      <c r="S144" s="2">
        <v>350683</v>
      </c>
      <c r="T144" s="2">
        <v>362669</v>
      </c>
      <c r="U144" s="150">
        <f t="shared" si="67"/>
        <v>7.3283694281841699E-2</v>
      </c>
      <c r="V144" s="150">
        <f t="shared" si="68"/>
        <v>0.15334026605099046</v>
      </c>
      <c r="W144" s="150">
        <f t="shared" si="69"/>
        <v>3.4179016376613636E-2</v>
      </c>
      <c r="X144" s="220">
        <f t="shared" si="71"/>
        <v>1</v>
      </c>
      <c r="Y144" s="221">
        <f t="shared" si="70"/>
        <v>11986</v>
      </c>
    </row>
    <row r="145" spans="1:25" x14ac:dyDescent="0.25">
      <c r="A145" s="3"/>
      <c r="B145" s="3"/>
      <c r="C145" s="3"/>
      <c r="D145" s="3"/>
      <c r="E145" s="3"/>
      <c r="F145" s="3"/>
      <c r="G145" s="3"/>
      <c r="H145" s="3"/>
      <c r="I145" s="3"/>
      <c r="J145" s="3"/>
      <c r="K145" s="3"/>
      <c r="L145" s="3"/>
      <c r="N145" s="3"/>
      <c r="O145" s="3"/>
      <c r="P145" s="3"/>
      <c r="Q145" s="3"/>
      <c r="R145" s="3"/>
      <c r="S145" s="3"/>
      <c r="T145" s="3"/>
      <c r="U145" s="3"/>
      <c r="V145" s="3"/>
      <c r="W145" s="3"/>
      <c r="X145" s="3"/>
      <c r="Y145" s="3"/>
    </row>
    <row r="146" spans="1:25" ht="18" x14ac:dyDescent="0.25">
      <c r="A146" s="22" t="s">
        <v>118</v>
      </c>
      <c r="B146" s="22"/>
      <c r="C146" s="22"/>
      <c r="D146" s="22"/>
      <c r="E146" s="22"/>
      <c r="F146" s="22"/>
      <c r="G146" s="22"/>
      <c r="H146" s="22"/>
      <c r="I146" s="3"/>
      <c r="J146" s="3"/>
      <c r="K146" s="3"/>
      <c r="L146" s="3"/>
      <c r="N146" s="3"/>
      <c r="O146" s="3"/>
      <c r="P146" s="3"/>
      <c r="Q146" s="3"/>
      <c r="R146" s="3"/>
      <c r="S146" s="3"/>
      <c r="T146" s="3"/>
      <c r="U146" s="27"/>
      <c r="V146" s="27"/>
      <c r="W146" s="27"/>
      <c r="X146" s="27"/>
      <c r="Y146" s="27"/>
    </row>
    <row r="147" spans="1:25" ht="44.1" customHeight="1" x14ac:dyDescent="0.25">
      <c r="A147" s="120" t="s">
        <v>127</v>
      </c>
      <c r="B147" s="105">
        <v>2007</v>
      </c>
      <c r="C147" s="105">
        <v>2008</v>
      </c>
      <c r="D147" s="105">
        <v>2009</v>
      </c>
      <c r="E147" s="105">
        <v>2010</v>
      </c>
      <c r="F147" s="105">
        <v>2011</v>
      </c>
      <c r="G147" s="105">
        <v>2012</v>
      </c>
      <c r="H147" s="105">
        <v>2013</v>
      </c>
      <c r="I147" s="105">
        <v>2014</v>
      </c>
      <c r="J147" s="105">
        <v>2015</v>
      </c>
      <c r="K147" s="105">
        <v>2016</v>
      </c>
      <c r="L147" s="105">
        <v>2017</v>
      </c>
      <c r="M147" s="132">
        <v>2018</v>
      </c>
      <c r="N147" s="105">
        <v>2019</v>
      </c>
      <c r="O147" s="105">
        <v>2020</v>
      </c>
      <c r="P147" s="105">
        <v>2021</v>
      </c>
      <c r="Q147" s="105">
        <v>2022</v>
      </c>
      <c r="R147" s="105">
        <v>2023</v>
      </c>
      <c r="S147" s="105">
        <v>2024</v>
      </c>
      <c r="T147" s="105">
        <v>2025</v>
      </c>
      <c r="U147" s="106" t="s">
        <v>546</v>
      </c>
      <c r="V147" s="106" t="s">
        <v>547</v>
      </c>
      <c r="W147" s="106" t="s">
        <v>548</v>
      </c>
      <c r="X147" s="106" t="s">
        <v>549</v>
      </c>
      <c r="Y147" s="216" t="s">
        <v>563</v>
      </c>
    </row>
    <row r="148" spans="1:25" s="42" customFormat="1" x14ac:dyDescent="0.25">
      <c r="A148" s="92" t="s">
        <v>2</v>
      </c>
      <c r="B148" s="2">
        <v>43912</v>
      </c>
      <c r="C148" s="2">
        <v>47056</v>
      </c>
      <c r="D148" s="2">
        <v>53202</v>
      </c>
      <c r="E148" s="2">
        <v>63115</v>
      </c>
      <c r="F148" s="2">
        <v>64035</v>
      </c>
      <c r="G148" s="2">
        <v>62584</v>
      </c>
      <c r="H148" s="2">
        <v>64724</v>
      </c>
      <c r="I148" s="2">
        <v>65941</v>
      </c>
      <c r="J148" s="2">
        <v>63551</v>
      </c>
      <c r="K148" s="2">
        <v>59423</v>
      </c>
      <c r="L148" s="2">
        <v>60034</v>
      </c>
      <c r="M148" s="89">
        <v>59203</v>
      </c>
      <c r="N148" s="2">
        <v>60906</v>
      </c>
      <c r="O148" s="2">
        <v>56159</v>
      </c>
      <c r="P148" s="2">
        <v>58299</v>
      </c>
      <c r="Q148" s="2">
        <v>56028</v>
      </c>
      <c r="R148" s="2">
        <v>60184</v>
      </c>
      <c r="S148" s="2">
        <v>66771</v>
      </c>
      <c r="T148" s="93">
        <v>68900</v>
      </c>
      <c r="U148" s="150">
        <f t="shared" ref="U148:U166" si="72">(T148-K148)/K148</f>
        <v>0.15948370159702471</v>
      </c>
      <c r="V148" s="150">
        <f t="shared" ref="V148:V166" si="73">(T148-P148)/P148</f>
        <v>0.18183845348976826</v>
      </c>
      <c r="W148" s="150">
        <f t="shared" ref="W148:W166" si="74">(T148-S148)/S148</f>
        <v>3.1885099818783603E-2</v>
      </c>
      <c r="X148" s="220">
        <f>T148/T$16</f>
        <v>0.18998039534672112</v>
      </c>
      <c r="Y148" s="221">
        <f t="shared" ref="Y148:Y166" si="75">T148-S148</f>
        <v>2129</v>
      </c>
    </row>
    <row r="149" spans="1:25" x14ac:dyDescent="0.25">
      <c r="A149" s="144" t="s">
        <v>88</v>
      </c>
      <c r="B149" s="93">
        <v>25977</v>
      </c>
      <c r="C149" s="93">
        <v>28050</v>
      </c>
      <c r="D149" s="93">
        <v>32412</v>
      </c>
      <c r="E149" s="93">
        <v>36848</v>
      </c>
      <c r="F149" s="93">
        <v>36276</v>
      </c>
      <c r="G149" s="93">
        <v>34204</v>
      </c>
      <c r="H149" s="93">
        <v>35210</v>
      </c>
      <c r="I149" s="93">
        <v>36369</v>
      </c>
      <c r="J149" s="93">
        <v>35889</v>
      </c>
      <c r="K149" s="93">
        <v>34681</v>
      </c>
      <c r="L149" s="93">
        <v>36308</v>
      </c>
      <c r="M149" s="123">
        <v>36692</v>
      </c>
      <c r="N149" s="93">
        <v>38241</v>
      </c>
      <c r="O149" s="93">
        <v>36005</v>
      </c>
      <c r="P149" s="93">
        <v>34692</v>
      </c>
      <c r="Q149" s="93">
        <v>34515</v>
      </c>
      <c r="R149" s="93">
        <v>37413</v>
      </c>
      <c r="S149" s="93">
        <v>40161</v>
      </c>
      <c r="T149" s="93">
        <v>40700</v>
      </c>
      <c r="U149" s="149">
        <f t="shared" si="72"/>
        <v>0.17355324240938844</v>
      </c>
      <c r="V149" s="149">
        <f t="shared" si="73"/>
        <v>0.17318113686152428</v>
      </c>
      <c r="W149" s="149">
        <f t="shared" si="74"/>
        <v>1.3420980553273076E-2</v>
      </c>
      <c r="X149" s="218">
        <f t="shared" ref="X149:X166" si="76">T149/T$16</f>
        <v>0.11222354267941291</v>
      </c>
      <c r="Y149" s="219">
        <f t="shared" si="75"/>
        <v>539</v>
      </c>
    </row>
    <row r="150" spans="1:25" x14ac:dyDescent="0.25">
      <c r="A150" s="144" t="s">
        <v>89</v>
      </c>
      <c r="B150" s="93">
        <v>17410</v>
      </c>
      <c r="C150" s="93">
        <v>18652</v>
      </c>
      <c r="D150" s="93">
        <v>20487</v>
      </c>
      <c r="E150" s="93">
        <v>25286</v>
      </c>
      <c r="F150" s="93">
        <v>27270</v>
      </c>
      <c r="G150" s="93">
        <v>27418</v>
      </c>
      <c r="H150" s="93">
        <v>28913</v>
      </c>
      <c r="I150" s="93">
        <v>28903</v>
      </c>
      <c r="J150" s="93">
        <v>26623</v>
      </c>
      <c r="K150" s="93">
        <v>24084</v>
      </c>
      <c r="L150" s="93">
        <v>22765</v>
      </c>
      <c r="M150" s="123">
        <v>21860</v>
      </c>
      <c r="N150" s="93">
        <v>21938</v>
      </c>
      <c r="O150" s="93">
        <v>18638</v>
      </c>
      <c r="P150" s="93">
        <v>20488</v>
      </c>
      <c r="Q150" s="93">
        <v>19738</v>
      </c>
      <c r="R150" s="93">
        <v>20548</v>
      </c>
      <c r="S150" s="93">
        <v>23804</v>
      </c>
      <c r="T150" s="93">
        <v>24580</v>
      </c>
      <c r="U150" s="149">
        <f t="shared" si="72"/>
        <v>2.0594585617007142E-2</v>
      </c>
      <c r="V150" s="149">
        <f t="shared" si="73"/>
        <v>0.19972666926981647</v>
      </c>
      <c r="W150" s="149">
        <f t="shared" si="74"/>
        <v>3.2599563098638887E-2</v>
      </c>
      <c r="X150" s="218">
        <f t="shared" si="76"/>
        <v>6.7775299239802689E-2</v>
      </c>
      <c r="Y150" s="219">
        <f t="shared" si="75"/>
        <v>776</v>
      </c>
    </row>
    <row r="151" spans="1:25" x14ac:dyDescent="0.25">
      <c r="A151" s="144" t="s">
        <v>90</v>
      </c>
      <c r="B151" s="93">
        <v>85</v>
      </c>
      <c r="C151" s="93">
        <v>138</v>
      </c>
      <c r="D151" s="93">
        <v>202</v>
      </c>
      <c r="E151" s="93">
        <v>939</v>
      </c>
      <c r="F151" s="93">
        <v>426</v>
      </c>
      <c r="G151" s="93">
        <v>425</v>
      </c>
      <c r="H151" s="93">
        <v>181</v>
      </c>
      <c r="I151" s="93">
        <v>282</v>
      </c>
      <c r="J151" s="93">
        <v>267</v>
      </c>
      <c r="K151" s="93">
        <v>263</v>
      </c>
      <c r="L151" s="93">
        <v>340</v>
      </c>
      <c r="M151" s="123">
        <v>334</v>
      </c>
      <c r="N151" s="93">
        <v>114</v>
      </c>
      <c r="O151" s="93">
        <v>167</v>
      </c>
      <c r="P151" s="93">
        <v>322</v>
      </c>
      <c r="Q151" s="93">
        <v>21</v>
      </c>
      <c r="R151" s="93">
        <v>225</v>
      </c>
      <c r="S151" s="93">
        <v>283</v>
      </c>
      <c r="T151" s="93">
        <v>331</v>
      </c>
      <c r="U151" s="149">
        <f t="shared" si="72"/>
        <v>0.2585551330798479</v>
      </c>
      <c r="V151" s="149">
        <f t="shared" si="73"/>
        <v>2.7950310559006212E-2</v>
      </c>
      <c r="W151" s="149">
        <f t="shared" si="74"/>
        <v>0.16961130742049471</v>
      </c>
      <c r="X151" s="218">
        <f t="shared" si="76"/>
        <v>9.1267795152053248E-4</v>
      </c>
      <c r="Y151" s="219">
        <f t="shared" si="75"/>
        <v>48</v>
      </c>
    </row>
    <row r="152" spans="1:25" x14ac:dyDescent="0.25">
      <c r="A152" s="144" t="s">
        <v>91</v>
      </c>
      <c r="B152" s="93">
        <v>0</v>
      </c>
      <c r="C152" s="93">
        <v>0</v>
      </c>
      <c r="D152" s="93">
        <v>0</v>
      </c>
      <c r="E152" s="93">
        <v>0</v>
      </c>
      <c r="F152" s="93">
        <v>63</v>
      </c>
      <c r="G152" s="93">
        <v>147</v>
      </c>
      <c r="H152" s="93">
        <v>113</v>
      </c>
      <c r="I152" s="93">
        <v>279</v>
      </c>
      <c r="J152" s="93">
        <v>706</v>
      </c>
      <c r="K152" s="93">
        <v>371</v>
      </c>
      <c r="L152" s="93">
        <v>400</v>
      </c>
      <c r="M152" s="123">
        <v>310</v>
      </c>
      <c r="N152" s="93">
        <v>613</v>
      </c>
      <c r="O152" s="93">
        <v>1349</v>
      </c>
      <c r="P152" s="93">
        <v>2797</v>
      </c>
      <c r="Q152" s="93">
        <v>1754</v>
      </c>
      <c r="R152" s="93">
        <v>1998</v>
      </c>
      <c r="S152" s="93">
        <v>2523</v>
      </c>
      <c r="T152" s="93">
        <v>3289</v>
      </c>
      <c r="U152" s="149">
        <f t="shared" si="72"/>
        <v>7.8652291105121295</v>
      </c>
      <c r="V152" s="149">
        <f t="shared" si="73"/>
        <v>0.17590275294958885</v>
      </c>
      <c r="W152" s="149">
        <f t="shared" si="74"/>
        <v>0.30360681728101468</v>
      </c>
      <c r="X152" s="218">
        <f t="shared" si="76"/>
        <v>9.0688754759849898E-3</v>
      </c>
      <c r="Y152" s="219">
        <f t="shared" si="75"/>
        <v>766</v>
      </c>
    </row>
    <row r="153" spans="1:25" x14ac:dyDescent="0.25">
      <c r="A153" s="144" t="s">
        <v>92</v>
      </c>
      <c r="B153" s="93">
        <v>440</v>
      </c>
      <c r="C153" s="93">
        <v>216</v>
      </c>
      <c r="D153" s="93">
        <v>101</v>
      </c>
      <c r="E153" s="93">
        <v>42</v>
      </c>
      <c r="F153" s="93">
        <v>0</v>
      </c>
      <c r="G153" s="93">
        <v>390</v>
      </c>
      <c r="H153" s="93">
        <v>307</v>
      </c>
      <c r="I153" s="93">
        <v>108</v>
      </c>
      <c r="J153" s="93">
        <v>66</v>
      </c>
      <c r="K153" s="93">
        <v>24</v>
      </c>
      <c r="L153" s="93">
        <v>221</v>
      </c>
      <c r="M153" s="123">
        <v>7</v>
      </c>
      <c r="N153" s="93">
        <v>0</v>
      </c>
      <c r="O153" s="93">
        <v>0</v>
      </c>
      <c r="P153" s="93">
        <v>0</v>
      </c>
      <c r="Q153" s="93">
        <v>0</v>
      </c>
      <c r="R153" s="93">
        <v>0</v>
      </c>
      <c r="S153" s="93">
        <v>0</v>
      </c>
      <c r="T153" s="93">
        <v>0</v>
      </c>
      <c r="U153" s="149">
        <f t="shared" si="72"/>
        <v>-1</v>
      </c>
      <c r="V153" s="149" t="s">
        <v>130</v>
      </c>
      <c r="W153" s="149" t="s">
        <v>130</v>
      </c>
      <c r="X153" s="218">
        <f t="shared" si="76"/>
        <v>0</v>
      </c>
      <c r="Y153" s="219">
        <f t="shared" si="75"/>
        <v>0</v>
      </c>
    </row>
    <row r="154" spans="1:25" s="42" customFormat="1" x14ac:dyDescent="0.25">
      <c r="A154" s="92" t="s">
        <v>3</v>
      </c>
      <c r="B154" s="2">
        <v>68128</v>
      </c>
      <c r="C154" s="2">
        <v>68712</v>
      </c>
      <c r="D154" s="2">
        <v>81182</v>
      </c>
      <c r="E154" s="2">
        <v>95186</v>
      </c>
      <c r="F154" s="2">
        <v>105562</v>
      </c>
      <c r="G154" s="2">
        <v>111783</v>
      </c>
      <c r="H154" s="2">
        <v>126264</v>
      </c>
      <c r="I154" s="2">
        <v>128343</v>
      </c>
      <c r="J154" s="2">
        <v>124380</v>
      </c>
      <c r="K154" s="2">
        <v>123220</v>
      </c>
      <c r="L154" s="2">
        <v>119657</v>
      </c>
      <c r="M154" s="89">
        <v>121506</v>
      </c>
      <c r="N154" s="2">
        <v>121894</v>
      </c>
      <c r="O154" s="2">
        <v>109617</v>
      </c>
      <c r="P154" s="2">
        <v>120935</v>
      </c>
      <c r="Q154" s="2">
        <v>129801</v>
      </c>
      <c r="R154" s="2">
        <v>135710</v>
      </c>
      <c r="S154" s="2">
        <v>130410</v>
      </c>
      <c r="T154" s="2">
        <v>134647</v>
      </c>
      <c r="U154" s="150">
        <f t="shared" si="72"/>
        <v>9.2736568738841091E-2</v>
      </c>
      <c r="V154" s="150">
        <f t="shared" si="73"/>
        <v>0.11338322239219416</v>
      </c>
      <c r="W154" s="150">
        <f t="shared" si="74"/>
        <v>3.2489839736216546E-2</v>
      </c>
      <c r="X154" s="220">
        <f t="shared" si="76"/>
        <v>0.37126691280478896</v>
      </c>
      <c r="Y154" s="221">
        <f t="shared" si="75"/>
        <v>4237</v>
      </c>
    </row>
    <row r="155" spans="1:25" x14ac:dyDescent="0.25">
      <c r="A155" s="144" t="s">
        <v>88</v>
      </c>
      <c r="B155" s="93">
        <v>41863</v>
      </c>
      <c r="C155" s="93">
        <v>40662</v>
      </c>
      <c r="D155" s="93">
        <v>45678</v>
      </c>
      <c r="E155" s="93">
        <v>52967</v>
      </c>
      <c r="F155" s="93">
        <v>54923</v>
      </c>
      <c r="G155" s="93">
        <v>55975</v>
      </c>
      <c r="H155" s="93">
        <v>63737</v>
      </c>
      <c r="I155" s="93">
        <v>64378</v>
      </c>
      <c r="J155" s="93">
        <v>62115</v>
      </c>
      <c r="K155" s="93">
        <v>61754</v>
      </c>
      <c r="L155" s="93">
        <v>61496</v>
      </c>
      <c r="M155" s="123">
        <v>62241</v>
      </c>
      <c r="N155" s="93">
        <v>61092</v>
      </c>
      <c r="O155" s="93">
        <v>57125</v>
      </c>
      <c r="P155" s="93">
        <v>57147</v>
      </c>
      <c r="Q155" s="93">
        <v>59167</v>
      </c>
      <c r="R155" s="93">
        <v>59792</v>
      </c>
      <c r="S155" s="93">
        <v>55104</v>
      </c>
      <c r="T155" s="93">
        <v>53130</v>
      </c>
      <c r="U155" s="149">
        <f t="shared" si="72"/>
        <v>-0.1396508728179551</v>
      </c>
      <c r="V155" s="149">
        <f t="shared" si="73"/>
        <v>-7.0292403800724448E-2</v>
      </c>
      <c r="W155" s="149">
        <f t="shared" si="74"/>
        <v>-3.5823170731707314E-2</v>
      </c>
      <c r="X155" s="218">
        <f t="shared" si="76"/>
        <v>0.14649721922744982</v>
      </c>
      <c r="Y155" s="219">
        <f t="shared" si="75"/>
        <v>-1974</v>
      </c>
    </row>
    <row r="156" spans="1:25" x14ac:dyDescent="0.25">
      <c r="A156" s="144" t="s">
        <v>89</v>
      </c>
      <c r="B156" s="93">
        <v>25724</v>
      </c>
      <c r="C156" s="93">
        <v>27174</v>
      </c>
      <c r="D156" s="93">
        <v>32631</v>
      </c>
      <c r="E156" s="93">
        <v>39934</v>
      </c>
      <c r="F156" s="93">
        <v>47215</v>
      </c>
      <c r="G156" s="93">
        <v>52185</v>
      </c>
      <c r="H156" s="93">
        <v>58146</v>
      </c>
      <c r="I156" s="93">
        <v>57558</v>
      </c>
      <c r="J156" s="93">
        <v>54770</v>
      </c>
      <c r="K156" s="93">
        <v>51358</v>
      </c>
      <c r="L156" s="93">
        <v>46078</v>
      </c>
      <c r="M156" s="123">
        <v>44907</v>
      </c>
      <c r="N156" s="93">
        <v>43225</v>
      </c>
      <c r="O156" s="93">
        <v>35502</v>
      </c>
      <c r="P156" s="93">
        <v>37710</v>
      </c>
      <c r="Q156" s="93">
        <v>36859</v>
      </c>
      <c r="R156" s="93">
        <v>35544</v>
      </c>
      <c r="S156" s="93">
        <v>32136</v>
      </c>
      <c r="T156" s="93">
        <v>31937</v>
      </c>
      <c r="U156" s="149">
        <f t="shared" si="72"/>
        <v>-0.37814946064877913</v>
      </c>
      <c r="V156" s="149">
        <f t="shared" si="73"/>
        <v>-0.15308936621585786</v>
      </c>
      <c r="W156" s="149">
        <f t="shared" si="74"/>
        <v>-6.1924321633059498E-3</v>
      </c>
      <c r="X156" s="218">
        <f t="shared" si="76"/>
        <v>8.8061014313327024E-2</v>
      </c>
      <c r="Y156" s="219">
        <f t="shared" si="75"/>
        <v>-199</v>
      </c>
    </row>
    <row r="157" spans="1:25" x14ac:dyDescent="0.25">
      <c r="A157" s="144" t="s">
        <v>90</v>
      </c>
      <c r="B157" s="93">
        <v>154</v>
      </c>
      <c r="C157" s="93">
        <v>0</v>
      </c>
      <c r="D157" s="93">
        <v>62</v>
      </c>
      <c r="E157" s="93">
        <v>67</v>
      </c>
      <c r="F157" s="93">
        <v>736</v>
      </c>
      <c r="G157" s="93">
        <v>966</v>
      </c>
      <c r="H157" s="93">
        <v>1959</v>
      </c>
      <c r="I157" s="93">
        <v>2402</v>
      </c>
      <c r="J157" s="93">
        <v>1338</v>
      </c>
      <c r="K157" s="93">
        <v>1555</v>
      </c>
      <c r="L157" s="93">
        <v>1660</v>
      </c>
      <c r="M157" s="123">
        <v>1124</v>
      </c>
      <c r="N157" s="93">
        <v>1803</v>
      </c>
      <c r="O157" s="93">
        <v>1107</v>
      </c>
      <c r="P157" s="93">
        <v>1323</v>
      </c>
      <c r="Q157" s="93">
        <v>1165</v>
      </c>
      <c r="R157" s="93">
        <v>2576</v>
      </c>
      <c r="S157" s="93">
        <v>2956</v>
      </c>
      <c r="T157" s="93">
        <v>2639</v>
      </c>
      <c r="U157" s="149">
        <f t="shared" si="72"/>
        <v>0.6971061093247588</v>
      </c>
      <c r="V157" s="149">
        <f t="shared" si="73"/>
        <v>0.99470899470899465</v>
      </c>
      <c r="W157" s="149">
        <f t="shared" si="74"/>
        <v>-0.10723951285520975</v>
      </c>
      <c r="X157" s="218">
        <f t="shared" si="76"/>
        <v>7.2766075953555444E-3</v>
      </c>
      <c r="Y157" s="219">
        <f t="shared" si="75"/>
        <v>-317</v>
      </c>
    </row>
    <row r="158" spans="1:25" x14ac:dyDescent="0.25">
      <c r="A158" s="144" t="s">
        <v>91</v>
      </c>
      <c r="B158" s="93">
        <v>333</v>
      </c>
      <c r="C158" s="93">
        <v>736</v>
      </c>
      <c r="D158" s="93">
        <v>822</v>
      </c>
      <c r="E158" s="93">
        <v>1073</v>
      </c>
      <c r="F158" s="93">
        <v>1327</v>
      </c>
      <c r="G158" s="93">
        <v>1411</v>
      </c>
      <c r="H158" s="93">
        <v>2384</v>
      </c>
      <c r="I158" s="93">
        <v>3958</v>
      </c>
      <c r="J158" s="93">
        <v>6134</v>
      </c>
      <c r="K158" s="93">
        <v>8502</v>
      </c>
      <c r="L158" s="93">
        <v>10363</v>
      </c>
      <c r="M158" s="123">
        <v>13171</v>
      </c>
      <c r="N158" s="93">
        <v>15706</v>
      </c>
      <c r="O158" s="93">
        <v>15815</v>
      </c>
      <c r="P158" s="93">
        <v>24683</v>
      </c>
      <c r="Q158" s="93">
        <v>32550</v>
      </c>
      <c r="R158" s="93">
        <v>37740</v>
      </c>
      <c r="S158" s="93">
        <v>40148</v>
      </c>
      <c r="T158" s="93">
        <v>46854</v>
      </c>
      <c r="U158" s="149">
        <f t="shared" si="72"/>
        <v>4.5109386026817218</v>
      </c>
      <c r="V158" s="149">
        <f t="shared" si="73"/>
        <v>0.89822955070291288</v>
      </c>
      <c r="W158" s="149">
        <f t="shared" si="74"/>
        <v>0.16703198166782904</v>
      </c>
      <c r="X158" s="218">
        <f t="shared" si="76"/>
        <v>0.12919218350617229</v>
      </c>
      <c r="Y158" s="219">
        <f t="shared" si="75"/>
        <v>6706</v>
      </c>
    </row>
    <row r="159" spans="1:25" x14ac:dyDescent="0.25">
      <c r="A159" s="144" t="s">
        <v>92</v>
      </c>
      <c r="B159" s="93">
        <v>54</v>
      </c>
      <c r="C159" s="93">
        <v>140</v>
      </c>
      <c r="D159" s="93">
        <v>1989</v>
      </c>
      <c r="E159" s="93">
        <v>1145</v>
      </c>
      <c r="F159" s="93">
        <v>1361</v>
      </c>
      <c r="G159" s="93">
        <v>1246</v>
      </c>
      <c r="H159" s="93">
        <v>38</v>
      </c>
      <c r="I159" s="93">
        <v>47</v>
      </c>
      <c r="J159" s="93">
        <v>23</v>
      </c>
      <c r="K159" s="93">
        <v>51</v>
      </c>
      <c r="L159" s="93">
        <v>60</v>
      </c>
      <c r="M159" s="123">
        <v>63</v>
      </c>
      <c r="N159" s="93">
        <v>68</v>
      </c>
      <c r="O159" s="93">
        <v>68</v>
      </c>
      <c r="P159" s="93">
        <v>72</v>
      </c>
      <c r="Q159" s="93">
        <v>60</v>
      </c>
      <c r="R159" s="93">
        <v>58</v>
      </c>
      <c r="S159" s="93">
        <v>66</v>
      </c>
      <c r="T159" s="93">
        <v>87</v>
      </c>
      <c r="U159" s="149">
        <f t="shared" si="72"/>
        <v>0.70588235294117652</v>
      </c>
      <c r="V159" s="149">
        <f t="shared" si="73"/>
        <v>0.20833333333333334</v>
      </c>
      <c r="W159" s="149">
        <f t="shared" si="74"/>
        <v>0.31818181818181818</v>
      </c>
      <c r="X159" s="218">
        <f t="shared" si="76"/>
        <v>2.3988816248424872E-4</v>
      </c>
      <c r="Y159" s="219">
        <f t="shared" si="75"/>
        <v>21</v>
      </c>
    </row>
    <row r="160" spans="1:25" s="42" customFormat="1" x14ac:dyDescent="0.25">
      <c r="A160" s="92" t="s">
        <v>4</v>
      </c>
      <c r="B160" s="2">
        <v>131339</v>
      </c>
      <c r="C160" s="2">
        <v>137196</v>
      </c>
      <c r="D160" s="2">
        <v>147263</v>
      </c>
      <c r="E160" s="2">
        <v>156757</v>
      </c>
      <c r="F160" s="2">
        <v>158726</v>
      </c>
      <c r="G160" s="2">
        <v>158461</v>
      </c>
      <c r="H160" s="2">
        <v>152012</v>
      </c>
      <c r="I160" s="2">
        <v>147176</v>
      </c>
      <c r="J160" s="2">
        <v>149828</v>
      </c>
      <c r="K160" s="2">
        <v>155263</v>
      </c>
      <c r="L160" s="2">
        <v>155580</v>
      </c>
      <c r="M160" s="89">
        <v>154181</v>
      </c>
      <c r="N160" s="2">
        <v>147853</v>
      </c>
      <c r="O160" s="2">
        <v>137646</v>
      </c>
      <c r="P160" s="2">
        <v>135217</v>
      </c>
      <c r="Q160" s="2">
        <v>132582</v>
      </c>
      <c r="R160" s="2">
        <v>149635</v>
      </c>
      <c r="S160" s="2">
        <v>153502</v>
      </c>
      <c r="T160" s="2">
        <v>159122</v>
      </c>
      <c r="U160" s="150">
        <f t="shared" si="72"/>
        <v>2.4854601547052421E-2</v>
      </c>
      <c r="V160" s="150">
        <f t="shared" si="73"/>
        <v>0.17678990067816916</v>
      </c>
      <c r="W160" s="150">
        <f t="shared" si="74"/>
        <v>3.6611900822139123E-2</v>
      </c>
      <c r="X160" s="220">
        <f t="shared" si="76"/>
        <v>0.43875269184848997</v>
      </c>
      <c r="Y160" s="221">
        <f t="shared" si="75"/>
        <v>5620</v>
      </c>
    </row>
    <row r="161" spans="1:25" x14ac:dyDescent="0.25">
      <c r="A161" s="144" t="s">
        <v>88</v>
      </c>
      <c r="B161" s="93">
        <v>108866</v>
      </c>
      <c r="C161" s="93">
        <v>113135</v>
      </c>
      <c r="D161" s="93">
        <v>118854</v>
      </c>
      <c r="E161" s="93">
        <v>126790</v>
      </c>
      <c r="F161" s="93">
        <v>127705</v>
      </c>
      <c r="G161" s="93">
        <v>128933</v>
      </c>
      <c r="H161" s="93">
        <v>123537</v>
      </c>
      <c r="I161" s="93">
        <v>121691</v>
      </c>
      <c r="J161" s="93">
        <v>123719</v>
      </c>
      <c r="K161" s="93">
        <v>128404</v>
      </c>
      <c r="L161" s="93">
        <v>129358</v>
      </c>
      <c r="M161" s="123">
        <v>131016</v>
      </c>
      <c r="N161" s="93">
        <v>128004</v>
      </c>
      <c r="O161" s="93">
        <v>122040</v>
      </c>
      <c r="P161" s="93">
        <v>116826</v>
      </c>
      <c r="Q161" s="93">
        <v>118626</v>
      </c>
      <c r="R161" s="93">
        <v>136728</v>
      </c>
      <c r="S161" s="93">
        <v>140627</v>
      </c>
      <c r="T161" s="93">
        <v>146191</v>
      </c>
      <c r="U161" s="149">
        <f t="shared" si="72"/>
        <v>0.13852372200242982</v>
      </c>
      <c r="V161" s="149">
        <f t="shared" si="73"/>
        <v>0.25135671853868147</v>
      </c>
      <c r="W161" s="149">
        <f t="shared" si="74"/>
        <v>3.9565659510620292E-2</v>
      </c>
      <c r="X161" s="218">
        <f t="shared" si="76"/>
        <v>0.40309759036476789</v>
      </c>
      <c r="Y161" s="219">
        <f t="shared" si="75"/>
        <v>5564</v>
      </c>
    </row>
    <row r="162" spans="1:25" x14ac:dyDescent="0.25">
      <c r="A162" s="144" t="s">
        <v>89</v>
      </c>
      <c r="B162" s="93">
        <v>19146</v>
      </c>
      <c r="C162" s="93">
        <v>22432</v>
      </c>
      <c r="D162" s="93">
        <v>24837</v>
      </c>
      <c r="E162" s="93">
        <v>26477</v>
      </c>
      <c r="F162" s="93">
        <v>26538</v>
      </c>
      <c r="G162" s="93">
        <v>24745</v>
      </c>
      <c r="H162" s="93">
        <v>26262</v>
      </c>
      <c r="I162" s="93">
        <v>24159</v>
      </c>
      <c r="J162" s="93">
        <v>24673</v>
      </c>
      <c r="K162" s="93">
        <v>23764</v>
      </c>
      <c r="L162" s="93">
        <v>22945</v>
      </c>
      <c r="M162" s="123">
        <v>19915</v>
      </c>
      <c r="N162" s="93">
        <v>16987</v>
      </c>
      <c r="O162" s="93">
        <v>12569</v>
      </c>
      <c r="P162" s="93">
        <v>13022</v>
      </c>
      <c r="Q162" s="93">
        <v>10079</v>
      </c>
      <c r="R162" s="93">
        <v>9462</v>
      </c>
      <c r="S162" s="93">
        <v>8377</v>
      </c>
      <c r="T162" s="93">
        <v>7857</v>
      </c>
      <c r="U162" s="149">
        <f t="shared" si="72"/>
        <v>-0.66937384278740952</v>
      </c>
      <c r="V162" s="149">
        <f t="shared" si="73"/>
        <v>-0.39663646137306097</v>
      </c>
      <c r="W162" s="149">
        <f t="shared" si="74"/>
        <v>-6.207472842306315E-2</v>
      </c>
      <c r="X162" s="218">
        <f t="shared" si="76"/>
        <v>2.1664382674008532E-2</v>
      </c>
      <c r="Y162" s="219">
        <f t="shared" si="75"/>
        <v>-520</v>
      </c>
    </row>
    <row r="163" spans="1:25" x14ac:dyDescent="0.25">
      <c r="A163" s="144" t="s">
        <v>90</v>
      </c>
      <c r="B163" s="93">
        <v>218</v>
      </c>
      <c r="C163" s="93">
        <v>155</v>
      </c>
      <c r="D163" s="93">
        <v>63</v>
      </c>
      <c r="E163" s="93">
        <v>125</v>
      </c>
      <c r="F163" s="93">
        <v>178</v>
      </c>
      <c r="G163" s="93">
        <v>219</v>
      </c>
      <c r="H163" s="93">
        <v>295</v>
      </c>
      <c r="I163" s="93">
        <v>298</v>
      </c>
      <c r="J163" s="93">
        <v>456</v>
      </c>
      <c r="K163" s="93">
        <v>391</v>
      </c>
      <c r="L163" s="93">
        <v>622</v>
      </c>
      <c r="M163" s="123">
        <v>713</v>
      </c>
      <c r="N163" s="93">
        <v>698</v>
      </c>
      <c r="O163" s="93">
        <v>601</v>
      </c>
      <c r="P163" s="93">
        <v>719</v>
      </c>
      <c r="Q163" s="93">
        <v>845</v>
      </c>
      <c r="R163" s="93">
        <v>1203</v>
      </c>
      <c r="S163" s="93">
        <v>1399</v>
      </c>
      <c r="T163" s="93">
        <v>1646</v>
      </c>
      <c r="U163" s="149">
        <f t="shared" si="72"/>
        <v>3.2097186700767262</v>
      </c>
      <c r="V163" s="149">
        <f t="shared" si="73"/>
        <v>1.2892906815020861</v>
      </c>
      <c r="W163" s="149">
        <f t="shared" si="74"/>
        <v>0.17655468191565404</v>
      </c>
      <c r="X163" s="218">
        <f t="shared" si="76"/>
        <v>4.5385737407939468E-3</v>
      </c>
      <c r="Y163" s="219">
        <f t="shared" si="75"/>
        <v>247</v>
      </c>
    </row>
    <row r="164" spans="1:25" x14ac:dyDescent="0.25">
      <c r="A164" s="144" t="s">
        <v>91</v>
      </c>
      <c r="B164" s="93">
        <v>2124</v>
      </c>
      <c r="C164" s="93">
        <v>569</v>
      </c>
      <c r="D164" s="93">
        <v>656</v>
      </c>
      <c r="E164" s="93">
        <v>591</v>
      </c>
      <c r="F164" s="93">
        <v>387</v>
      </c>
      <c r="G164" s="93">
        <v>298</v>
      </c>
      <c r="H164" s="93">
        <v>619</v>
      </c>
      <c r="I164" s="93">
        <v>871</v>
      </c>
      <c r="J164" s="93">
        <v>682</v>
      </c>
      <c r="K164" s="93">
        <v>618</v>
      </c>
      <c r="L164" s="93">
        <v>526</v>
      </c>
      <c r="M164" s="123">
        <v>640</v>
      </c>
      <c r="N164" s="93">
        <v>983</v>
      </c>
      <c r="O164" s="93">
        <v>1491</v>
      </c>
      <c r="P164" s="93">
        <v>3960</v>
      </c>
      <c r="Q164" s="93">
        <v>2742</v>
      </c>
      <c r="R164" s="93">
        <v>2242</v>
      </c>
      <c r="S164" s="93">
        <v>3099</v>
      </c>
      <c r="T164" s="93">
        <v>3428</v>
      </c>
      <c r="U164" s="149">
        <f t="shared" si="72"/>
        <v>4.5469255663430417</v>
      </c>
      <c r="V164" s="149">
        <f t="shared" si="73"/>
        <v>-0.13434343434343435</v>
      </c>
      <c r="W164" s="149">
        <f t="shared" si="74"/>
        <v>0.10616327847692804</v>
      </c>
      <c r="X164" s="218">
        <f t="shared" si="76"/>
        <v>9.4521450689195926E-3</v>
      </c>
      <c r="Y164" s="219">
        <f t="shared" si="75"/>
        <v>329</v>
      </c>
    </row>
    <row r="165" spans="1:25" x14ac:dyDescent="0.25">
      <c r="A165" s="144" t="s">
        <v>92</v>
      </c>
      <c r="B165" s="93">
        <v>985</v>
      </c>
      <c r="C165" s="93">
        <v>905</v>
      </c>
      <c r="D165" s="93">
        <v>2853</v>
      </c>
      <c r="E165" s="93">
        <v>2774</v>
      </c>
      <c r="F165" s="93">
        <v>3918</v>
      </c>
      <c r="G165" s="93">
        <v>4266</v>
      </c>
      <c r="H165" s="93">
        <v>1299</v>
      </c>
      <c r="I165" s="93">
        <v>157</v>
      </c>
      <c r="J165" s="93">
        <v>298</v>
      </c>
      <c r="K165" s="93">
        <v>2086</v>
      </c>
      <c r="L165" s="93">
        <v>2129</v>
      </c>
      <c r="M165" s="123">
        <v>1897</v>
      </c>
      <c r="N165" s="93">
        <v>1181</v>
      </c>
      <c r="O165" s="93">
        <v>945</v>
      </c>
      <c r="P165" s="93">
        <v>690</v>
      </c>
      <c r="Q165" s="93">
        <v>290</v>
      </c>
      <c r="R165" s="93">
        <v>0</v>
      </c>
      <c r="S165" s="93">
        <v>0</v>
      </c>
      <c r="T165" s="93">
        <v>0</v>
      </c>
      <c r="U165" s="149">
        <f t="shared" si="72"/>
        <v>-1</v>
      </c>
      <c r="V165" s="149">
        <f t="shared" si="73"/>
        <v>-1</v>
      </c>
      <c r="W165" s="149" t="s">
        <v>130</v>
      </c>
      <c r="X165" s="218">
        <f t="shared" si="76"/>
        <v>0</v>
      </c>
      <c r="Y165" s="219">
        <f t="shared" si="75"/>
        <v>0</v>
      </c>
    </row>
    <row r="166" spans="1:25" s="42" customFormat="1" x14ac:dyDescent="0.25">
      <c r="A166" s="92" t="s">
        <v>0</v>
      </c>
      <c r="B166" s="2">
        <v>243379</v>
      </c>
      <c r="C166" s="2">
        <v>252964</v>
      </c>
      <c r="D166" s="2">
        <v>281647</v>
      </c>
      <c r="E166" s="2">
        <v>315058</v>
      </c>
      <c r="F166" s="2">
        <v>328323</v>
      </c>
      <c r="G166" s="2">
        <v>332828</v>
      </c>
      <c r="H166" s="2">
        <v>343000</v>
      </c>
      <c r="I166" s="2">
        <v>341460</v>
      </c>
      <c r="J166" s="2">
        <v>337759</v>
      </c>
      <c r="K166" s="2">
        <v>337906</v>
      </c>
      <c r="L166" s="2">
        <v>335271</v>
      </c>
      <c r="M166" s="89">
        <v>334890</v>
      </c>
      <c r="N166" s="2">
        <v>330653</v>
      </c>
      <c r="O166" s="2">
        <v>303422</v>
      </c>
      <c r="P166" s="2">
        <v>314451</v>
      </c>
      <c r="Q166" s="2">
        <v>318411</v>
      </c>
      <c r="R166" s="2">
        <v>345529</v>
      </c>
      <c r="S166" s="2">
        <v>350683</v>
      </c>
      <c r="T166" s="2">
        <v>362669</v>
      </c>
      <c r="U166" s="150">
        <f t="shared" si="72"/>
        <v>7.3283694281841699E-2</v>
      </c>
      <c r="V166" s="150">
        <f t="shared" si="73"/>
        <v>0.15334026605099046</v>
      </c>
      <c r="W166" s="150">
        <f t="shared" si="74"/>
        <v>3.4179016376613636E-2</v>
      </c>
      <c r="X166" s="220">
        <f t="shared" si="76"/>
        <v>1</v>
      </c>
      <c r="Y166" s="221">
        <f t="shared" si="75"/>
        <v>11986</v>
      </c>
    </row>
    <row r="167" spans="1:25" x14ac:dyDescent="0.25">
      <c r="A167" s="3"/>
      <c r="L167" s="27"/>
      <c r="M167" s="27"/>
      <c r="N167" s="27"/>
      <c r="O167" s="27"/>
      <c r="P167" s="27"/>
      <c r="Q167" s="27"/>
      <c r="R167" s="27"/>
      <c r="S167" s="27"/>
      <c r="T167" s="27"/>
      <c r="U167" s="27"/>
      <c r="V167" s="27"/>
      <c r="W167" s="27"/>
      <c r="X167" s="27"/>
      <c r="Y167" s="27"/>
    </row>
    <row r="168" spans="1:25" ht="15.75" x14ac:dyDescent="0.25">
      <c r="A168" s="22" t="s">
        <v>359</v>
      </c>
      <c r="U168" s="27"/>
      <c r="V168" s="27"/>
      <c r="W168" s="27"/>
      <c r="X168" s="27"/>
      <c r="Y168" s="27"/>
    </row>
    <row r="169" spans="1:25" ht="25.5" x14ac:dyDescent="0.25">
      <c r="A169" s="111" t="s">
        <v>44</v>
      </c>
      <c r="B169" s="105">
        <v>2007</v>
      </c>
      <c r="C169" s="105">
        <v>2008</v>
      </c>
      <c r="D169" s="105">
        <v>2009</v>
      </c>
      <c r="E169" s="105">
        <v>2010</v>
      </c>
      <c r="F169" s="105">
        <v>2011</v>
      </c>
      <c r="G169" s="105">
        <v>2012</v>
      </c>
      <c r="H169" s="105">
        <v>2013</v>
      </c>
      <c r="I169" s="105">
        <v>2014</v>
      </c>
      <c r="J169" s="105">
        <v>2015</v>
      </c>
      <c r="K169" s="105">
        <v>2016</v>
      </c>
      <c r="L169" s="105">
        <v>2017</v>
      </c>
      <c r="M169" s="132">
        <v>2018</v>
      </c>
      <c r="N169" s="105">
        <v>2019</v>
      </c>
      <c r="O169" s="105">
        <v>2020</v>
      </c>
      <c r="P169" s="105">
        <v>2021</v>
      </c>
      <c r="Q169" s="105">
        <v>2022</v>
      </c>
      <c r="R169" s="105">
        <v>2023</v>
      </c>
      <c r="S169" s="105">
        <v>2024</v>
      </c>
      <c r="T169" s="105">
        <v>2025</v>
      </c>
      <c r="U169" s="106" t="s">
        <v>546</v>
      </c>
      <c r="V169" s="106" t="s">
        <v>547</v>
      </c>
      <c r="W169" s="106" t="s">
        <v>548</v>
      </c>
      <c r="X169" s="106" t="s">
        <v>549</v>
      </c>
      <c r="Y169" s="216" t="s">
        <v>563</v>
      </c>
    </row>
    <row r="170" spans="1:25" x14ac:dyDescent="0.25">
      <c r="A170" s="67" t="s">
        <v>229</v>
      </c>
      <c r="B170" s="20">
        <v>11503</v>
      </c>
      <c r="C170" s="20">
        <v>12791</v>
      </c>
      <c r="D170" s="20">
        <v>12939</v>
      </c>
      <c r="E170" s="20">
        <v>13938</v>
      </c>
      <c r="F170" s="20">
        <v>14466</v>
      </c>
      <c r="G170" s="20">
        <v>14251</v>
      </c>
      <c r="H170" s="20">
        <v>15588</v>
      </c>
      <c r="I170" s="20">
        <v>15906</v>
      </c>
      <c r="J170" s="20">
        <v>15914</v>
      </c>
      <c r="K170" s="20">
        <v>16143</v>
      </c>
      <c r="L170" s="20">
        <v>16328</v>
      </c>
      <c r="M170" s="32">
        <v>17151</v>
      </c>
      <c r="N170" s="20">
        <v>17276</v>
      </c>
      <c r="O170" s="20">
        <v>16758</v>
      </c>
      <c r="P170" s="20">
        <v>17378</v>
      </c>
      <c r="Q170" s="20">
        <v>16789</v>
      </c>
      <c r="R170" s="20">
        <v>16930</v>
      </c>
      <c r="S170" s="20">
        <v>17109</v>
      </c>
      <c r="T170" s="20">
        <v>17316</v>
      </c>
      <c r="U170" s="149">
        <f t="shared" ref="U170:U186" si="77">(T170-K170)/K170</f>
        <v>7.2663073778108156E-2</v>
      </c>
      <c r="V170" s="149">
        <f t="shared" ref="V170:V186" si="78">(T170-P170)/P170</f>
        <v>-3.5677293129243873E-3</v>
      </c>
      <c r="W170" s="149">
        <f t="shared" ref="W170:W186" si="79">(T170-S170)/S170</f>
        <v>1.209889531825355E-2</v>
      </c>
      <c r="X170" s="218">
        <f>T170/T$9</f>
        <v>1.3045600838968647E-2</v>
      </c>
      <c r="Y170" s="219">
        <f t="shared" ref="Y170:Y186" si="80">T170-S170</f>
        <v>207</v>
      </c>
    </row>
    <row r="171" spans="1:25" x14ac:dyDescent="0.25">
      <c r="A171" s="67" t="s">
        <v>230</v>
      </c>
      <c r="B171" s="20">
        <v>11866</v>
      </c>
      <c r="C171" s="20">
        <v>13066</v>
      </c>
      <c r="D171" s="20">
        <v>14135</v>
      </c>
      <c r="E171" s="20">
        <v>15234</v>
      </c>
      <c r="F171" s="20">
        <v>15564</v>
      </c>
      <c r="G171" s="20">
        <v>15485</v>
      </c>
      <c r="H171" s="20">
        <v>16552</v>
      </c>
      <c r="I171" s="20">
        <v>17098</v>
      </c>
      <c r="J171" s="20">
        <v>17728</v>
      </c>
      <c r="K171" s="20">
        <v>17407</v>
      </c>
      <c r="L171" s="20">
        <v>17145</v>
      </c>
      <c r="M171" s="32">
        <v>18618</v>
      </c>
      <c r="N171" s="20">
        <v>19048</v>
      </c>
      <c r="O171" s="20">
        <v>18269</v>
      </c>
      <c r="P171" s="20">
        <v>18968</v>
      </c>
      <c r="Q171" s="20">
        <v>18328</v>
      </c>
      <c r="R171" s="20">
        <v>18731</v>
      </c>
      <c r="S171" s="20">
        <v>18974</v>
      </c>
      <c r="T171" s="20">
        <v>20216</v>
      </c>
      <c r="U171" s="149">
        <f t="shared" si="77"/>
        <v>0.16137186189464009</v>
      </c>
      <c r="V171" s="149">
        <f t="shared" si="78"/>
        <v>6.5795023196963301E-2</v>
      </c>
      <c r="W171" s="149">
        <f t="shared" si="79"/>
        <v>6.5457995151259621E-2</v>
      </c>
      <c r="X171" s="218">
        <f t="shared" ref="X171:X186" si="81">T171/T$9</f>
        <v>1.5230415024289106E-2</v>
      </c>
      <c r="Y171" s="219">
        <f t="shared" si="80"/>
        <v>1242</v>
      </c>
    </row>
    <row r="172" spans="1:25" x14ac:dyDescent="0.25">
      <c r="A172" s="67" t="s">
        <v>231</v>
      </c>
      <c r="B172" s="20">
        <v>27271</v>
      </c>
      <c r="C172" s="20">
        <v>28867</v>
      </c>
      <c r="D172" s="20">
        <v>31244</v>
      </c>
      <c r="E172" s="20">
        <v>33544</v>
      </c>
      <c r="F172" s="20">
        <v>35064</v>
      </c>
      <c r="G172" s="20">
        <v>37078</v>
      </c>
      <c r="H172" s="20">
        <v>39658</v>
      </c>
      <c r="I172" s="20">
        <v>40722</v>
      </c>
      <c r="J172" s="20">
        <v>40530</v>
      </c>
      <c r="K172" s="20">
        <v>39169</v>
      </c>
      <c r="L172" s="20">
        <v>39617</v>
      </c>
      <c r="M172" s="32">
        <v>40237</v>
      </c>
      <c r="N172" s="20">
        <v>40247</v>
      </c>
      <c r="O172" s="20">
        <v>38552</v>
      </c>
      <c r="P172" s="20">
        <v>38952</v>
      </c>
      <c r="Q172" s="20">
        <v>37695</v>
      </c>
      <c r="R172" s="20">
        <v>36796</v>
      </c>
      <c r="S172" s="20">
        <v>36596</v>
      </c>
      <c r="T172" s="20">
        <v>37231</v>
      </c>
      <c r="U172" s="149">
        <f t="shared" si="77"/>
        <v>-4.9477903444050141E-2</v>
      </c>
      <c r="V172" s="149">
        <f t="shared" si="78"/>
        <v>-4.4182583692750049E-2</v>
      </c>
      <c r="W172" s="149">
        <f t="shared" si="79"/>
        <v>1.7351623128210734E-2</v>
      </c>
      <c r="X172" s="218">
        <f t="shared" si="81"/>
        <v>2.8049247218505526E-2</v>
      </c>
      <c r="Y172" s="219">
        <f t="shared" si="80"/>
        <v>635</v>
      </c>
    </row>
    <row r="173" spans="1:25" x14ac:dyDescent="0.25">
      <c r="A173" s="67" t="s">
        <v>232</v>
      </c>
      <c r="B173" s="20">
        <v>6812</v>
      </c>
      <c r="C173" s="20">
        <v>7780</v>
      </c>
      <c r="D173" s="20">
        <v>8188</v>
      </c>
      <c r="E173" s="20">
        <v>9041</v>
      </c>
      <c r="F173" s="20">
        <v>10187</v>
      </c>
      <c r="G173" s="20">
        <v>10654</v>
      </c>
      <c r="H173" s="20">
        <v>11045</v>
      </c>
      <c r="I173" s="20">
        <v>11949</v>
      </c>
      <c r="J173" s="20">
        <v>10521</v>
      </c>
      <c r="K173" s="20">
        <v>12113</v>
      </c>
      <c r="L173" s="20">
        <v>12534</v>
      </c>
      <c r="M173" s="32">
        <v>12721</v>
      </c>
      <c r="N173" s="20">
        <v>13035</v>
      </c>
      <c r="O173" s="20">
        <v>11944</v>
      </c>
      <c r="P173" s="20">
        <v>13184</v>
      </c>
      <c r="Q173" s="20">
        <v>12559</v>
      </c>
      <c r="R173" s="20">
        <v>12499</v>
      </c>
      <c r="S173" s="20">
        <v>12604</v>
      </c>
      <c r="T173" s="20">
        <v>12827</v>
      </c>
      <c r="U173" s="149">
        <f t="shared" si="77"/>
        <v>5.8944935193593659E-2</v>
      </c>
      <c r="V173" s="149">
        <f t="shared" si="78"/>
        <v>-2.7078276699029125E-2</v>
      </c>
      <c r="W173" s="149">
        <f t="shared" si="79"/>
        <v>1.7692795937797524E-2</v>
      </c>
      <c r="X173" s="218">
        <f t="shared" si="81"/>
        <v>9.6636591569329421E-3</v>
      </c>
      <c r="Y173" s="219">
        <f t="shared" si="80"/>
        <v>223</v>
      </c>
    </row>
    <row r="174" spans="1:25" x14ac:dyDescent="0.25">
      <c r="A174" s="67" t="s">
        <v>233</v>
      </c>
      <c r="B174" s="20">
        <v>26108</v>
      </c>
      <c r="C174" s="20">
        <v>28810</v>
      </c>
      <c r="D174" s="20">
        <v>31656</v>
      </c>
      <c r="E174" s="20">
        <v>35330</v>
      </c>
      <c r="F174" s="20">
        <v>37561</v>
      </c>
      <c r="G174" s="20">
        <v>39888</v>
      </c>
      <c r="H174" s="20">
        <v>41209</v>
      </c>
      <c r="I174" s="20">
        <v>41618</v>
      </c>
      <c r="J174" s="20">
        <v>42280</v>
      </c>
      <c r="K174" s="20">
        <v>43105</v>
      </c>
      <c r="L174" s="20">
        <v>43114</v>
      </c>
      <c r="M174" s="32">
        <v>44018</v>
      </c>
      <c r="N174" s="20">
        <v>44153</v>
      </c>
      <c r="O174" s="20">
        <v>42101</v>
      </c>
      <c r="P174" s="20">
        <v>44867</v>
      </c>
      <c r="Q174" s="20">
        <v>44509</v>
      </c>
      <c r="R174" s="20">
        <v>44950</v>
      </c>
      <c r="S174" s="20">
        <v>46049</v>
      </c>
      <c r="T174" s="20">
        <v>46809</v>
      </c>
      <c r="U174" s="149">
        <f t="shared" si="77"/>
        <v>8.5929706530564906E-2</v>
      </c>
      <c r="V174" s="149">
        <f t="shared" si="78"/>
        <v>4.3283482292107787E-2</v>
      </c>
      <c r="W174" s="149">
        <f t="shared" si="79"/>
        <v>1.6504158613650677E-2</v>
      </c>
      <c r="X174" s="218">
        <f t="shared" si="81"/>
        <v>3.5265161103677722E-2</v>
      </c>
      <c r="Y174" s="219">
        <f t="shared" si="80"/>
        <v>760</v>
      </c>
    </row>
    <row r="175" spans="1:25" x14ac:dyDescent="0.25">
      <c r="A175" s="67" t="s">
        <v>234</v>
      </c>
      <c r="B175" s="20">
        <v>92943</v>
      </c>
      <c r="C175" s="20">
        <v>97721</v>
      </c>
      <c r="D175" s="20">
        <v>103553</v>
      </c>
      <c r="E175" s="20">
        <v>111799</v>
      </c>
      <c r="F175" s="20">
        <v>119272</v>
      </c>
      <c r="G175" s="20">
        <v>121875</v>
      </c>
      <c r="H175" s="20">
        <v>127616</v>
      </c>
      <c r="I175" s="20">
        <v>129565</v>
      </c>
      <c r="J175" s="20">
        <v>131676</v>
      </c>
      <c r="K175" s="20">
        <v>131979</v>
      </c>
      <c r="L175" s="20">
        <v>130620</v>
      </c>
      <c r="M175" s="32">
        <v>130360</v>
      </c>
      <c r="N175" s="20">
        <v>129742</v>
      </c>
      <c r="O175" s="20">
        <v>125840</v>
      </c>
      <c r="P175" s="20">
        <v>128665</v>
      </c>
      <c r="Q175" s="20">
        <v>125803</v>
      </c>
      <c r="R175" s="20">
        <v>125437</v>
      </c>
      <c r="S175" s="20">
        <v>126523</v>
      </c>
      <c r="T175" s="20">
        <v>129175</v>
      </c>
      <c r="U175" s="149">
        <f t="shared" si="77"/>
        <v>-2.1245804256737815E-2</v>
      </c>
      <c r="V175" s="149">
        <f t="shared" si="78"/>
        <v>3.9637819142735011E-3</v>
      </c>
      <c r="W175" s="149">
        <f t="shared" si="79"/>
        <v>2.0960615856405556E-2</v>
      </c>
      <c r="X175" s="218">
        <f t="shared" si="81"/>
        <v>9.7318404271989775E-2</v>
      </c>
      <c r="Y175" s="219">
        <f t="shared" si="80"/>
        <v>2652</v>
      </c>
    </row>
    <row r="176" spans="1:25" x14ac:dyDescent="0.25">
      <c r="A176" s="67" t="s">
        <v>235</v>
      </c>
      <c r="B176" s="20">
        <v>363861</v>
      </c>
      <c r="C176" s="20">
        <v>370010</v>
      </c>
      <c r="D176" s="20">
        <v>397176</v>
      </c>
      <c r="E176" s="20">
        <v>440894</v>
      </c>
      <c r="F176" s="32">
        <v>476505</v>
      </c>
      <c r="G176" s="20">
        <v>498515</v>
      </c>
      <c r="H176" s="20">
        <v>515604</v>
      </c>
      <c r="I176" s="20">
        <v>532338</v>
      </c>
      <c r="J176" s="20">
        <v>543950</v>
      </c>
      <c r="K176" s="20">
        <v>550423</v>
      </c>
      <c r="L176" s="20">
        <v>550113</v>
      </c>
      <c r="M176" s="32">
        <v>554929</v>
      </c>
      <c r="N176" s="20">
        <v>561869</v>
      </c>
      <c r="O176" s="20">
        <v>538789</v>
      </c>
      <c r="P176" s="20">
        <v>575525</v>
      </c>
      <c r="Q176" s="20">
        <v>595758</v>
      </c>
      <c r="R176" s="20">
        <v>624842</v>
      </c>
      <c r="S176" s="20">
        <v>643096</v>
      </c>
      <c r="T176" s="20">
        <v>677927</v>
      </c>
      <c r="U176" s="149">
        <f t="shared" si="77"/>
        <v>0.23164729671543521</v>
      </c>
      <c r="V176" s="149">
        <f t="shared" si="78"/>
        <v>0.17792797880196343</v>
      </c>
      <c r="W176" s="149">
        <f t="shared" si="79"/>
        <v>5.4161431574757113E-2</v>
      </c>
      <c r="X176" s="218">
        <f t="shared" si="81"/>
        <v>0.51073949179715283</v>
      </c>
      <c r="Y176" s="219">
        <f t="shared" si="80"/>
        <v>34831</v>
      </c>
    </row>
    <row r="177" spans="1:25" x14ac:dyDescent="0.25">
      <c r="A177" s="91" t="s">
        <v>325</v>
      </c>
      <c r="B177" s="62">
        <v>11305</v>
      </c>
      <c r="C177" s="62">
        <v>11655</v>
      </c>
      <c r="D177" s="20">
        <v>15693</v>
      </c>
      <c r="E177" s="20">
        <v>18804</v>
      </c>
      <c r="F177" s="32">
        <v>21607</v>
      </c>
      <c r="G177" s="20">
        <v>24928</v>
      </c>
      <c r="H177" s="20">
        <v>26270</v>
      </c>
      <c r="I177" s="20">
        <v>28214</v>
      </c>
      <c r="J177" s="20">
        <v>28890</v>
      </c>
      <c r="K177" s="20">
        <v>28829</v>
      </c>
      <c r="L177" s="20">
        <v>28930</v>
      </c>
      <c r="M177" s="32">
        <v>28827</v>
      </c>
      <c r="N177" s="20">
        <v>28444</v>
      </c>
      <c r="O177" s="20">
        <v>27268</v>
      </c>
      <c r="P177" s="20">
        <v>27087</v>
      </c>
      <c r="Q177" s="20">
        <v>27301</v>
      </c>
      <c r="R177" s="20">
        <v>28616</v>
      </c>
      <c r="S177" s="20">
        <v>29576</v>
      </c>
      <c r="T177" s="20">
        <v>31166</v>
      </c>
      <c r="U177" s="149">
        <f t="shared" si="77"/>
        <v>8.10642061812758E-2</v>
      </c>
      <c r="V177" s="149">
        <f t="shared" si="78"/>
        <v>0.15058884335659173</v>
      </c>
      <c r="W177" s="149">
        <f t="shared" si="79"/>
        <v>5.3759805247497974E-2</v>
      </c>
      <c r="X177" s="218">
        <f t="shared" si="81"/>
        <v>2.3479972034378429E-2</v>
      </c>
      <c r="Y177" s="219">
        <f t="shared" si="80"/>
        <v>1590</v>
      </c>
    </row>
    <row r="178" spans="1:25" x14ac:dyDescent="0.25">
      <c r="A178" s="67" t="s">
        <v>236</v>
      </c>
      <c r="B178" s="20">
        <v>27825</v>
      </c>
      <c r="C178" s="20">
        <v>32208</v>
      </c>
      <c r="D178" s="20">
        <v>36402</v>
      </c>
      <c r="E178" s="20">
        <v>41401</v>
      </c>
      <c r="F178" s="32">
        <v>45158</v>
      </c>
      <c r="G178" s="20">
        <v>49233</v>
      </c>
      <c r="H178" s="20">
        <v>51625</v>
      </c>
      <c r="I178" s="20">
        <v>49625</v>
      </c>
      <c r="J178" s="20">
        <v>51093</v>
      </c>
      <c r="K178" s="20">
        <v>53407</v>
      </c>
      <c r="L178" s="20">
        <v>53368</v>
      </c>
      <c r="M178" s="32">
        <v>55231</v>
      </c>
      <c r="N178" s="20">
        <v>56414</v>
      </c>
      <c r="O178" s="20">
        <v>56488</v>
      </c>
      <c r="P178" s="20">
        <v>57939</v>
      </c>
      <c r="Q178" s="20">
        <v>56783</v>
      </c>
      <c r="R178" s="20">
        <v>57927</v>
      </c>
      <c r="S178" s="20">
        <v>59145</v>
      </c>
      <c r="T178" s="20">
        <v>61486</v>
      </c>
      <c r="U178" s="149">
        <f t="shared" si="77"/>
        <v>0.1512723051285412</v>
      </c>
      <c r="V178" s="149">
        <f t="shared" si="78"/>
        <v>6.1219558501182277E-2</v>
      </c>
      <c r="W178" s="149">
        <f t="shared" si="79"/>
        <v>3.9580691520838616E-2</v>
      </c>
      <c r="X178" s="218">
        <f t="shared" si="81"/>
        <v>4.6322581034004752E-2</v>
      </c>
      <c r="Y178" s="219">
        <f t="shared" si="80"/>
        <v>2341</v>
      </c>
    </row>
    <row r="179" spans="1:25" x14ac:dyDescent="0.25">
      <c r="A179" s="67" t="s">
        <v>293</v>
      </c>
      <c r="B179" s="20">
        <v>14150</v>
      </c>
      <c r="C179" s="20">
        <v>14077</v>
      </c>
      <c r="D179" s="20">
        <v>16279</v>
      </c>
      <c r="E179" s="20">
        <v>18738</v>
      </c>
      <c r="F179" s="32">
        <v>20370</v>
      </c>
      <c r="G179" s="20">
        <v>21849</v>
      </c>
      <c r="H179" s="20">
        <v>22921</v>
      </c>
      <c r="I179" s="20">
        <v>23936</v>
      </c>
      <c r="J179" s="20">
        <v>24364</v>
      </c>
      <c r="K179" s="20">
        <v>24329</v>
      </c>
      <c r="L179" s="20">
        <v>24197</v>
      </c>
      <c r="M179" s="32">
        <v>23958</v>
      </c>
      <c r="N179" s="20">
        <v>23185</v>
      </c>
      <c r="O179" s="20">
        <v>22453</v>
      </c>
      <c r="P179" s="20">
        <v>22643</v>
      </c>
      <c r="Q179" s="20">
        <v>22019</v>
      </c>
      <c r="R179" s="20">
        <v>22383</v>
      </c>
      <c r="S179" s="20">
        <v>23016</v>
      </c>
      <c r="T179" s="20">
        <v>22997</v>
      </c>
      <c r="U179" s="149">
        <f t="shared" si="77"/>
        <v>-5.4749475934070452E-2</v>
      </c>
      <c r="V179" s="149">
        <f t="shared" si="78"/>
        <v>1.5633970763591395E-2</v>
      </c>
      <c r="W179" s="149">
        <f t="shared" si="79"/>
        <v>-8.2551268682655541E-4</v>
      </c>
      <c r="X179" s="218">
        <f t="shared" si="81"/>
        <v>1.7325576489591245E-2</v>
      </c>
      <c r="Y179" s="219">
        <f t="shared" si="80"/>
        <v>-19</v>
      </c>
    </row>
    <row r="180" spans="1:25" x14ac:dyDescent="0.25">
      <c r="A180" s="67" t="s">
        <v>242</v>
      </c>
      <c r="B180" s="20">
        <v>79590</v>
      </c>
      <c r="C180" s="20">
        <v>88088</v>
      </c>
      <c r="D180" s="20">
        <v>95228</v>
      </c>
      <c r="E180" s="20">
        <v>103509</v>
      </c>
      <c r="F180" s="32">
        <v>113779</v>
      </c>
      <c r="G180" s="20">
        <v>119928</v>
      </c>
      <c r="H180" s="20">
        <v>126714</v>
      </c>
      <c r="I180" s="20">
        <v>129205</v>
      </c>
      <c r="J180" s="20">
        <v>131015</v>
      </c>
      <c r="K180" s="20">
        <v>129296</v>
      </c>
      <c r="L180" s="20">
        <v>127762</v>
      </c>
      <c r="M180" s="32">
        <v>126203</v>
      </c>
      <c r="N180" s="20">
        <v>125425</v>
      </c>
      <c r="O180" s="20">
        <v>120887</v>
      </c>
      <c r="P180" s="20">
        <v>123794</v>
      </c>
      <c r="Q180" s="20">
        <v>122804</v>
      </c>
      <c r="R180" s="20">
        <v>124326</v>
      </c>
      <c r="S180" s="20">
        <v>126354</v>
      </c>
      <c r="T180" s="20">
        <v>127051</v>
      </c>
      <c r="U180" s="149">
        <f t="shared" si="77"/>
        <v>-1.7363259497586932E-2</v>
      </c>
      <c r="V180" s="149">
        <f t="shared" si="78"/>
        <v>2.6309837310370454E-2</v>
      </c>
      <c r="W180" s="149">
        <f t="shared" si="79"/>
        <v>5.5162480016461689E-3</v>
      </c>
      <c r="X180" s="218">
        <f t="shared" si="81"/>
        <v>9.5718216227292999E-2</v>
      </c>
      <c r="Y180" s="219">
        <f t="shared" si="80"/>
        <v>697</v>
      </c>
    </row>
    <row r="181" spans="1:25" x14ac:dyDescent="0.25">
      <c r="A181" s="67" t="s">
        <v>244</v>
      </c>
      <c r="B181" s="20">
        <v>32132</v>
      </c>
      <c r="C181" s="20">
        <v>32800</v>
      </c>
      <c r="D181" s="20">
        <v>36496</v>
      </c>
      <c r="E181" s="20">
        <v>40697</v>
      </c>
      <c r="F181" s="32">
        <v>45054</v>
      </c>
      <c r="G181" s="20">
        <v>48462</v>
      </c>
      <c r="H181" s="20">
        <v>51936</v>
      </c>
      <c r="I181" s="20">
        <v>53640</v>
      </c>
      <c r="J181" s="20">
        <v>54826</v>
      </c>
      <c r="K181" s="20">
        <v>57476</v>
      </c>
      <c r="L181" s="20">
        <v>57728</v>
      </c>
      <c r="M181" s="32">
        <v>57553</v>
      </c>
      <c r="N181" s="20">
        <v>57178</v>
      </c>
      <c r="O181" s="20">
        <v>55921</v>
      </c>
      <c r="P181" s="20">
        <v>58083</v>
      </c>
      <c r="Q181" s="20">
        <v>56518</v>
      </c>
      <c r="R181" s="20">
        <v>56863</v>
      </c>
      <c r="S181" s="20">
        <v>58064</v>
      </c>
      <c r="T181" s="20">
        <v>59656</v>
      </c>
      <c r="U181" s="149">
        <f t="shared" si="77"/>
        <v>3.7928874660727953E-2</v>
      </c>
      <c r="V181" s="149">
        <f t="shared" si="78"/>
        <v>2.7081934473081624E-2</v>
      </c>
      <c r="W181" s="149">
        <f t="shared" si="79"/>
        <v>2.7418021493524385E-2</v>
      </c>
      <c r="X181" s="218">
        <f t="shared" si="81"/>
        <v>4.4943887944647355E-2</v>
      </c>
      <c r="Y181" s="219">
        <f t="shared" si="80"/>
        <v>1592</v>
      </c>
    </row>
    <row r="182" spans="1:25" x14ac:dyDescent="0.25">
      <c r="A182" s="67" t="s">
        <v>238</v>
      </c>
      <c r="B182" s="20">
        <v>13983</v>
      </c>
      <c r="C182" s="20">
        <v>14427</v>
      </c>
      <c r="D182" s="20">
        <v>15553</v>
      </c>
      <c r="E182" s="20">
        <v>17051</v>
      </c>
      <c r="F182" s="32">
        <v>18330</v>
      </c>
      <c r="G182" s="20">
        <v>19555</v>
      </c>
      <c r="H182" s="20">
        <v>20950</v>
      </c>
      <c r="I182" s="20">
        <v>21505</v>
      </c>
      <c r="J182" s="20">
        <v>21684</v>
      </c>
      <c r="K182" s="20">
        <v>22226</v>
      </c>
      <c r="L182" s="20">
        <v>23078</v>
      </c>
      <c r="M182" s="32">
        <v>24946</v>
      </c>
      <c r="N182" s="20">
        <v>25535</v>
      </c>
      <c r="O182" s="20">
        <v>25574</v>
      </c>
      <c r="P182" s="20">
        <v>26335</v>
      </c>
      <c r="Q182" s="20">
        <v>26736</v>
      </c>
      <c r="R182" s="20">
        <v>27408</v>
      </c>
      <c r="S182" s="20">
        <v>27591</v>
      </c>
      <c r="T182" s="20">
        <v>28027</v>
      </c>
      <c r="U182" s="149">
        <f t="shared" si="77"/>
        <v>0.26100062989291822</v>
      </c>
      <c r="V182" s="149">
        <f t="shared" si="78"/>
        <v>6.4249098158344412E-2</v>
      </c>
      <c r="W182" s="149">
        <f t="shared" si="79"/>
        <v>1.5802254358305245E-2</v>
      </c>
      <c r="X182" s="218">
        <f t="shared" si="81"/>
        <v>2.1115099024819488E-2</v>
      </c>
      <c r="Y182" s="219">
        <f t="shared" si="80"/>
        <v>436</v>
      </c>
    </row>
    <row r="183" spans="1:25" x14ac:dyDescent="0.25">
      <c r="A183" s="67" t="s">
        <v>239</v>
      </c>
      <c r="B183" s="20">
        <v>20579</v>
      </c>
      <c r="C183" s="20">
        <v>23401</v>
      </c>
      <c r="D183" s="20">
        <v>26429</v>
      </c>
      <c r="E183" s="20">
        <v>29225</v>
      </c>
      <c r="F183" s="32">
        <v>32931</v>
      </c>
      <c r="G183" s="20">
        <v>34306</v>
      </c>
      <c r="H183" s="20">
        <v>37460</v>
      </c>
      <c r="I183" s="20">
        <v>39501</v>
      </c>
      <c r="J183" s="20">
        <v>41375</v>
      </c>
      <c r="K183" s="20">
        <v>42147</v>
      </c>
      <c r="L183" s="20">
        <v>42174</v>
      </c>
      <c r="M183" s="32">
        <v>42556</v>
      </c>
      <c r="N183" s="20">
        <v>42309</v>
      </c>
      <c r="O183" s="20">
        <v>41123</v>
      </c>
      <c r="P183" s="20">
        <v>40995</v>
      </c>
      <c r="Q183" s="20">
        <v>41099</v>
      </c>
      <c r="R183" s="20">
        <v>42190</v>
      </c>
      <c r="S183" s="20">
        <v>43305</v>
      </c>
      <c r="T183" s="20">
        <v>44971</v>
      </c>
      <c r="U183" s="149">
        <f t="shared" si="77"/>
        <v>6.7003582698649963E-2</v>
      </c>
      <c r="V183" s="149">
        <f t="shared" si="78"/>
        <v>9.6987437492377121E-2</v>
      </c>
      <c r="W183" s="149">
        <f t="shared" si="79"/>
        <v>3.8471308163029676E-2</v>
      </c>
      <c r="X183" s="218">
        <f t="shared" si="81"/>
        <v>3.388044094070565E-2</v>
      </c>
      <c r="Y183" s="219">
        <f t="shared" si="80"/>
        <v>1666</v>
      </c>
    </row>
    <row r="184" spans="1:25" x14ac:dyDescent="0.25">
      <c r="A184" s="67" t="s">
        <v>240</v>
      </c>
      <c r="B184" s="20">
        <v>855</v>
      </c>
      <c r="C184" s="20">
        <v>964</v>
      </c>
      <c r="D184" s="20">
        <v>1342</v>
      </c>
      <c r="E184" s="20">
        <v>1521</v>
      </c>
      <c r="F184" s="32">
        <v>1671</v>
      </c>
      <c r="G184" s="20">
        <v>1599</v>
      </c>
      <c r="H184" s="20">
        <v>1721</v>
      </c>
      <c r="I184" s="20">
        <v>1987</v>
      </c>
      <c r="J184" s="20">
        <v>2215</v>
      </c>
      <c r="K184" s="20">
        <v>2471</v>
      </c>
      <c r="L184" s="20">
        <v>2620</v>
      </c>
      <c r="M184" s="32">
        <v>2762</v>
      </c>
      <c r="N184" s="20">
        <v>2852</v>
      </c>
      <c r="O184" s="20">
        <v>2888</v>
      </c>
      <c r="P184" s="20">
        <v>2870</v>
      </c>
      <c r="Q184" s="20">
        <v>2565</v>
      </c>
      <c r="R184" s="20">
        <v>2476</v>
      </c>
      <c r="S184" s="20">
        <v>2309</v>
      </c>
      <c r="T184" s="20">
        <v>2799</v>
      </c>
      <c r="U184" s="149">
        <f t="shared" si="77"/>
        <v>0.13273978146499393</v>
      </c>
      <c r="V184" s="149">
        <f t="shared" si="78"/>
        <v>-2.4738675958188152E-2</v>
      </c>
      <c r="W184" s="149">
        <f t="shared" si="79"/>
        <v>0.21221307925508878</v>
      </c>
      <c r="X184" s="218">
        <f t="shared" si="81"/>
        <v>2.1087223809351605E-3</v>
      </c>
      <c r="Y184" s="219">
        <f t="shared" si="80"/>
        <v>490</v>
      </c>
    </row>
    <row r="185" spans="1:25" x14ac:dyDescent="0.25">
      <c r="A185" s="67" t="s">
        <v>241</v>
      </c>
      <c r="B185" s="20">
        <v>7561</v>
      </c>
      <c r="C185" s="20">
        <v>6684</v>
      </c>
      <c r="D185" s="20">
        <v>7027</v>
      </c>
      <c r="E185" s="20">
        <v>7532</v>
      </c>
      <c r="F185" s="20">
        <v>7558</v>
      </c>
      <c r="G185" s="20">
        <v>7210</v>
      </c>
      <c r="H185" s="20">
        <v>7408</v>
      </c>
      <c r="I185" s="20">
        <v>7572</v>
      </c>
      <c r="J185" s="20">
        <v>7845</v>
      </c>
      <c r="K185" s="20">
        <v>7960</v>
      </c>
      <c r="L185" s="20">
        <v>7964</v>
      </c>
      <c r="M185" s="32">
        <v>7975</v>
      </c>
      <c r="N185" s="20">
        <v>7747</v>
      </c>
      <c r="O185" s="20">
        <v>6979</v>
      </c>
      <c r="P185" s="20">
        <v>7091</v>
      </c>
      <c r="Q185" s="20">
        <v>6745</v>
      </c>
      <c r="R185" s="20">
        <v>7045</v>
      </c>
      <c r="S185" s="20">
        <v>7300</v>
      </c>
      <c r="T185" s="20">
        <v>7690</v>
      </c>
      <c r="U185" s="149">
        <f t="shared" si="77"/>
        <v>-3.391959798994975E-2</v>
      </c>
      <c r="V185" s="149">
        <f t="shared" si="78"/>
        <v>8.4473275983641238E-2</v>
      </c>
      <c r="W185" s="149">
        <f t="shared" si="79"/>
        <v>5.3424657534246578E-2</v>
      </c>
      <c r="X185" s="218">
        <f t="shared" si="81"/>
        <v>5.7935245121083908E-3</v>
      </c>
      <c r="Y185" s="219">
        <f t="shared" si="80"/>
        <v>390</v>
      </c>
    </row>
    <row r="186" spans="1:25" x14ac:dyDescent="0.25">
      <c r="A186" s="71" t="s">
        <v>0</v>
      </c>
      <c r="B186" s="21">
        <v>748344</v>
      </c>
      <c r="C186" s="21">
        <v>783349</v>
      </c>
      <c r="D186" s="21">
        <v>849340</v>
      </c>
      <c r="E186" s="21">
        <v>938258</v>
      </c>
      <c r="F186" s="21">
        <v>1015077</v>
      </c>
      <c r="G186" s="21">
        <v>1064816</v>
      </c>
      <c r="H186" s="21">
        <v>1114277</v>
      </c>
      <c r="I186" s="21">
        <v>1144381</v>
      </c>
      <c r="J186" s="21">
        <v>1165906</v>
      </c>
      <c r="K186" s="21">
        <v>1178480</v>
      </c>
      <c r="L186" s="21">
        <v>1177292</v>
      </c>
      <c r="M186" s="90">
        <v>1188045</v>
      </c>
      <c r="N186" s="21">
        <v>1194459</v>
      </c>
      <c r="O186" s="21">
        <v>1151834</v>
      </c>
      <c r="P186" s="21">
        <v>1204376</v>
      </c>
      <c r="Q186" s="21">
        <v>1214011</v>
      </c>
      <c r="R186" s="21">
        <v>1249419</v>
      </c>
      <c r="S186" s="21">
        <v>1277611</v>
      </c>
      <c r="T186" s="21">
        <v>1327344</v>
      </c>
      <c r="U186" s="150">
        <f t="shared" si="77"/>
        <v>0.1263186477496436</v>
      </c>
      <c r="V186" s="150">
        <f t="shared" si="78"/>
        <v>0.10210100500176025</v>
      </c>
      <c r="W186" s="150">
        <f t="shared" si="79"/>
        <v>3.8926559023051616E-2</v>
      </c>
      <c r="X186" s="220">
        <f t="shared" si="81"/>
        <v>1</v>
      </c>
      <c r="Y186" s="221">
        <f t="shared" si="80"/>
        <v>49733</v>
      </c>
    </row>
    <row r="187" spans="1:25" x14ac:dyDescent="0.25">
      <c r="A187" s="3"/>
      <c r="U187" s="27"/>
      <c r="V187" s="27"/>
      <c r="W187" s="27"/>
      <c r="X187" s="27"/>
      <c r="Y187" s="27"/>
    </row>
    <row r="188" spans="1:25" ht="18" x14ac:dyDescent="0.25">
      <c r="A188" s="22" t="s">
        <v>360</v>
      </c>
      <c r="U188" s="27"/>
      <c r="V188" s="27"/>
      <c r="W188" s="27"/>
      <c r="X188" s="27"/>
      <c r="Y188" s="27"/>
    </row>
    <row r="189" spans="1:25" ht="25.5" x14ac:dyDescent="0.25">
      <c r="A189" s="111" t="s">
        <v>44</v>
      </c>
      <c r="B189" s="105">
        <v>2007</v>
      </c>
      <c r="C189" s="105">
        <v>2008</v>
      </c>
      <c r="D189" s="105">
        <v>2009</v>
      </c>
      <c r="E189" s="105">
        <v>2010</v>
      </c>
      <c r="F189" s="105">
        <v>2011</v>
      </c>
      <c r="G189" s="105">
        <v>2012</v>
      </c>
      <c r="H189" s="105">
        <v>2013</v>
      </c>
      <c r="I189" s="105">
        <v>2014</v>
      </c>
      <c r="J189" s="105">
        <v>2015</v>
      </c>
      <c r="K189" s="105">
        <v>2016</v>
      </c>
      <c r="L189" s="105">
        <v>2017</v>
      </c>
      <c r="M189" s="132">
        <v>2018</v>
      </c>
      <c r="N189" s="105">
        <v>2019</v>
      </c>
      <c r="O189" s="105">
        <v>2020</v>
      </c>
      <c r="P189" s="105">
        <v>2021</v>
      </c>
      <c r="Q189" s="105">
        <v>2022</v>
      </c>
      <c r="R189" s="105">
        <v>2023</v>
      </c>
      <c r="S189" s="105">
        <v>2024</v>
      </c>
      <c r="T189" s="105">
        <v>2025</v>
      </c>
      <c r="U189" s="106" t="s">
        <v>546</v>
      </c>
      <c r="V189" s="106" t="s">
        <v>547</v>
      </c>
      <c r="W189" s="106" t="s">
        <v>548</v>
      </c>
      <c r="X189" s="106" t="s">
        <v>549</v>
      </c>
      <c r="Y189" s="216" t="s">
        <v>563</v>
      </c>
    </row>
    <row r="190" spans="1:25" x14ac:dyDescent="0.25">
      <c r="A190" s="67" t="s">
        <v>229</v>
      </c>
      <c r="B190" s="20">
        <v>2996</v>
      </c>
      <c r="C190" s="20">
        <v>3905</v>
      </c>
      <c r="D190" s="20">
        <v>4001</v>
      </c>
      <c r="E190" s="20">
        <v>4264</v>
      </c>
      <c r="F190" s="20">
        <v>4561</v>
      </c>
      <c r="G190" s="20">
        <v>4260</v>
      </c>
      <c r="H190" s="20">
        <v>4633</v>
      </c>
      <c r="I190" s="20">
        <v>4499</v>
      </c>
      <c r="J190" s="20">
        <v>4668</v>
      </c>
      <c r="K190" s="20">
        <v>4770</v>
      </c>
      <c r="L190" s="20">
        <v>4834</v>
      </c>
      <c r="M190" s="32">
        <v>5078</v>
      </c>
      <c r="N190" s="20">
        <v>4792</v>
      </c>
      <c r="O190" s="20">
        <v>4569</v>
      </c>
      <c r="P190" s="20">
        <v>4191</v>
      </c>
      <c r="Q190" s="20">
        <v>4120</v>
      </c>
      <c r="R190" s="20">
        <v>4355</v>
      </c>
      <c r="S190" s="20">
        <v>4821</v>
      </c>
      <c r="T190" s="20">
        <v>4891</v>
      </c>
      <c r="U190" s="149">
        <f t="shared" ref="U190:U206" si="82">(T190-K190)/K190</f>
        <v>2.5366876310272537E-2</v>
      </c>
      <c r="V190" s="149">
        <f t="shared" ref="V190:V206" si="83">(T190-P190)/P190</f>
        <v>0.16702457647339536</v>
      </c>
      <c r="W190" s="149">
        <f t="shared" ref="W190:W206" si="84">(T190-S190)/S190</f>
        <v>1.4519809168222361E-2</v>
      </c>
      <c r="X190" s="218">
        <f>T190/T$16</f>
        <v>1.3486126467936328E-2</v>
      </c>
      <c r="Y190" s="219">
        <f t="shared" ref="Y190:Y206" si="85">T190-S190</f>
        <v>70</v>
      </c>
    </row>
    <row r="191" spans="1:25" x14ac:dyDescent="0.25">
      <c r="A191" s="67" t="s">
        <v>230</v>
      </c>
      <c r="B191" s="20">
        <v>3190</v>
      </c>
      <c r="C191" s="20">
        <v>4270</v>
      </c>
      <c r="D191" s="20">
        <v>5039</v>
      </c>
      <c r="E191" s="20">
        <v>5282</v>
      </c>
      <c r="F191" s="20">
        <v>5123</v>
      </c>
      <c r="G191" s="20">
        <v>5060</v>
      </c>
      <c r="H191" s="20">
        <v>5552</v>
      </c>
      <c r="I191" s="20">
        <v>5461</v>
      </c>
      <c r="J191" s="20">
        <v>5278</v>
      </c>
      <c r="K191" s="20">
        <v>5191</v>
      </c>
      <c r="L191" s="20">
        <v>5194</v>
      </c>
      <c r="M191" s="32">
        <v>5409</v>
      </c>
      <c r="N191" s="20">
        <v>5716</v>
      </c>
      <c r="O191" s="20">
        <v>5323</v>
      </c>
      <c r="P191" s="20">
        <v>5042</v>
      </c>
      <c r="Q191" s="20">
        <v>5046</v>
      </c>
      <c r="R191" s="20">
        <v>5574</v>
      </c>
      <c r="S191" s="20">
        <v>5784</v>
      </c>
      <c r="T191" s="20">
        <v>6391</v>
      </c>
      <c r="U191" s="149">
        <f t="shared" si="82"/>
        <v>0.23116933153534963</v>
      </c>
      <c r="V191" s="149">
        <f t="shared" si="83"/>
        <v>0.26755255850852838</v>
      </c>
      <c r="W191" s="149">
        <f t="shared" si="84"/>
        <v>0.10494467496542186</v>
      </c>
      <c r="X191" s="218">
        <f t="shared" ref="X191:X206" si="86">T191/T$16</f>
        <v>1.7622129269388893E-2</v>
      </c>
      <c r="Y191" s="219">
        <f t="shared" si="85"/>
        <v>607</v>
      </c>
    </row>
    <row r="192" spans="1:25" x14ac:dyDescent="0.25">
      <c r="A192" s="67" t="s">
        <v>231</v>
      </c>
      <c r="B192" s="20">
        <v>8757</v>
      </c>
      <c r="C192" s="20">
        <v>9503</v>
      </c>
      <c r="D192" s="20">
        <v>10616</v>
      </c>
      <c r="E192" s="20">
        <v>11282</v>
      </c>
      <c r="F192" s="20">
        <v>11243</v>
      </c>
      <c r="G192" s="20">
        <v>11675</v>
      </c>
      <c r="H192" s="20">
        <v>12048</v>
      </c>
      <c r="I192" s="20">
        <v>11973</v>
      </c>
      <c r="J192" s="20">
        <v>11127</v>
      </c>
      <c r="K192" s="20">
        <v>11163</v>
      </c>
      <c r="L192" s="20">
        <v>11357</v>
      </c>
      <c r="M192" s="32">
        <v>11438</v>
      </c>
      <c r="N192" s="20">
        <v>11168</v>
      </c>
      <c r="O192" s="20">
        <v>10482</v>
      </c>
      <c r="P192" s="20">
        <v>10211</v>
      </c>
      <c r="Q192" s="20">
        <v>9942</v>
      </c>
      <c r="R192" s="20">
        <v>10616</v>
      </c>
      <c r="S192" s="20">
        <v>10804</v>
      </c>
      <c r="T192" s="20">
        <v>11067</v>
      </c>
      <c r="U192" s="149">
        <f t="shared" si="82"/>
        <v>-8.59983875302338E-3</v>
      </c>
      <c r="V192" s="149">
        <f t="shared" si="83"/>
        <v>8.3831162471844092E-2</v>
      </c>
      <c r="W192" s="149">
        <f t="shared" si="84"/>
        <v>2.4342835986671602E-2</v>
      </c>
      <c r="X192" s="218">
        <f t="shared" si="86"/>
        <v>3.0515428669117019E-2</v>
      </c>
      <c r="Y192" s="219">
        <f t="shared" si="85"/>
        <v>263</v>
      </c>
    </row>
    <row r="193" spans="1:25" x14ac:dyDescent="0.25">
      <c r="A193" s="67" t="s">
        <v>232</v>
      </c>
      <c r="B193" s="20">
        <v>2463</v>
      </c>
      <c r="C193" s="20">
        <v>2890</v>
      </c>
      <c r="D193" s="20">
        <v>3244</v>
      </c>
      <c r="E193" s="20">
        <v>3536</v>
      </c>
      <c r="F193" s="20">
        <v>4104</v>
      </c>
      <c r="G193" s="20">
        <v>3939</v>
      </c>
      <c r="H193" s="20">
        <v>4638</v>
      </c>
      <c r="I193" s="20">
        <v>4291</v>
      </c>
      <c r="J193" s="20">
        <v>3817</v>
      </c>
      <c r="K193" s="20">
        <v>4073</v>
      </c>
      <c r="L193" s="20">
        <v>4519</v>
      </c>
      <c r="M193" s="32">
        <v>4119</v>
      </c>
      <c r="N193" s="20">
        <v>4204</v>
      </c>
      <c r="O193" s="20">
        <v>3556</v>
      </c>
      <c r="P193" s="20">
        <v>3735</v>
      </c>
      <c r="Q193" s="20">
        <v>3330</v>
      </c>
      <c r="R193" s="20">
        <v>3677</v>
      </c>
      <c r="S193" s="20">
        <v>3708</v>
      </c>
      <c r="T193" s="20">
        <v>3948</v>
      </c>
      <c r="U193" s="149">
        <f t="shared" si="82"/>
        <v>-3.0689909157868893E-2</v>
      </c>
      <c r="V193" s="149">
        <f t="shared" si="83"/>
        <v>5.7028112449799197E-2</v>
      </c>
      <c r="W193" s="149">
        <f t="shared" si="84"/>
        <v>6.4724919093851127E-2</v>
      </c>
      <c r="X193" s="218">
        <f t="shared" si="86"/>
        <v>1.0885959373423149E-2</v>
      </c>
      <c r="Y193" s="219">
        <f t="shared" si="85"/>
        <v>240</v>
      </c>
    </row>
    <row r="194" spans="1:25" x14ac:dyDescent="0.25">
      <c r="A194" s="67" t="s">
        <v>233</v>
      </c>
      <c r="B194" s="20">
        <v>8468</v>
      </c>
      <c r="C194" s="20">
        <v>9633</v>
      </c>
      <c r="D194" s="20">
        <v>10689</v>
      </c>
      <c r="E194" s="20">
        <v>12298</v>
      </c>
      <c r="F194" s="20">
        <v>12170</v>
      </c>
      <c r="G194" s="20">
        <v>13053</v>
      </c>
      <c r="H194" s="20">
        <v>12861</v>
      </c>
      <c r="I194" s="20">
        <v>12445</v>
      </c>
      <c r="J194" s="20">
        <v>11717</v>
      </c>
      <c r="K194" s="20">
        <v>12863</v>
      </c>
      <c r="L194" s="20">
        <v>12963</v>
      </c>
      <c r="M194" s="32">
        <v>13191</v>
      </c>
      <c r="N194" s="20">
        <v>12917</v>
      </c>
      <c r="O194" s="20">
        <v>12310</v>
      </c>
      <c r="P194" s="20">
        <v>12642</v>
      </c>
      <c r="Q194" s="20">
        <v>12730</v>
      </c>
      <c r="R194" s="20">
        <v>13198</v>
      </c>
      <c r="S194" s="20">
        <v>13675</v>
      </c>
      <c r="T194" s="20">
        <v>13786</v>
      </c>
      <c r="U194" s="149">
        <f t="shared" si="82"/>
        <v>7.1756199953354582E-2</v>
      </c>
      <c r="V194" s="149">
        <f t="shared" si="83"/>
        <v>9.0492010757791494E-2</v>
      </c>
      <c r="W194" s="149">
        <f t="shared" si="84"/>
        <v>8.1170018281535652E-3</v>
      </c>
      <c r="X194" s="218">
        <f t="shared" si="86"/>
        <v>3.8012623080550034E-2</v>
      </c>
      <c r="Y194" s="219">
        <f t="shared" si="85"/>
        <v>111</v>
      </c>
    </row>
    <row r="195" spans="1:25" x14ac:dyDescent="0.25">
      <c r="A195" s="67" t="s">
        <v>234</v>
      </c>
      <c r="B195" s="20">
        <v>28399</v>
      </c>
      <c r="C195" s="20">
        <v>28591</v>
      </c>
      <c r="D195" s="20">
        <v>32680</v>
      </c>
      <c r="E195" s="20">
        <v>35944</v>
      </c>
      <c r="F195" s="20">
        <v>37180</v>
      </c>
      <c r="G195" s="20">
        <v>37387</v>
      </c>
      <c r="H195" s="20">
        <v>38647</v>
      </c>
      <c r="I195" s="20">
        <v>38378</v>
      </c>
      <c r="J195" s="20">
        <v>37035</v>
      </c>
      <c r="K195" s="20">
        <v>36841</v>
      </c>
      <c r="L195" s="20">
        <v>35817</v>
      </c>
      <c r="M195" s="32">
        <v>35211</v>
      </c>
      <c r="N195" s="20">
        <v>34405</v>
      </c>
      <c r="O195" s="20">
        <v>31845</v>
      </c>
      <c r="P195" s="20">
        <v>31084</v>
      </c>
      <c r="Q195" s="20">
        <v>31012</v>
      </c>
      <c r="R195" s="20">
        <v>33268</v>
      </c>
      <c r="S195" s="20">
        <v>33776</v>
      </c>
      <c r="T195" s="20">
        <v>34051</v>
      </c>
      <c r="U195" s="149">
        <f t="shared" si="82"/>
        <v>-7.5730843353872049E-2</v>
      </c>
      <c r="V195" s="149">
        <f t="shared" si="83"/>
        <v>9.5451035902715226E-2</v>
      </c>
      <c r="W195" s="149">
        <f t="shared" si="84"/>
        <v>8.1418758882046416E-3</v>
      </c>
      <c r="X195" s="218">
        <f t="shared" si="86"/>
        <v>9.3890020928174181E-2</v>
      </c>
      <c r="Y195" s="219">
        <f t="shared" si="85"/>
        <v>275</v>
      </c>
    </row>
    <row r="196" spans="1:25" x14ac:dyDescent="0.25">
      <c r="A196" s="67" t="s">
        <v>235</v>
      </c>
      <c r="B196" s="20">
        <v>120202</v>
      </c>
      <c r="C196" s="20">
        <v>120202</v>
      </c>
      <c r="D196" s="20">
        <v>130555</v>
      </c>
      <c r="E196" s="20">
        <v>147992</v>
      </c>
      <c r="F196" s="20">
        <v>156596</v>
      </c>
      <c r="G196" s="20">
        <v>155178</v>
      </c>
      <c r="H196" s="20">
        <v>158185</v>
      </c>
      <c r="I196" s="20">
        <v>161896</v>
      </c>
      <c r="J196" s="20">
        <v>159180</v>
      </c>
      <c r="K196" s="20">
        <v>157636</v>
      </c>
      <c r="L196" s="20">
        <v>153789</v>
      </c>
      <c r="M196" s="32">
        <v>154118</v>
      </c>
      <c r="N196" s="20">
        <v>154007</v>
      </c>
      <c r="O196" s="20">
        <v>138381</v>
      </c>
      <c r="P196" s="20">
        <v>152534</v>
      </c>
      <c r="Q196" s="20">
        <v>156054</v>
      </c>
      <c r="R196" s="20">
        <v>168777</v>
      </c>
      <c r="S196" s="20">
        <v>171182</v>
      </c>
      <c r="T196" s="20">
        <v>181158</v>
      </c>
      <c r="U196" s="149">
        <f t="shared" si="82"/>
        <v>0.14921718389200436</v>
      </c>
      <c r="V196" s="149">
        <f t="shared" si="83"/>
        <v>0.18765652248023393</v>
      </c>
      <c r="W196" s="149">
        <f t="shared" si="84"/>
        <v>5.8277155308385224E-2</v>
      </c>
      <c r="X196" s="218">
        <f t="shared" si="86"/>
        <v>0.4995133303370291</v>
      </c>
      <c r="Y196" s="219">
        <f t="shared" si="85"/>
        <v>9976</v>
      </c>
    </row>
    <row r="197" spans="1:25" x14ac:dyDescent="0.25">
      <c r="A197" s="91" t="s">
        <v>325</v>
      </c>
      <c r="B197" s="62">
        <v>4809</v>
      </c>
      <c r="C197" s="62">
        <v>4798</v>
      </c>
      <c r="D197" s="20">
        <v>6838</v>
      </c>
      <c r="E197" s="20">
        <v>8017</v>
      </c>
      <c r="F197" s="20">
        <v>8536</v>
      </c>
      <c r="G197" s="20">
        <v>9804</v>
      </c>
      <c r="H197" s="20">
        <v>9782</v>
      </c>
      <c r="I197" s="20">
        <v>9415</v>
      </c>
      <c r="J197" s="20">
        <v>9327</v>
      </c>
      <c r="K197" s="20">
        <v>9055</v>
      </c>
      <c r="L197" s="20">
        <v>9635</v>
      </c>
      <c r="M197" s="32">
        <v>9486</v>
      </c>
      <c r="N197" s="20">
        <v>9222</v>
      </c>
      <c r="O197" s="20">
        <v>8667</v>
      </c>
      <c r="P197" s="20">
        <v>8211</v>
      </c>
      <c r="Q197" s="20">
        <v>8699</v>
      </c>
      <c r="R197" s="20">
        <v>9507</v>
      </c>
      <c r="S197" s="20">
        <v>9457</v>
      </c>
      <c r="T197" s="20">
        <v>9853</v>
      </c>
      <c r="U197" s="149">
        <f t="shared" si="82"/>
        <v>8.8128106018774161E-2</v>
      </c>
      <c r="V197" s="149">
        <f t="shared" si="83"/>
        <v>0.19997564243088539</v>
      </c>
      <c r="W197" s="149">
        <f t="shared" si="84"/>
        <v>4.1873744316379399E-2</v>
      </c>
      <c r="X197" s="218">
        <f t="shared" si="86"/>
        <v>2.7168023735141409E-2</v>
      </c>
      <c r="Y197" s="219">
        <f t="shared" si="85"/>
        <v>396</v>
      </c>
    </row>
    <row r="198" spans="1:25" x14ac:dyDescent="0.25">
      <c r="A198" s="67" t="s">
        <v>236</v>
      </c>
      <c r="B198" s="20">
        <v>8934</v>
      </c>
      <c r="C198" s="20">
        <v>10081</v>
      </c>
      <c r="D198" s="20">
        <v>12234</v>
      </c>
      <c r="E198" s="20">
        <v>13336</v>
      </c>
      <c r="F198" s="32">
        <v>13543</v>
      </c>
      <c r="G198" s="20">
        <v>14305</v>
      </c>
      <c r="H198" s="20">
        <v>15078</v>
      </c>
      <c r="I198" s="20">
        <v>13925</v>
      </c>
      <c r="J198" s="20">
        <v>14249</v>
      </c>
      <c r="K198" s="20">
        <v>14631</v>
      </c>
      <c r="L198" s="20">
        <v>15392</v>
      </c>
      <c r="M198" s="32">
        <v>16101</v>
      </c>
      <c r="N198" s="20">
        <v>15817</v>
      </c>
      <c r="O198" s="20">
        <v>15704</v>
      </c>
      <c r="P198" s="20">
        <v>15400</v>
      </c>
      <c r="Q198" s="20">
        <v>15295</v>
      </c>
      <c r="R198" s="20">
        <v>16761</v>
      </c>
      <c r="S198" s="20">
        <v>17028</v>
      </c>
      <c r="T198" s="20">
        <v>17547</v>
      </c>
      <c r="U198" s="149">
        <f t="shared" si="82"/>
        <v>0.19930285011277424</v>
      </c>
      <c r="V198" s="149">
        <f t="shared" si="83"/>
        <v>0.13941558441558441</v>
      </c>
      <c r="W198" s="149">
        <f t="shared" si="84"/>
        <v>3.0479210711768852E-2</v>
      </c>
      <c r="X198" s="218">
        <f t="shared" si="86"/>
        <v>4.8382960771392099E-2</v>
      </c>
      <c r="Y198" s="219">
        <f t="shared" si="85"/>
        <v>519</v>
      </c>
    </row>
    <row r="199" spans="1:25" x14ac:dyDescent="0.25">
      <c r="A199" s="67" t="s">
        <v>293</v>
      </c>
      <c r="B199" s="20">
        <v>4605</v>
      </c>
      <c r="C199" s="20">
        <v>4560</v>
      </c>
      <c r="D199" s="20">
        <v>5260</v>
      </c>
      <c r="E199" s="20">
        <v>6513</v>
      </c>
      <c r="F199" s="32">
        <v>6589</v>
      </c>
      <c r="G199" s="20">
        <v>6411</v>
      </c>
      <c r="H199" s="20">
        <v>6764</v>
      </c>
      <c r="I199" s="20">
        <v>6876</v>
      </c>
      <c r="J199" s="20">
        <v>6671</v>
      </c>
      <c r="K199" s="20">
        <v>6868</v>
      </c>
      <c r="L199" s="20">
        <v>7313</v>
      </c>
      <c r="M199" s="32">
        <v>7143</v>
      </c>
      <c r="N199" s="20">
        <v>6908</v>
      </c>
      <c r="O199" s="20">
        <v>6395</v>
      </c>
      <c r="P199" s="20">
        <v>6209</v>
      </c>
      <c r="Q199" s="20">
        <v>6220</v>
      </c>
      <c r="R199" s="20">
        <v>6919</v>
      </c>
      <c r="S199" s="20">
        <v>7061</v>
      </c>
      <c r="T199" s="20">
        <v>6619</v>
      </c>
      <c r="U199" s="149">
        <f t="shared" si="82"/>
        <v>-3.625509609784508E-2</v>
      </c>
      <c r="V199" s="149">
        <f t="shared" si="83"/>
        <v>6.6033177645353519E-2</v>
      </c>
      <c r="W199" s="149">
        <f t="shared" si="84"/>
        <v>-6.25973658122079E-2</v>
      </c>
      <c r="X199" s="218">
        <f t="shared" si="86"/>
        <v>1.8250801695209682E-2</v>
      </c>
      <c r="Y199" s="219">
        <f t="shared" si="85"/>
        <v>-442</v>
      </c>
    </row>
    <row r="200" spans="1:25" x14ac:dyDescent="0.25">
      <c r="A200" s="67" t="s">
        <v>242</v>
      </c>
      <c r="B200" s="20">
        <v>25867</v>
      </c>
      <c r="C200" s="20">
        <v>29339</v>
      </c>
      <c r="D200" s="20">
        <v>30740</v>
      </c>
      <c r="E200" s="20">
        <v>33033</v>
      </c>
      <c r="F200" s="32">
        <v>34749</v>
      </c>
      <c r="G200" s="20">
        <v>35862</v>
      </c>
      <c r="H200" s="20">
        <v>37106</v>
      </c>
      <c r="I200" s="20">
        <v>35668</v>
      </c>
      <c r="J200" s="20">
        <v>35896</v>
      </c>
      <c r="K200" s="20">
        <v>35279</v>
      </c>
      <c r="L200" s="20">
        <v>35190</v>
      </c>
      <c r="M200" s="32">
        <v>34559</v>
      </c>
      <c r="N200" s="20">
        <v>34041</v>
      </c>
      <c r="O200" s="20">
        <v>30944</v>
      </c>
      <c r="P200" s="20">
        <v>31126</v>
      </c>
      <c r="Q200" s="20">
        <v>30654</v>
      </c>
      <c r="R200" s="20">
        <v>34523</v>
      </c>
      <c r="S200" s="20">
        <v>34163</v>
      </c>
      <c r="T200" s="20">
        <v>33258</v>
      </c>
      <c r="U200" s="149">
        <f t="shared" si="82"/>
        <v>-5.7286204257490293E-2</v>
      </c>
      <c r="V200" s="149">
        <f t="shared" si="83"/>
        <v>6.8495791299877914E-2</v>
      </c>
      <c r="W200" s="149">
        <f t="shared" si="84"/>
        <v>-2.6490647776834589E-2</v>
      </c>
      <c r="X200" s="218">
        <f t="shared" si="86"/>
        <v>9.170345411380626E-2</v>
      </c>
      <c r="Y200" s="219">
        <f t="shared" si="85"/>
        <v>-905</v>
      </c>
    </row>
    <row r="201" spans="1:25" x14ac:dyDescent="0.25">
      <c r="A201" s="67" t="s">
        <v>244</v>
      </c>
      <c r="B201" s="20">
        <v>9672</v>
      </c>
      <c r="C201" s="20">
        <v>9931</v>
      </c>
      <c r="D201" s="20">
        <v>12324</v>
      </c>
      <c r="E201" s="20">
        <v>13923</v>
      </c>
      <c r="F201" s="32">
        <v>13928</v>
      </c>
      <c r="G201" s="20">
        <v>15456</v>
      </c>
      <c r="H201" s="20">
        <v>15840</v>
      </c>
      <c r="I201" s="20">
        <v>15271</v>
      </c>
      <c r="J201" s="20">
        <v>16025</v>
      </c>
      <c r="K201" s="20">
        <v>16622</v>
      </c>
      <c r="L201" s="20">
        <v>16527</v>
      </c>
      <c r="M201" s="32">
        <v>15908</v>
      </c>
      <c r="N201" s="20">
        <v>14933</v>
      </c>
      <c r="O201" s="20">
        <v>14357</v>
      </c>
      <c r="P201" s="20">
        <v>13929</v>
      </c>
      <c r="Q201" s="20">
        <v>14142</v>
      </c>
      <c r="R201" s="20">
        <v>15518</v>
      </c>
      <c r="S201" s="20">
        <v>15928</v>
      </c>
      <c r="T201" s="20">
        <v>15867</v>
      </c>
      <c r="U201" s="149">
        <f t="shared" si="82"/>
        <v>-4.5421730237035253E-2</v>
      </c>
      <c r="V201" s="149">
        <f t="shared" si="83"/>
        <v>0.13913418048675424</v>
      </c>
      <c r="W201" s="149">
        <f t="shared" si="84"/>
        <v>-3.8297338021094926E-3</v>
      </c>
      <c r="X201" s="218">
        <f t="shared" si="86"/>
        <v>4.3750637633765223E-2</v>
      </c>
      <c r="Y201" s="219">
        <f t="shared" si="85"/>
        <v>-61</v>
      </c>
    </row>
    <row r="202" spans="1:25" x14ac:dyDescent="0.25">
      <c r="A202" s="67" t="s">
        <v>238</v>
      </c>
      <c r="B202" s="20">
        <v>3716</v>
      </c>
      <c r="C202" s="20">
        <v>4025</v>
      </c>
      <c r="D202" s="20">
        <v>4365</v>
      </c>
      <c r="E202" s="20">
        <v>5058</v>
      </c>
      <c r="F202" s="20">
        <v>5025</v>
      </c>
      <c r="G202" s="20">
        <v>5476</v>
      </c>
      <c r="H202" s="20">
        <v>5985</v>
      </c>
      <c r="I202" s="20">
        <v>5461</v>
      </c>
      <c r="J202" s="20">
        <v>5709</v>
      </c>
      <c r="K202" s="20">
        <v>5936</v>
      </c>
      <c r="L202" s="20">
        <v>6183</v>
      </c>
      <c r="M202" s="32">
        <v>6636</v>
      </c>
      <c r="N202" s="20">
        <v>6623</v>
      </c>
      <c r="O202" s="20">
        <v>6175</v>
      </c>
      <c r="P202" s="20">
        <v>6289</v>
      </c>
      <c r="Q202" s="20">
        <v>6517</v>
      </c>
      <c r="R202" s="20">
        <v>7204</v>
      </c>
      <c r="S202" s="20">
        <v>7351</v>
      </c>
      <c r="T202" s="20">
        <v>7334</v>
      </c>
      <c r="U202" s="149">
        <f t="shared" si="82"/>
        <v>0.23551212938005392</v>
      </c>
      <c r="V202" s="149">
        <f t="shared" si="83"/>
        <v>0.16616314199395771</v>
      </c>
      <c r="W202" s="149">
        <f t="shared" si="84"/>
        <v>-2.3126105291797036E-3</v>
      </c>
      <c r="X202" s="218">
        <f t="shared" si="86"/>
        <v>2.0222296363902069E-2</v>
      </c>
      <c r="Y202" s="219">
        <f t="shared" si="85"/>
        <v>-17</v>
      </c>
    </row>
    <row r="203" spans="1:25" x14ac:dyDescent="0.25">
      <c r="A203" s="67" t="s">
        <v>239</v>
      </c>
      <c r="B203" s="20">
        <v>7668</v>
      </c>
      <c r="C203" s="20">
        <v>8596</v>
      </c>
      <c r="D203" s="20">
        <v>10023</v>
      </c>
      <c r="E203" s="20">
        <v>11150</v>
      </c>
      <c r="F203" s="20">
        <v>11716</v>
      </c>
      <c r="G203" s="20">
        <v>12108</v>
      </c>
      <c r="H203" s="20">
        <v>12671</v>
      </c>
      <c r="I203" s="20">
        <v>12537</v>
      </c>
      <c r="J203" s="20">
        <v>13533</v>
      </c>
      <c r="K203" s="20">
        <v>13214</v>
      </c>
      <c r="L203" s="20">
        <v>12778</v>
      </c>
      <c r="M203" s="32">
        <v>12953</v>
      </c>
      <c r="N203" s="20">
        <v>12386</v>
      </c>
      <c r="O203" s="20">
        <v>11610</v>
      </c>
      <c r="P203" s="20">
        <v>10749</v>
      </c>
      <c r="Q203" s="20">
        <v>11734</v>
      </c>
      <c r="R203" s="20">
        <v>12438</v>
      </c>
      <c r="S203" s="20">
        <v>12725</v>
      </c>
      <c r="T203" s="20">
        <v>13207</v>
      </c>
      <c r="U203" s="149">
        <f t="shared" si="82"/>
        <v>-5.2974118359315882E-4</v>
      </c>
      <c r="V203" s="149">
        <f t="shared" si="83"/>
        <v>0.22867243464508327</v>
      </c>
      <c r="W203" s="149">
        <f t="shared" si="84"/>
        <v>3.7878192534381142E-2</v>
      </c>
      <c r="X203" s="218">
        <f t="shared" si="86"/>
        <v>3.6416125999189343E-2</v>
      </c>
      <c r="Y203" s="219">
        <f t="shared" si="85"/>
        <v>482</v>
      </c>
    </row>
    <row r="204" spans="1:25" x14ac:dyDescent="0.25">
      <c r="A204" s="67" t="s">
        <v>240</v>
      </c>
      <c r="B204" s="20">
        <v>458</v>
      </c>
      <c r="C204" s="20">
        <v>478</v>
      </c>
      <c r="D204" s="20">
        <v>674</v>
      </c>
      <c r="E204" s="20">
        <v>751</v>
      </c>
      <c r="F204" s="20">
        <v>707</v>
      </c>
      <c r="G204" s="20">
        <v>656</v>
      </c>
      <c r="H204" s="20">
        <v>756</v>
      </c>
      <c r="I204" s="20">
        <v>952</v>
      </c>
      <c r="J204" s="20">
        <v>951</v>
      </c>
      <c r="K204" s="20">
        <v>1037</v>
      </c>
      <c r="L204" s="20">
        <v>1071</v>
      </c>
      <c r="M204" s="32">
        <v>1085</v>
      </c>
      <c r="N204" s="20">
        <v>1079</v>
      </c>
      <c r="O204" s="20">
        <v>1021</v>
      </c>
      <c r="P204" s="20">
        <v>957</v>
      </c>
      <c r="Q204" s="20">
        <v>857</v>
      </c>
      <c r="R204" s="20">
        <v>838</v>
      </c>
      <c r="S204" s="20">
        <v>906</v>
      </c>
      <c r="T204" s="20">
        <v>1223</v>
      </c>
      <c r="U204" s="149">
        <f t="shared" si="82"/>
        <v>0.17936354869816779</v>
      </c>
      <c r="V204" s="149">
        <f t="shared" si="83"/>
        <v>0.27795193312434691</v>
      </c>
      <c r="W204" s="149">
        <f t="shared" si="84"/>
        <v>0.34988962472406182</v>
      </c>
      <c r="X204" s="218">
        <f t="shared" si="86"/>
        <v>3.3722209507843241E-3</v>
      </c>
      <c r="Y204" s="219">
        <f t="shared" si="85"/>
        <v>317</v>
      </c>
    </row>
    <row r="205" spans="1:25" x14ac:dyDescent="0.25">
      <c r="A205" s="67" t="s">
        <v>241</v>
      </c>
      <c r="B205" s="20">
        <v>3175</v>
      </c>
      <c r="C205" s="20">
        <v>2162</v>
      </c>
      <c r="D205" s="20">
        <v>2365</v>
      </c>
      <c r="E205" s="20">
        <v>2679</v>
      </c>
      <c r="F205" s="20">
        <v>2553</v>
      </c>
      <c r="G205" s="20">
        <v>2198</v>
      </c>
      <c r="H205" s="20">
        <v>2454</v>
      </c>
      <c r="I205" s="20">
        <v>2412</v>
      </c>
      <c r="J205" s="20">
        <v>2576</v>
      </c>
      <c r="K205" s="20">
        <v>2727</v>
      </c>
      <c r="L205" s="20">
        <v>2709</v>
      </c>
      <c r="M205" s="32">
        <v>2455</v>
      </c>
      <c r="N205" s="20">
        <v>2435</v>
      </c>
      <c r="O205" s="20">
        <v>2083</v>
      </c>
      <c r="P205" s="20">
        <v>2142</v>
      </c>
      <c r="Q205" s="20">
        <v>2059</v>
      </c>
      <c r="R205" s="20">
        <v>2356</v>
      </c>
      <c r="S205" s="20">
        <v>2314</v>
      </c>
      <c r="T205" s="20">
        <v>2469</v>
      </c>
      <c r="U205" s="149">
        <f t="shared" si="82"/>
        <v>-9.4609460946094612E-2</v>
      </c>
      <c r="V205" s="149">
        <f t="shared" si="83"/>
        <v>0.15266106442577032</v>
      </c>
      <c r="W205" s="149">
        <f t="shared" si="84"/>
        <v>6.6983578219533282E-2</v>
      </c>
      <c r="X205" s="218">
        <f t="shared" si="86"/>
        <v>6.8078606111909206E-3</v>
      </c>
      <c r="Y205" s="219">
        <f t="shared" si="85"/>
        <v>155</v>
      </c>
    </row>
    <row r="206" spans="1:25" x14ac:dyDescent="0.25">
      <c r="A206" s="71" t="s">
        <v>0</v>
      </c>
      <c r="B206" s="21">
        <v>243379</v>
      </c>
      <c r="C206" s="21">
        <v>252964</v>
      </c>
      <c r="D206" s="21">
        <v>281647</v>
      </c>
      <c r="E206" s="21">
        <v>315058</v>
      </c>
      <c r="F206" s="21">
        <v>328323</v>
      </c>
      <c r="G206" s="21">
        <v>332828</v>
      </c>
      <c r="H206" s="21">
        <v>343000</v>
      </c>
      <c r="I206" s="21">
        <v>341460</v>
      </c>
      <c r="J206" s="21">
        <v>337759</v>
      </c>
      <c r="K206" s="21">
        <v>337906</v>
      </c>
      <c r="L206" s="21">
        <v>335271</v>
      </c>
      <c r="M206" s="90">
        <v>334890</v>
      </c>
      <c r="N206" s="21">
        <v>330653</v>
      </c>
      <c r="O206" s="21">
        <v>303422</v>
      </c>
      <c r="P206" s="21">
        <v>314451</v>
      </c>
      <c r="Q206" s="21">
        <v>318411</v>
      </c>
      <c r="R206" s="21">
        <v>345529</v>
      </c>
      <c r="S206" s="21">
        <v>350683</v>
      </c>
      <c r="T206" s="21">
        <v>362669</v>
      </c>
      <c r="U206" s="150">
        <f t="shared" si="82"/>
        <v>7.3283694281841699E-2</v>
      </c>
      <c r="V206" s="150">
        <f t="shared" si="83"/>
        <v>0.15334026605099046</v>
      </c>
      <c r="W206" s="150">
        <f t="shared" si="84"/>
        <v>3.4179016376613636E-2</v>
      </c>
      <c r="X206" s="220">
        <f t="shared" si="86"/>
        <v>1</v>
      </c>
      <c r="Y206" s="221">
        <f t="shared" si="85"/>
        <v>11986</v>
      </c>
    </row>
    <row r="207" spans="1:25" x14ac:dyDescent="0.25">
      <c r="A207" s="3"/>
      <c r="U207" s="27"/>
      <c r="V207" s="27"/>
      <c r="W207" s="27"/>
      <c r="X207" s="27"/>
      <c r="Y207" s="27"/>
    </row>
    <row r="208" spans="1:25" ht="15.75" x14ac:dyDescent="0.25">
      <c r="A208" s="22" t="s">
        <v>464</v>
      </c>
      <c r="U208" s="27"/>
      <c r="V208" s="27"/>
      <c r="W208" s="27"/>
      <c r="X208" s="27"/>
      <c r="Y208" s="27"/>
    </row>
    <row r="209" spans="1:25" ht="25.5" x14ac:dyDescent="0.25">
      <c r="A209" s="111" t="s">
        <v>44</v>
      </c>
      <c r="B209" s="105">
        <v>2007</v>
      </c>
      <c r="C209" s="105">
        <v>2008</v>
      </c>
      <c r="D209" s="105">
        <v>2009</v>
      </c>
      <c r="E209" s="105">
        <v>2010</v>
      </c>
      <c r="F209" s="105">
        <v>2011</v>
      </c>
      <c r="G209" s="105">
        <v>2012</v>
      </c>
      <c r="H209" s="105">
        <v>2013</v>
      </c>
      <c r="I209" s="105">
        <v>2014</v>
      </c>
      <c r="J209" s="105">
        <v>2015</v>
      </c>
      <c r="K209" s="105">
        <v>2016</v>
      </c>
      <c r="L209" s="105">
        <v>2017</v>
      </c>
      <c r="M209" s="132">
        <v>2018</v>
      </c>
      <c r="N209" s="105">
        <v>2019</v>
      </c>
      <c r="O209" s="105">
        <v>2020</v>
      </c>
      <c r="P209" s="105">
        <v>2021</v>
      </c>
      <c r="Q209" s="105">
        <v>2022</v>
      </c>
      <c r="R209" s="105">
        <v>2023</v>
      </c>
      <c r="S209" s="105">
        <v>2024</v>
      </c>
      <c r="T209" s="105">
        <v>2025</v>
      </c>
      <c r="U209" s="106" t="s">
        <v>546</v>
      </c>
      <c r="V209" s="106" t="s">
        <v>547</v>
      </c>
      <c r="W209" s="106" t="s">
        <v>548</v>
      </c>
      <c r="X209" s="106" t="s">
        <v>549</v>
      </c>
      <c r="Y209" s="216" t="s">
        <v>563</v>
      </c>
    </row>
    <row r="210" spans="1:25" x14ac:dyDescent="0.25">
      <c r="A210" s="67" t="s">
        <v>229</v>
      </c>
      <c r="B210" s="95">
        <v>11503</v>
      </c>
      <c r="C210" s="95">
        <v>12791</v>
      </c>
      <c r="D210" s="95">
        <v>12939</v>
      </c>
      <c r="E210" s="95">
        <v>13938</v>
      </c>
      <c r="F210" s="95">
        <v>14466</v>
      </c>
      <c r="G210" s="95">
        <v>14251</v>
      </c>
      <c r="H210" s="95">
        <v>15588</v>
      </c>
      <c r="I210" s="95">
        <v>15906</v>
      </c>
      <c r="J210" s="95">
        <v>15914</v>
      </c>
      <c r="K210" s="95">
        <v>16143</v>
      </c>
      <c r="L210" s="95">
        <v>16328</v>
      </c>
      <c r="M210" s="95">
        <v>17151</v>
      </c>
      <c r="N210" s="95">
        <v>17276</v>
      </c>
      <c r="O210" s="95">
        <v>16758</v>
      </c>
      <c r="P210" s="95">
        <v>17378</v>
      </c>
      <c r="Q210" s="121">
        <v>16789</v>
      </c>
      <c r="R210" s="121">
        <v>16922</v>
      </c>
      <c r="S210" s="121">
        <v>17074</v>
      </c>
      <c r="T210" s="121">
        <v>17303</v>
      </c>
      <c r="U210" s="149">
        <f t="shared" ref="U210:U226" si="87">(T210-K210)/K210</f>
        <v>7.1857771170166632E-2</v>
      </c>
      <c r="V210" s="149">
        <f t="shared" ref="V210:V226" si="88">(T210-P210)/P210</f>
        <v>-4.3158015882149847E-3</v>
      </c>
      <c r="W210" s="149">
        <f t="shared" ref="W210:W226" si="89">(T210-S210)/S210</f>
        <v>1.3412205692866346E-2</v>
      </c>
      <c r="X210" s="218">
        <f>T210/T$226</f>
        <v>1.5127710822306444E-2</v>
      </c>
      <c r="Y210" s="219">
        <f t="shared" ref="Y210:Y226" si="90">T210-S210</f>
        <v>229</v>
      </c>
    </row>
    <row r="211" spans="1:25" x14ac:dyDescent="0.25">
      <c r="A211" s="67" t="s">
        <v>230</v>
      </c>
      <c r="B211" s="95">
        <v>11866</v>
      </c>
      <c r="C211" s="95">
        <v>13066</v>
      </c>
      <c r="D211" s="95">
        <v>14135</v>
      </c>
      <c r="E211" s="95">
        <v>15234</v>
      </c>
      <c r="F211" s="95">
        <v>15564</v>
      </c>
      <c r="G211" s="95">
        <v>15485</v>
      </c>
      <c r="H211" s="95">
        <v>16552</v>
      </c>
      <c r="I211" s="95">
        <v>17098</v>
      </c>
      <c r="J211" s="95">
        <v>17728</v>
      </c>
      <c r="K211" s="95">
        <v>17407</v>
      </c>
      <c r="L211" s="95">
        <v>17145</v>
      </c>
      <c r="M211" s="95">
        <v>18618</v>
      </c>
      <c r="N211" s="95">
        <v>19048</v>
      </c>
      <c r="O211" s="95">
        <v>18269</v>
      </c>
      <c r="P211" s="95">
        <v>18968</v>
      </c>
      <c r="Q211" s="121">
        <v>18301</v>
      </c>
      <c r="R211" s="121">
        <v>18713</v>
      </c>
      <c r="S211" s="121">
        <v>18951</v>
      </c>
      <c r="T211" s="121">
        <v>20177</v>
      </c>
      <c r="U211" s="149">
        <f t="shared" si="87"/>
        <v>0.15913138392600679</v>
      </c>
      <c r="V211" s="149">
        <f t="shared" si="88"/>
        <v>6.3738928722058205E-2</v>
      </c>
      <c r="W211" s="149">
        <f t="shared" si="89"/>
        <v>6.4693156033982374E-2</v>
      </c>
      <c r="X211" s="218">
        <f t="shared" ref="X211:X226" si="91">T211/T$226</f>
        <v>1.764039884769561E-2</v>
      </c>
      <c r="Y211" s="219">
        <f t="shared" si="90"/>
        <v>1226</v>
      </c>
    </row>
    <row r="212" spans="1:25" x14ac:dyDescent="0.25">
      <c r="A212" s="67" t="s">
        <v>231</v>
      </c>
      <c r="B212" s="95">
        <v>26296</v>
      </c>
      <c r="C212" s="95">
        <v>27818</v>
      </c>
      <c r="D212" s="95">
        <v>30304</v>
      </c>
      <c r="E212" s="95">
        <v>32620</v>
      </c>
      <c r="F212" s="95">
        <v>34233</v>
      </c>
      <c r="G212" s="95">
        <v>36159</v>
      </c>
      <c r="H212" s="95">
        <v>39074</v>
      </c>
      <c r="I212" s="95">
        <v>39324</v>
      </c>
      <c r="J212" s="95">
        <v>39890</v>
      </c>
      <c r="K212" s="95">
        <v>39097</v>
      </c>
      <c r="L212" s="95">
        <v>39462</v>
      </c>
      <c r="M212" s="95">
        <v>40187</v>
      </c>
      <c r="N212" s="95">
        <v>40247</v>
      </c>
      <c r="O212" s="95">
        <v>38552</v>
      </c>
      <c r="P212" s="95">
        <v>38952</v>
      </c>
      <c r="Q212" s="121">
        <v>37653</v>
      </c>
      <c r="R212" s="121">
        <v>36705</v>
      </c>
      <c r="S212" s="121">
        <v>36528</v>
      </c>
      <c r="T212" s="121">
        <v>37214</v>
      </c>
      <c r="U212" s="149">
        <f t="shared" si="87"/>
        <v>-4.8162263089239585E-2</v>
      </c>
      <c r="V212" s="149">
        <f t="shared" si="88"/>
        <v>-4.4619018278907373E-2</v>
      </c>
      <c r="W212" s="149">
        <f t="shared" si="89"/>
        <v>1.878011388523872E-2</v>
      </c>
      <c r="X212" s="218">
        <f t="shared" si="91"/>
        <v>3.2535550513859562E-2</v>
      </c>
      <c r="Y212" s="219">
        <f t="shared" si="90"/>
        <v>686</v>
      </c>
    </row>
    <row r="213" spans="1:25" x14ac:dyDescent="0.25">
      <c r="A213" s="67" t="s">
        <v>232</v>
      </c>
      <c r="B213" s="95">
        <v>6812</v>
      </c>
      <c r="C213" s="95">
        <v>7780</v>
      </c>
      <c r="D213" s="95">
        <v>8188</v>
      </c>
      <c r="E213" s="95">
        <v>9041</v>
      </c>
      <c r="F213" s="95">
        <v>10187</v>
      </c>
      <c r="G213" s="95">
        <v>10654</v>
      </c>
      <c r="H213" s="95">
        <v>11045</v>
      </c>
      <c r="I213" s="95">
        <v>11949</v>
      </c>
      <c r="J213" s="95">
        <v>10521</v>
      </c>
      <c r="K213" s="95">
        <v>12113</v>
      </c>
      <c r="L213" s="95">
        <v>12534</v>
      </c>
      <c r="M213" s="95">
        <v>12721</v>
      </c>
      <c r="N213" s="95">
        <v>13035</v>
      </c>
      <c r="O213" s="95">
        <v>11944</v>
      </c>
      <c r="P213" s="95">
        <v>13184</v>
      </c>
      <c r="Q213" s="121">
        <v>12550</v>
      </c>
      <c r="R213" s="121">
        <v>12486</v>
      </c>
      <c r="S213" s="121">
        <v>12583</v>
      </c>
      <c r="T213" s="121">
        <v>12819</v>
      </c>
      <c r="U213" s="149">
        <f t="shared" si="87"/>
        <v>5.8284487740444153E-2</v>
      </c>
      <c r="V213" s="149">
        <f t="shared" si="88"/>
        <v>-2.7685072815533982E-2</v>
      </c>
      <c r="W213" s="149">
        <f t="shared" si="89"/>
        <v>1.8755463720893269E-2</v>
      </c>
      <c r="X213" s="218">
        <f t="shared" si="91"/>
        <v>1.1207427904475889E-2</v>
      </c>
      <c r="Y213" s="219">
        <f t="shared" si="90"/>
        <v>236</v>
      </c>
    </row>
    <row r="214" spans="1:25" x14ac:dyDescent="0.25">
      <c r="A214" s="67" t="s">
        <v>233</v>
      </c>
      <c r="B214" s="95">
        <v>26108</v>
      </c>
      <c r="C214" s="95">
        <v>28810</v>
      </c>
      <c r="D214" s="95">
        <v>31656</v>
      </c>
      <c r="E214" s="95">
        <v>35330</v>
      </c>
      <c r="F214" s="95">
        <v>37561</v>
      </c>
      <c r="G214" s="95">
        <v>39888</v>
      </c>
      <c r="H214" s="95">
        <v>41209</v>
      </c>
      <c r="I214" s="95">
        <v>41560</v>
      </c>
      <c r="J214" s="95">
        <v>42101</v>
      </c>
      <c r="K214" s="95">
        <v>42781</v>
      </c>
      <c r="L214" s="95">
        <v>42712</v>
      </c>
      <c r="M214" s="95">
        <v>43644</v>
      </c>
      <c r="N214" s="95">
        <v>43973</v>
      </c>
      <c r="O214" s="95">
        <v>41903</v>
      </c>
      <c r="P214" s="95">
        <v>44456</v>
      </c>
      <c r="Q214" s="121">
        <v>44162</v>
      </c>
      <c r="R214" s="121">
        <v>44714</v>
      </c>
      <c r="S214" s="121">
        <v>45913</v>
      </c>
      <c r="T214" s="121">
        <v>46796</v>
      </c>
      <c r="U214" s="149">
        <f t="shared" si="87"/>
        <v>9.3850073630817418E-2</v>
      </c>
      <c r="V214" s="149">
        <f t="shared" si="88"/>
        <v>5.2636314558214867E-2</v>
      </c>
      <c r="W214" s="149">
        <f t="shared" si="89"/>
        <v>1.9232025787903208E-2</v>
      </c>
      <c r="X214" s="218">
        <f t="shared" si="91"/>
        <v>4.091292583024056E-2</v>
      </c>
      <c r="Y214" s="219">
        <f t="shared" si="90"/>
        <v>883</v>
      </c>
    </row>
    <row r="215" spans="1:25" x14ac:dyDescent="0.25">
      <c r="A215" s="67" t="s">
        <v>234</v>
      </c>
      <c r="B215" s="95">
        <v>91747</v>
      </c>
      <c r="C215" s="95">
        <v>97253</v>
      </c>
      <c r="D215" s="95">
        <v>103286</v>
      </c>
      <c r="E215" s="95">
        <v>111422</v>
      </c>
      <c r="F215" s="95">
        <v>118905</v>
      </c>
      <c r="G215" s="95">
        <v>121652</v>
      </c>
      <c r="H215" s="95">
        <v>127300</v>
      </c>
      <c r="I215" s="95">
        <v>129235</v>
      </c>
      <c r="J215" s="95">
        <v>130935</v>
      </c>
      <c r="K215" s="95">
        <v>130171</v>
      </c>
      <c r="L215" s="95">
        <v>129440</v>
      </c>
      <c r="M215" s="95">
        <v>129055</v>
      </c>
      <c r="N215" s="95">
        <v>129482</v>
      </c>
      <c r="O215" s="95">
        <v>125683</v>
      </c>
      <c r="P215" s="95">
        <v>128142</v>
      </c>
      <c r="Q215" s="121">
        <v>124728</v>
      </c>
      <c r="R215" s="121">
        <v>123910</v>
      </c>
      <c r="S215" s="121">
        <v>123837</v>
      </c>
      <c r="T215" s="121">
        <v>125159</v>
      </c>
      <c r="U215" s="149">
        <f t="shared" si="87"/>
        <v>-3.8503199637400037E-2</v>
      </c>
      <c r="V215" s="149">
        <f t="shared" si="88"/>
        <v>-2.3278862511900859E-2</v>
      </c>
      <c r="W215" s="149">
        <f t="shared" si="89"/>
        <v>1.0675323207119036E-2</v>
      </c>
      <c r="X215" s="218">
        <f t="shared" si="91"/>
        <v>0.10942432866029314</v>
      </c>
      <c r="Y215" s="219">
        <f t="shared" si="90"/>
        <v>1322</v>
      </c>
    </row>
    <row r="216" spans="1:25" x14ac:dyDescent="0.25">
      <c r="A216" s="67" t="s">
        <v>235</v>
      </c>
      <c r="B216" s="95">
        <v>359715</v>
      </c>
      <c r="C216" s="95">
        <v>369220</v>
      </c>
      <c r="D216" s="95">
        <v>395866</v>
      </c>
      <c r="E216" s="95">
        <v>439088</v>
      </c>
      <c r="F216" s="95">
        <v>474169</v>
      </c>
      <c r="G216" s="95">
        <v>494786</v>
      </c>
      <c r="H216" s="95">
        <v>510406</v>
      </c>
      <c r="I216" s="95">
        <v>520836</v>
      </c>
      <c r="J216" s="95">
        <v>527020</v>
      </c>
      <c r="K216" s="95">
        <v>529930</v>
      </c>
      <c r="L216" s="95">
        <v>525128</v>
      </c>
      <c r="M216" s="95">
        <v>523486</v>
      </c>
      <c r="N216" s="95">
        <v>518782</v>
      </c>
      <c r="O216" s="95">
        <v>488376</v>
      </c>
      <c r="P216" s="95">
        <v>499196</v>
      </c>
      <c r="Q216" s="121">
        <v>487804</v>
      </c>
      <c r="R216" s="121">
        <v>488378</v>
      </c>
      <c r="S216" s="121">
        <v>491174</v>
      </c>
      <c r="T216" s="121">
        <v>501447</v>
      </c>
      <c r="U216" s="149">
        <f t="shared" si="87"/>
        <v>-5.3748608306757498E-2</v>
      </c>
      <c r="V216" s="149">
        <f t="shared" si="88"/>
        <v>4.5092508754076555E-3</v>
      </c>
      <c r="W216" s="149">
        <f t="shared" si="89"/>
        <v>2.0915195022537837E-2</v>
      </c>
      <c r="X216" s="218">
        <f t="shared" si="91"/>
        <v>0.43840635778264464</v>
      </c>
      <c r="Y216" s="219">
        <f t="shared" si="90"/>
        <v>10273</v>
      </c>
    </row>
    <row r="217" spans="1:25" x14ac:dyDescent="0.25">
      <c r="A217" s="91" t="s">
        <v>325</v>
      </c>
      <c r="B217" s="95">
        <v>11305</v>
      </c>
      <c r="C217" s="95">
        <v>11655</v>
      </c>
      <c r="D217" s="95">
        <v>15693</v>
      </c>
      <c r="E217" s="95">
        <v>18804</v>
      </c>
      <c r="F217" s="95">
        <v>21607</v>
      </c>
      <c r="G217" s="95">
        <v>24928</v>
      </c>
      <c r="H217" s="95">
        <v>26270</v>
      </c>
      <c r="I217" s="95">
        <v>28183</v>
      </c>
      <c r="J217" s="95">
        <v>28837</v>
      </c>
      <c r="K217" s="95">
        <v>28718</v>
      </c>
      <c r="L217" s="95">
        <v>28815</v>
      </c>
      <c r="M217" s="95">
        <v>28661</v>
      </c>
      <c r="N217" s="95">
        <v>28295</v>
      </c>
      <c r="O217" s="95">
        <v>27128</v>
      </c>
      <c r="P217" s="95">
        <v>26867</v>
      </c>
      <c r="Q217" s="121">
        <v>27102</v>
      </c>
      <c r="R217" s="121">
        <v>28439</v>
      </c>
      <c r="S217" s="121">
        <v>29479</v>
      </c>
      <c r="T217" s="121">
        <v>31146</v>
      </c>
      <c r="U217" s="149">
        <f t="shared" si="87"/>
        <v>8.4546277595932862E-2</v>
      </c>
      <c r="V217" s="149">
        <f t="shared" si="88"/>
        <v>0.15926601406930435</v>
      </c>
      <c r="W217" s="149">
        <f t="shared" si="89"/>
        <v>5.6548729604124971E-2</v>
      </c>
      <c r="X217" s="218">
        <f t="shared" si="91"/>
        <v>2.7230404049676735E-2</v>
      </c>
      <c r="Y217" s="219">
        <f t="shared" si="90"/>
        <v>1667</v>
      </c>
    </row>
    <row r="218" spans="1:25" x14ac:dyDescent="0.25">
      <c r="A218" s="67" t="s">
        <v>236</v>
      </c>
      <c r="B218" s="95">
        <v>27825</v>
      </c>
      <c r="C218" s="95">
        <v>30388</v>
      </c>
      <c r="D218" s="95">
        <v>34936</v>
      </c>
      <c r="E218" s="95">
        <v>39893</v>
      </c>
      <c r="F218" s="95">
        <v>43062</v>
      </c>
      <c r="G218" s="95">
        <v>46236</v>
      </c>
      <c r="H218" s="95">
        <v>48869</v>
      </c>
      <c r="I218" s="95">
        <v>49625</v>
      </c>
      <c r="J218" s="95">
        <v>51093</v>
      </c>
      <c r="K218" s="95">
        <v>53407</v>
      </c>
      <c r="L218" s="95">
        <v>53368</v>
      </c>
      <c r="M218" s="95">
        <v>55231</v>
      </c>
      <c r="N218" s="95">
        <v>56414</v>
      </c>
      <c r="O218" s="95">
        <v>56488</v>
      </c>
      <c r="P218" s="95">
        <v>57939</v>
      </c>
      <c r="Q218" s="121">
        <v>56756</v>
      </c>
      <c r="R218" s="121">
        <v>57904</v>
      </c>
      <c r="S218" s="121">
        <v>59125</v>
      </c>
      <c r="T218" s="121">
        <v>61470</v>
      </c>
      <c r="U218" s="149">
        <f t="shared" si="87"/>
        <v>0.1509727189319752</v>
      </c>
      <c r="V218" s="149">
        <f t="shared" si="88"/>
        <v>6.0943405995961271E-2</v>
      </c>
      <c r="W218" s="149">
        <f t="shared" si="89"/>
        <v>3.9661733615221989E-2</v>
      </c>
      <c r="X218" s="218">
        <f t="shared" si="91"/>
        <v>5.3742147849920659E-2</v>
      </c>
      <c r="Y218" s="219">
        <f t="shared" si="90"/>
        <v>2345</v>
      </c>
    </row>
    <row r="219" spans="1:25" x14ac:dyDescent="0.25">
      <c r="A219" s="67" t="s">
        <v>293</v>
      </c>
      <c r="B219" s="95">
        <v>14150</v>
      </c>
      <c r="C219" s="95">
        <v>14053</v>
      </c>
      <c r="D219" s="95">
        <v>16220</v>
      </c>
      <c r="E219" s="95">
        <v>18607</v>
      </c>
      <c r="F219" s="95">
        <v>20323</v>
      </c>
      <c r="G219" s="95">
        <v>21798</v>
      </c>
      <c r="H219" s="95">
        <v>22878</v>
      </c>
      <c r="I219" s="95">
        <v>23878</v>
      </c>
      <c r="J219" s="95">
        <v>24287</v>
      </c>
      <c r="K219" s="95">
        <v>24177</v>
      </c>
      <c r="L219" s="95">
        <v>24016</v>
      </c>
      <c r="M219" s="95">
        <v>23717</v>
      </c>
      <c r="N219" s="95">
        <v>22964</v>
      </c>
      <c r="O219" s="95">
        <v>22276</v>
      </c>
      <c r="P219" s="95">
        <v>22395</v>
      </c>
      <c r="Q219" s="121">
        <v>21691</v>
      </c>
      <c r="R219" s="121">
        <v>22100</v>
      </c>
      <c r="S219" s="121">
        <v>22723</v>
      </c>
      <c r="T219" s="121">
        <v>22772</v>
      </c>
      <c r="U219" s="149">
        <f t="shared" si="87"/>
        <v>-5.8113082681887744E-2</v>
      </c>
      <c r="V219" s="149">
        <f t="shared" si="88"/>
        <v>1.683411475775843E-2</v>
      </c>
      <c r="W219" s="149">
        <f t="shared" si="89"/>
        <v>2.1564054042159924E-3</v>
      </c>
      <c r="X219" s="218">
        <f t="shared" si="91"/>
        <v>1.9909162043897727E-2</v>
      </c>
      <c r="Y219" s="219">
        <f t="shared" si="90"/>
        <v>49</v>
      </c>
    </row>
    <row r="220" spans="1:25" x14ac:dyDescent="0.25">
      <c r="A220" s="67" t="s">
        <v>242</v>
      </c>
      <c r="B220" s="95">
        <v>78979</v>
      </c>
      <c r="C220" s="95">
        <v>87963</v>
      </c>
      <c r="D220" s="95">
        <v>95018</v>
      </c>
      <c r="E220" s="95">
        <v>103346</v>
      </c>
      <c r="F220" s="95">
        <v>113526</v>
      </c>
      <c r="G220" s="95">
        <v>119689</v>
      </c>
      <c r="H220" s="95">
        <v>126110</v>
      </c>
      <c r="I220" s="95">
        <v>128043</v>
      </c>
      <c r="J220" s="95">
        <v>129580</v>
      </c>
      <c r="K220" s="95">
        <v>127984</v>
      </c>
      <c r="L220" s="95">
        <v>126836</v>
      </c>
      <c r="M220" s="95">
        <v>124899</v>
      </c>
      <c r="N220" s="95">
        <v>124098</v>
      </c>
      <c r="O220" s="95">
        <v>119665</v>
      </c>
      <c r="P220" s="95">
        <v>122484</v>
      </c>
      <c r="Q220" s="121">
        <v>120911</v>
      </c>
      <c r="R220" s="121">
        <v>121969</v>
      </c>
      <c r="S220" s="121">
        <v>123722</v>
      </c>
      <c r="T220" s="121">
        <v>124873</v>
      </c>
      <c r="U220" s="149">
        <f t="shared" si="87"/>
        <v>-2.4307725965745718E-2</v>
      </c>
      <c r="V220" s="149">
        <f t="shared" si="88"/>
        <v>1.950458835439731E-2</v>
      </c>
      <c r="W220" s="149">
        <f t="shared" si="89"/>
        <v>9.303115048253343E-3</v>
      </c>
      <c r="X220" s="218">
        <f t="shared" si="91"/>
        <v>0.10917428385331288</v>
      </c>
      <c r="Y220" s="219">
        <f t="shared" si="90"/>
        <v>1151</v>
      </c>
    </row>
    <row r="221" spans="1:25" x14ac:dyDescent="0.25">
      <c r="A221" s="67" t="s">
        <v>244</v>
      </c>
      <c r="B221" s="95">
        <v>32132</v>
      </c>
      <c r="C221" s="95">
        <v>32791</v>
      </c>
      <c r="D221" s="95">
        <v>36496</v>
      </c>
      <c r="E221" s="95">
        <v>40697</v>
      </c>
      <c r="F221" s="95">
        <v>45054</v>
      </c>
      <c r="G221" s="95">
        <v>48462</v>
      </c>
      <c r="H221" s="95">
        <v>51936</v>
      </c>
      <c r="I221" s="95">
        <v>53623</v>
      </c>
      <c r="J221" s="95">
        <v>54696</v>
      </c>
      <c r="K221" s="95">
        <v>57244</v>
      </c>
      <c r="L221" s="95">
        <v>57304</v>
      </c>
      <c r="M221" s="95">
        <v>57082</v>
      </c>
      <c r="N221" s="95">
        <v>57024</v>
      </c>
      <c r="O221" s="95">
        <v>55754</v>
      </c>
      <c r="P221" s="95">
        <v>57754</v>
      </c>
      <c r="Q221" s="121">
        <v>56212</v>
      </c>
      <c r="R221" s="121">
        <v>56652</v>
      </c>
      <c r="S221" s="121">
        <v>57635</v>
      </c>
      <c r="T221" s="121">
        <v>59171</v>
      </c>
      <c r="U221" s="149">
        <f t="shared" si="87"/>
        <v>3.3662916637551533E-2</v>
      </c>
      <c r="V221" s="149">
        <f t="shared" si="88"/>
        <v>2.45350971361291E-2</v>
      </c>
      <c r="W221" s="149">
        <f t="shared" si="89"/>
        <v>2.6650472802984299E-2</v>
      </c>
      <c r="X221" s="218">
        <f t="shared" si="91"/>
        <v>5.1732172286117706E-2</v>
      </c>
      <c r="Y221" s="219">
        <f t="shared" si="90"/>
        <v>1536</v>
      </c>
    </row>
    <row r="222" spans="1:25" x14ac:dyDescent="0.25">
      <c r="A222" s="67" t="s">
        <v>238</v>
      </c>
      <c r="B222" s="95">
        <v>13983</v>
      </c>
      <c r="C222" s="95">
        <v>14427</v>
      </c>
      <c r="D222" s="95">
        <v>15553</v>
      </c>
      <c r="E222" s="95">
        <v>17051</v>
      </c>
      <c r="F222" s="95">
        <v>18330</v>
      </c>
      <c r="G222" s="95">
        <v>19555</v>
      </c>
      <c r="H222" s="95">
        <v>20950</v>
      </c>
      <c r="I222" s="95">
        <v>21505</v>
      </c>
      <c r="J222" s="95">
        <v>21684</v>
      </c>
      <c r="K222" s="95">
        <v>22226</v>
      </c>
      <c r="L222" s="95">
        <v>23078</v>
      </c>
      <c r="M222" s="95">
        <v>24945</v>
      </c>
      <c r="N222" s="95">
        <v>25529</v>
      </c>
      <c r="O222" s="95">
        <v>25573</v>
      </c>
      <c r="P222" s="95">
        <v>26335</v>
      </c>
      <c r="Q222" s="121">
        <v>26721</v>
      </c>
      <c r="R222" s="121">
        <v>27389</v>
      </c>
      <c r="S222" s="121">
        <v>27574</v>
      </c>
      <c r="T222" s="121">
        <v>28017</v>
      </c>
      <c r="U222" s="149">
        <f t="shared" si="87"/>
        <v>0.2605507063799154</v>
      </c>
      <c r="V222" s="149">
        <f t="shared" si="88"/>
        <v>6.3869375355990132E-2</v>
      </c>
      <c r="W222" s="149">
        <f t="shared" si="89"/>
        <v>1.6065859142670631E-2</v>
      </c>
      <c r="X222" s="218">
        <f t="shared" si="91"/>
        <v>2.4494773976105857E-2</v>
      </c>
      <c r="Y222" s="219">
        <f t="shared" si="90"/>
        <v>443</v>
      </c>
    </row>
    <row r="223" spans="1:25" x14ac:dyDescent="0.25">
      <c r="A223" s="67" t="s">
        <v>239</v>
      </c>
      <c r="B223" s="95">
        <v>20579</v>
      </c>
      <c r="C223" s="95">
        <v>23401</v>
      </c>
      <c r="D223" s="95">
        <v>26429</v>
      </c>
      <c r="E223" s="95">
        <v>29136</v>
      </c>
      <c r="F223" s="95">
        <v>32802</v>
      </c>
      <c r="G223" s="95">
        <v>34187</v>
      </c>
      <c r="H223" s="95">
        <v>37309</v>
      </c>
      <c r="I223" s="95">
        <v>39348</v>
      </c>
      <c r="J223" s="95">
        <v>41193</v>
      </c>
      <c r="K223" s="95">
        <v>41992</v>
      </c>
      <c r="L223" s="95">
        <v>42042</v>
      </c>
      <c r="M223" s="95">
        <v>42452</v>
      </c>
      <c r="N223" s="95">
        <v>42245</v>
      </c>
      <c r="O223" s="95">
        <v>41092</v>
      </c>
      <c r="P223" s="95">
        <v>40974</v>
      </c>
      <c r="Q223" s="121">
        <v>41063</v>
      </c>
      <c r="R223" s="121">
        <v>42171</v>
      </c>
      <c r="S223" s="121">
        <v>43297</v>
      </c>
      <c r="T223" s="121">
        <v>44961</v>
      </c>
      <c r="U223" s="149">
        <f t="shared" si="87"/>
        <v>7.0703943608306341E-2</v>
      </c>
      <c r="V223" s="149">
        <f t="shared" si="88"/>
        <v>9.730560843461708E-2</v>
      </c>
      <c r="W223" s="149">
        <f t="shared" si="89"/>
        <v>3.8432223941612581E-2</v>
      </c>
      <c r="X223" s="218">
        <f t="shared" si="91"/>
        <v>3.9308617365874127E-2</v>
      </c>
      <c r="Y223" s="219">
        <f t="shared" si="90"/>
        <v>1664</v>
      </c>
    </row>
    <row r="224" spans="1:25" x14ac:dyDescent="0.25">
      <c r="A224" s="67" t="s">
        <v>240</v>
      </c>
      <c r="B224" s="95">
        <v>855</v>
      </c>
      <c r="C224" s="95">
        <v>964</v>
      </c>
      <c r="D224" s="95">
        <v>1342</v>
      </c>
      <c r="E224" s="95">
        <v>1521</v>
      </c>
      <c r="F224" s="95">
        <v>1671</v>
      </c>
      <c r="G224" s="95">
        <v>1599</v>
      </c>
      <c r="H224" s="95">
        <v>1721</v>
      </c>
      <c r="I224" s="95">
        <v>1987</v>
      </c>
      <c r="J224" s="95">
        <v>2215</v>
      </c>
      <c r="K224" s="95">
        <v>2471</v>
      </c>
      <c r="L224" s="95">
        <v>2620</v>
      </c>
      <c r="M224" s="95">
        <v>2762</v>
      </c>
      <c r="N224" s="95">
        <v>2852</v>
      </c>
      <c r="O224" s="95">
        <v>2888</v>
      </c>
      <c r="P224" s="95">
        <v>2870</v>
      </c>
      <c r="Q224" s="121">
        <v>2560</v>
      </c>
      <c r="R224" s="121">
        <v>2476</v>
      </c>
      <c r="S224" s="121">
        <v>2304</v>
      </c>
      <c r="T224" s="121">
        <v>2795</v>
      </c>
      <c r="U224" s="149">
        <f t="shared" si="87"/>
        <v>0.1311210036422501</v>
      </c>
      <c r="V224" s="149">
        <f t="shared" si="88"/>
        <v>-2.6132404181184669E-2</v>
      </c>
      <c r="W224" s="149">
        <f t="shared" si="89"/>
        <v>0.2131076388888889</v>
      </c>
      <c r="X224" s="218">
        <f t="shared" si="91"/>
        <v>2.4436197045799293E-3</v>
      </c>
      <c r="Y224" s="219">
        <f t="shared" si="90"/>
        <v>491</v>
      </c>
    </row>
    <row r="225" spans="1:25" x14ac:dyDescent="0.25">
      <c r="A225" s="67" t="s">
        <v>241</v>
      </c>
      <c r="B225" s="95">
        <v>7561</v>
      </c>
      <c r="C225" s="95">
        <v>6683</v>
      </c>
      <c r="D225" s="95">
        <v>7025</v>
      </c>
      <c r="E225" s="95">
        <v>7509</v>
      </c>
      <c r="F225" s="95">
        <v>7526</v>
      </c>
      <c r="G225" s="95">
        <v>7196</v>
      </c>
      <c r="H225" s="95">
        <v>7405</v>
      </c>
      <c r="I225" s="95">
        <v>7572</v>
      </c>
      <c r="J225" s="95">
        <v>7841</v>
      </c>
      <c r="K225" s="95">
        <v>7960</v>
      </c>
      <c r="L225" s="95">
        <v>7964</v>
      </c>
      <c r="M225" s="95">
        <v>7975</v>
      </c>
      <c r="N225" s="95">
        <v>7747</v>
      </c>
      <c r="O225" s="95">
        <v>6979</v>
      </c>
      <c r="P225" s="95">
        <v>7091</v>
      </c>
      <c r="Q225" s="121">
        <v>6744</v>
      </c>
      <c r="R225" s="121">
        <v>7043</v>
      </c>
      <c r="S225" s="121">
        <v>7268</v>
      </c>
      <c r="T225" s="121">
        <v>7675</v>
      </c>
      <c r="U225" s="149">
        <f t="shared" si="87"/>
        <v>-3.5804020100502515E-2</v>
      </c>
      <c r="V225" s="149">
        <f t="shared" si="88"/>
        <v>8.2357918488224505E-2</v>
      </c>
      <c r="W225" s="149">
        <f t="shared" si="89"/>
        <v>5.5998899284534949E-2</v>
      </c>
      <c r="X225" s="218">
        <f t="shared" si="91"/>
        <v>6.7101185089985527E-3</v>
      </c>
      <c r="Y225" s="219">
        <f t="shared" si="90"/>
        <v>407</v>
      </c>
    </row>
    <row r="226" spans="1:25" x14ac:dyDescent="0.25">
      <c r="A226" s="71" t="s">
        <v>0</v>
      </c>
      <c r="B226" s="21">
        <v>741416</v>
      </c>
      <c r="C226" s="21">
        <v>779063</v>
      </c>
      <c r="D226" s="21">
        <v>845086</v>
      </c>
      <c r="E226" s="21">
        <v>933237</v>
      </c>
      <c r="F226" s="21">
        <v>1008986</v>
      </c>
      <c r="G226" s="21">
        <v>1056525</v>
      </c>
      <c r="H226" s="21">
        <v>1104622</v>
      </c>
      <c r="I226" s="21">
        <v>1129672</v>
      </c>
      <c r="J226" s="21">
        <v>1145535</v>
      </c>
      <c r="K226" s="21">
        <v>1153821</v>
      </c>
      <c r="L226" s="21">
        <v>1148792</v>
      </c>
      <c r="M226" s="21">
        <v>1152586</v>
      </c>
      <c r="N226" s="21">
        <v>1149011</v>
      </c>
      <c r="O226" s="21">
        <v>1099328</v>
      </c>
      <c r="P226" s="21">
        <v>1124985</v>
      </c>
      <c r="Q226" s="90">
        <v>1101747</v>
      </c>
      <c r="R226" s="90">
        <v>1107971</v>
      </c>
      <c r="S226" s="90">
        <v>1119187</v>
      </c>
      <c r="T226" s="90">
        <v>1143795</v>
      </c>
      <c r="U226" s="150">
        <f t="shared" si="87"/>
        <v>-8.6893894286895462E-3</v>
      </c>
      <c r="V226" s="150">
        <f t="shared" si="88"/>
        <v>1.6720222936305817E-2</v>
      </c>
      <c r="W226" s="150">
        <f t="shared" si="89"/>
        <v>2.1987389060094516E-2</v>
      </c>
      <c r="X226" s="220">
        <f t="shared" si="91"/>
        <v>1</v>
      </c>
      <c r="Y226" s="221">
        <f t="shared" si="90"/>
        <v>24608</v>
      </c>
    </row>
    <row r="227" spans="1:25" x14ac:dyDescent="0.25">
      <c r="A227" s="3"/>
      <c r="U227" s="27"/>
      <c r="V227" s="27"/>
      <c r="W227" s="27"/>
      <c r="X227" s="27"/>
      <c r="Y227" s="27"/>
    </row>
    <row r="228" spans="1:25" ht="18" x14ac:dyDescent="0.25">
      <c r="A228" s="22" t="s">
        <v>465</v>
      </c>
      <c r="U228" s="27"/>
      <c r="V228" s="27"/>
      <c r="W228" s="27"/>
      <c r="X228" s="27"/>
      <c r="Y228" s="27"/>
    </row>
    <row r="229" spans="1:25" ht="25.5" x14ac:dyDescent="0.25">
      <c r="A229" s="111" t="s">
        <v>44</v>
      </c>
      <c r="B229" s="105">
        <v>2007</v>
      </c>
      <c r="C229" s="105">
        <v>2008</v>
      </c>
      <c r="D229" s="105">
        <v>2009</v>
      </c>
      <c r="E229" s="105">
        <v>2010</v>
      </c>
      <c r="F229" s="105">
        <v>2011</v>
      </c>
      <c r="G229" s="105">
        <v>2012</v>
      </c>
      <c r="H229" s="105">
        <v>2013</v>
      </c>
      <c r="I229" s="105">
        <v>2014</v>
      </c>
      <c r="J229" s="105">
        <v>2015</v>
      </c>
      <c r="K229" s="105">
        <v>2016</v>
      </c>
      <c r="L229" s="105">
        <v>2017</v>
      </c>
      <c r="M229" s="132">
        <v>2018</v>
      </c>
      <c r="N229" s="105">
        <v>2019</v>
      </c>
      <c r="O229" s="105">
        <v>2020</v>
      </c>
      <c r="P229" s="105">
        <v>2021</v>
      </c>
      <c r="Q229" s="105">
        <v>2022</v>
      </c>
      <c r="R229" s="105">
        <v>2023</v>
      </c>
      <c r="S229" s="105">
        <v>2024</v>
      </c>
      <c r="T229" s="105">
        <v>2025</v>
      </c>
      <c r="U229" s="106" t="s">
        <v>546</v>
      </c>
      <c r="V229" s="106" t="s">
        <v>547</v>
      </c>
      <c r="W229" s="106" t="s">
        <v>548</v>
      </c>
      <c r="X229" s="106" t="s">
        <v>549</v>
      </c>
      <c r="Y229" s="216" t="s">
        <v>563</v>
      </c>
    </row>
    <row r="230" spans="1:25" x14ac:dyDescent="0.25">
      <c r="A230" s="67" t="s">
        <v>229</v>
      </c>
      <c r="B230" s="95">
        <v>2996</v>
      </c>
      <c r="C230" s="95">
        <v>3905</v>
      </c>
      <c r="D230" s="95">
        <v>4001</v>
      </c>
      <c r="E230" s="95">
        <v>4264</v>
      </c>
      <c r="F230" s="95">
        <v>4561</v>
      </c>
      <c r="G230" s="95">
        <v>4260</v>
      </c>
      <c r="H230" s="95">
        <v>4633</v>
      </c>
      <c r="I230" s="95">
        <v>4499</v>
      </c>
      <c r="J230" s="95">
        <v>4668</v>
      </c>
      <c r="K230" s="95">
        <v>4770</v>
      </c>
      <c r="L230" s="95">
        <v>4834</v>
      </c>
      <c r="M230" s="95">
        <v>5078</v>
      </c>
      <c r="N230" s="95">
        <v>4792</v>
      </c>
      <c r="O230" s="95">
        <v>4569</v>
      </c>
      <c r="P230" s="95">
        <v>4191</v>
      </c>
      <c r="Q230" s="121">
        <v>4120</v>
      </c>
      <c r="R230" s="121">
        <v>4355</v>
      </c>
      <c r="S230" s="121">
        <v>4821</v>
      </c>
      <c r="T230" s="121">
        <v>4891</v>
      </c>
      <c r="U230" s="149">
        <f t="shared" ref="U230:U246" si="92">(T230-K230)/K230</f>
        <v>2.5366876310272537E-2</v>
      </c>
      <c r="V230" s="149">
        <f t="shared" ref="V230:V246" si="93">(T230-P230)/P230</f>
        <v>0.16702457647339536</v>
      </c>
      <c r="W230" s="149">
        <f t="shared" ref="W230:W246" si="94">(T230-S230)/S230</f>
        <v>1.4519809168222361E-2</v>
      </c>
      <c r="X230" s="218">
        <f>T230/T$246</f>
        <v>1.5823460520611586E-2</v>
      </c>
      <c r="Y230" s="219">
        <f t="shared" ref="Y230:Y246" si="95">T230-S230</f>
        <v>70</v>
      </c>
    </row>
    <row r="231" spans="1:25" x14ac:dyDescent="0.25">
      <c r="A231" s="67" t="s">
        <v>230</v>
      </c>
      <c r="B231" s="95">
        <v>3190</v>
      </c>
      <c r="C231" s="95">
        <v>4270</v>
      </c>
      <c r="D231" s="95">
        <v>5039</v>
      </c>
      <c r="E231" s="95">
        <v>5282</v>
      </c>
      <c r="F231" s="95">
        <v>5123</v>
      </c>
      <c r="G231" s="95">
        <v>5060</v>
      </c>
      <c r="H231" s="95">
        <v>5552</v>
      </c>
      <c r="I231" s="95">
        <v>5461</v>
      </c>
      <c r="J231" s="95">
        <v>5278</v>
      </c>
      <c r="K231" s="95">
        <v>5191</v>
      </c>
      <c r="L231" s="95">
        <v>5194</v>
      </c>
      <c r="M231" s="95">
        <v>5409</v>
      </c>
      <c r="N231" s="95">
        <v>5716</v>
      </c>
      <c r="O231" s="95">
        <v>5323</v>
      </c>
      <c r="P231" s="95">
        <v>5042</v>
      </c>
      <c r="Q231" s="121">
        <v>5046</v>
      </c>
      <c r="R231" s="121">
        <v>5574</v>
      </c>
      <c r="S231" s="121">
        <v>5784</v>
      </c>
      <c r="T231" s="121">
        <v>6391</v>
      </c>
      <c r="U231" s="149">
        <f t="shared" si="92"/>
        <v>0.23116933153534963</v>
      </c>
      <c r="V231" s="149">
        <f t="shared" si="93"/>
        <v>0.26755255850852838</v>
      </c>
      <c r="W231" s="149">
        <f t="shared" si="94"/>
        <v>0.10494467496542186</v>
      </c>
      <c r="X231" s="218">
        <f t="shared" ref="X231:X246" si="96">T231/T$246</f>
        <v>2.0676290367456277E-2</v>
      </c>
      <c r="Y231" s="219">
        <f t="shared" si="95"/>
        <v>607</v>
      </c>
    </row>
    <row r="232" spans="1:25" x14ac:dyDescent="0.25">
      <c r="A232" s="67" t="s">
        <v>231</v>
      </c>
      <c r="B232" s="95">
        <v>8372</v>
      </c>
      <c r="C232" s="95">
        <v>9168</v>
      </c>
      <c r="D232" s="95">
        <v>10253</v>
      </c>
      <c r="E232" s="95">
        <v>11095</v>
      </c>
      <c r="F232" s="95">
        <v>11226</v>
      </c>
      <c r="G232" s="95">
        <v>11663</v>
      </c>
      <c r="H232" s="95">
        <v>11962</v>
      </c>
      <c r="I232" s="95">
        <v>11502</v>
      </c>
      <c r="J232" s="95">
        <v>11044</v>
      </c>
      <c r="K232" s="95">
        <v>11091</v>
      </c>
      <c r="L232" s="95">
        <v>11303</v>
      </c>
      <c r="M232" s="95">
        <v>11388</v>
      </c>
      <c r="N232" s="95">
        <v>11168</v>
      </c>
      <c r="O232" s="95">
        <v>10482</v>
      </c>
      <c r="P232" s="95">
        <v>10211</v>
      </c>
      <c r="Q232" s="121">
        <v>9942</v>
      </c>
      <c r="R232" s="121">
        <v>10584</v>
      </c>
      <c r="S232" s="121">
        <v>10803</v>
      </c>
      <c r="T232" s="121">
        <v>11056</v>
      </c>
      <c r="U232" s="149">
        <f t="shared" si="92"/>
        <v>-3.1557118384275538E-3</v>
      </c>
      <c r="V232" s="149">
        <f t="shared" si="93"/>
        <v>8.2753892860640485E-2</v>
      </c>
      <c r="W232" s="149">
        <f t="shared" si="94"/>
        <v>2.341942053133389E-2</v>
      </c>
      <c r="X232" s="218">
        <f t="shared" si="96"/>
        <v>3.5768591191143263E-2</v>
      </c>
      <c r="Y232" s="219">
        <f t="shared" si="95"/>
        <v>253</v>
      </c>
    </row>
    <row r="233" spans="1:25" x14ac:dyDescent="0.25">
      <c r="A233" s="67" t="s">
        <v>232</v>
      </c>
      <c r="B233" s="95">
        <v>2463</v>
      </c>
      <c r="C233" s="95">
        <v>2890</v>
      </c>
      <c r="D233" s="95">
        <v>3244</v>
      </c>
      <c r="E233" s="95">
        <v>3536</v>
      </c>
      <c r="F233" s="95">
        <v>4104</v>
      </c>
      <c r="G233" s="95">
        <v>3939</v>
      </c>
      <c r="H233" s="95">
        <v>4638</v>
      </c>
      <c r="I233" s="95">
        <v>4291</v>
      </c>
      <c r="J233" s="95">
        <v>3817</v>
      </c>
      <c r="K233" s="95">
        <v>4073</v>
      </c>
      <c r="L233" s="95">
        <v>4519</v>
      </c>
      <c r="M233" s="95">
        <v>4119</v>
      </c>
      <c r="N233" s="95">
        <v>4204</v>
      </c>
      <c r="O233" s="95">
        <v>3556</v>
      </c>
      <c r="P233" s="95">
        <v>3735</v>
      </c>
      <c r="Q233" s="121">
        <v>3330</v>
      </c>
      <c r="R233" s="121">
        <v>3677</v>
      </c>
      <c r="S233" s="121">
        <v>3708</v>
      </c>
      <c r="T233" s="121">
        <v>3948</v>
      </c>
      <c r="U233" s="149">
        <f t="shared" si="92"/>
        <v>-3.0689909157868893E-2</v>
      </c>
      <c r="V233" s="149">
        <f t="shared" si="93"/>
        <v>5.7028112449799197E-2</v>
      </c>
      <c r="W233" s="149">
        <f t="shared" si="94"/>
        <v>6.4724919093851127E-2</v>
      </c>
      <c r="X233" s="218">
        <f t="shared" si="96"/>
        <v>1.2772648156895224E-2</v>
      </c>
      <c r="Y233" s="219">
        <f t="shared" si="95"/>
        <v>240</v>
      </c>
    </row>
    <row r="234" spans="1:25" x14ac:dyDescent="0.25">
      <c r="A234" s="67" t="s">
        <v>233</v>
      </c>
      <c r="B234" s="95">
        <v>8468</v>
      </c>
      <c r="C234" s="95">
        <v>9633</v>
      </c>
      <c r="D234" s="95">
        <v>10689</v>
      </c>
      <c r="E234" s="95">
        <v>12298</v>
      </c>
      <c r="F234" s="95">
        <v>12170</v>
      </c>
      <c r="G234" s="95">
        <v>13053</v>
      </c>
      <c r="H234" s="95">
        <v>12861</v>
      </c>
      <c r="I234" s="95">
        <v>12391</v>
      </c>
      <c r="J234" s="95">
        <v>11566</v>
      </c>
      <c r="K234" s="95">
        <v>12645</v>
      </c>
      <c r="L234" s="95">
        <v>12760</v>
      </c>
      <c r="M234" s="95">
        <v>13074</v>
      </c>
      <c r="N234" s="95">
        <v>12877</v>
      </c>
      <c r="O234" s="95">
        <v>12238</v>
      </c>
      <c r="P234" s="95">
        <v>12417</v>
      </c>
      <c r="Q234" s="121">
        <v>12729</v>
      </c>
      <c r="R234" s="121">
        <v>13198</v>
      </c>
      <c r="S234" s="121">
        <v>13675</v>
      </c>
      <c r="T234" s="121">
        <v>13786</v>
      </c>
      <c r="U234" s="149">
        <f t="shared" si="92"/>
        <v>9.0233293792012656E-2</v>
      </c>
      <c r="V234" s="149">
        <f t="shared" si="93"/>
        <v>0.11025207376983168</v>
      </c>
      <c r="W234" s="149">
        <f t="shared" si="94"/>
        <v>8.1170018281535652E-3</v>
      </c>
      <c r="X234" s="218">
        <f t="shared" si="96"/>
        <v>4.46007415124006E-2</v>
      </c>
      <c r="Y234" s="219">
        <f t="shared" si="95"/>
        <v>111</v>
      </c>
    </row>
    <row r="235" spans="1:25" x14ac:dyDescent="0.25">
      <c r="A235" s="67" t="s">
        <v>234</v>
      </c>
      <c r="B235" s="95">
        <v>28124</v>
      </c>
      <c r="C235" s="95">
        <v>28506</v>
      </c>
      <c r="D235" s="95">
        <v>32609</v>
      </c>
      <c r="E235" s="95">
        <v>35787</v>
      </c>
      <c r="F235" s="95">
        <v>37036</v>
      </c>
      <c r="G235" s="95">
        <v>37313</v>
      </c>
      <c r="H235" s="95">
        <v>38520</v>
      </c>
      <c r="I235" s="95">
        <v>38215</v>
      </c>
      <c r="J235" s="95">
        <v>36698</v>
      </c>
      <c r="K235" s="95">
        <v>36445</v>
      </c>
      <c r="L235" s="95">
        <v>35453</v>
      </c>
      <c r="M235" s="95">
        <v>35004</v>
      </c>
      <c r="N235" s="95">
        <v>34317</v>
      </c>
      <c r="O235" s="95">
        <v>31797</v>
      </c>
      <c r="P235" s="95">
        <v>30857</v>
      </c>
      <c r="Q235" s="121">
        <v>30789</v>
      </c>
      <c r="R235" s="121">
        <v>33058</v>
      </c>
      <c r="S235" s="121">
        <v>33115</v>
      </c>
      <c r="T235" s="121">
        <v>33606</v>
      </c>
      <c r="U235" s="149">
        <f t="shared" si="92"/>
        <v>-7.7898202771299219E-2</v>
      </c>
      <c r="V235" s="149">
        <f t="shared" si="93"/>
        <v>8.9088375409145409E-2</v>
      </c>
      <c r="W235" s="149">
        <f t="shared" si="94"/>
        <v>1.4827117620413709E-2</v>
      </c>
      <c r="X235" s="218">
        <f t="shared" si="96"/>
        <v>0.10872279988870844</v>
      </c>
      <c r="Y235" s="219">
        <f t="shared" si="95"/>
        <v>491</v>
      </c>
    </row>
    <row r="236" spans="1:25" x14ac:dyDescent="0.25">
      <c r="A236" s="67" t="s">
        <v>235</v>
      </c>
      <c r="B236" s="95">
        <v>118649</v>
      </c>
      <c r="C236" s="95">
        <v>119788</v>
      </c>
      <c r="D236" s="95">
        <v>129981</v>
      </c>
      <c r="E236" s="95">
        <v>147200</v>
      </c>
      <c r="F236" s="95">
        <v>155446</v>
      </c>
      <c r="G236" s="95">
        <v>153829</v>
      </c>
      <c r="H236" s="95">
        <v>155806</v>
      </c>
      <c r="I236" s="95">
        <v>158056</v>
      </c>
      <c r="J236" s="95">
        <v>153159</v>
      </c>
      <c r="K236" s="95">
        <v>149723</v>
      </c>
      <c r="L236" s="95">
        <v>143835</v>
      </c>
      <c r="M236" s="95">
        <v>141097</v>
      </c>
      <c r="N236" s="95">
        <v>137384</v>
      </c>
      <c r="O236" s="95">
        <v>120370</v>
      </c>
      <c r="P236" s="95">
        <v>122428</v>
      </c>
      <c r="Q236" s="121">
        <v>119736</v>
      </c>
      <c r="R236" s="121">
        <v>127657</v>
      </c>
      <c r="S236" s="121">
        <v>126588</v>
      </c>
      <c r="T236" s="121">
        <v>128207</v>
      </c>
      <c r="U236" s="149">
        <f t="shared" si="92"/>
        <v>-0.1437053759275462</v>
      </c>
      <c r="V236" s="149">
        <f t="shared" si="93"/>
        <v>4.7203254157545657E-2</v>
      </c>
      <c r="W236" s="149">
        <f t="shared" si="94"/>
        <v>1.2789521913609506E-2</v>
      </c>
      <c r="X236" s="218">
        <f t="shared" si="96"/>
        <v>0.41477783744961144</v>
      </c>
      <c r="Y236" s="219">
        <f t="shared" si="95"/>
        <v>1619</v>
      </c>
    </row>
    <row r="237" spans="1:25" x14ac:dyDescent="0.25">
      <c r="A237" s="91" t="s">
        <v>325</v>
      </c>
      <c r="B237" s="95">
        <v>4809</v>
      </c>
      <c r="C237" s="95">
        <v>4798</v>
      </c>
      <c r="D237" s="95">
        <v>6838</v>
      </c>
      <c r="E237" s="95">
        <v>8017</v>
      </c>
      <c r="F237" s="95">
        <v>8536</v>
      </c>
      <c r="G237" s="95">
        <v>9804</v>
      </c>
      <c r="H237" s="95">
        <v>9782</v>
      </c>
      <c r="I237" s="95">
        <v>9387</v>
      </c>
      <c r="J237" s="95">
        <v>9289</v>
      </c>
      <c r="K237" s="95">
        <v>8973</v>
      </c>
      <c r="L237" s="95">
        <v>9590</v>
      </c>
      <c r="M237" s="95">
        <v>9437</v>
      </c>
      <c r="N237" s="95">
        <v>9194</v>
      </c>
      <c r="O237" s="95">
        <v>8621</v>
      </c>
      <c r="P237" s="95">
        <v>8104</v>
      </c>
      <c r="Q237" s="121">
        <v>8699</v>
      </c>
      <c r="R237" s="121">
        <v>9507</v>
      </c>
      <c r="S237" s="121">
        <v>9457</v>
      </c>
      <c r="T237" s="121">
        <v>9853</v>
      </c>
      <c r="U237" s="149">
        <f t="shared" si="92"/>
        <v>9.807199375905494E-2</v>
      </c>
      <c r="V237" s="149">
        <f t="shared" si="93"/>
        <v>0.21581934846989143</v>
      </c>
      <c r="W237" s="149">
        <f t="shared" si="94"/>
        <v>4.1873744316379399E-2</v>
      </c>
      <c r="X237" s="218">
        <f t="shared" si="96"/>
        <v>3.187662165397382E-2</v>
      </c>
      <c r="Y237" s="219">
        <f t="shared" si="95"/>
        <v>396</v>
      </c>
    </row>
    <row r="238" spans="1:25" x14ac:dyDescent="0.25">
      <c r="A238" s="67" t="s">
        <v>236</v>
      </c>
      <c r="B238" s="95">
        <v>8934</v>
      </c>
      <c r="C238" s="95">
        <v>9693</v>
      </c>
      <c r="D238" s="95">
        <v>11903</v>
      </c>
      <c r="E238" s="95">
        <v>13007</v>
      </c>
      <c r="F238" s="95">
        <v>13308</v>
      </c>
      <c r="G238" s="95">
        <v>14066</v>
      </c>
      <c r="H238" s="95">
        <v>14851</v>
      </c>
      <c r="I238" s="95">
        <v>13925</v>
      </c>
      <c r="J238" s="95">
        <v>14249</v>
      </c>
      <c r="K238" s="95">
        <v>14631</v>
      </c>
      <c r="L238" s="95">
        <v>15392</v>
      </c>
      <c r="M238" s="95">
        <v>16101</v>
      </c>
      <c r="N238" s="95">
        <v>15817</v>
      </c>
      <c r="O238" s="95">
        <v>15704</v>
      </c>
      <c r="P238" s="95">
        <v>15400</v>
      </c>
      <c r="Q238" s="121">
        <v>15295</v>
      </c>
      <c r="R238" s="121">
        <v>16761</v>
      </c>
      <c r="S238" s="121">
        <v>17028</v>
      </c>
      <c r="T238" s="121">
        <v>17547</v>
      </c>
      <c r="U238" s="149">
        <f t="shared" si="92"/>
        <v>0.19930285011277424</v>
      </c>
      <c r="V238" s="149">
        <f t="shared" si="93"/>
        <v>0.13941558441558441</v>
      </c>
      <c r="W238" s="149">
        <f t="shared" si="94"/>
        <v>3.0479210711768852E-2</v>
      </c>
      <c r="X238" s="218">
        <f t="shared" si="96"/>
        <v>5.6768403548389183E-2</v>
      </c>
      <c r="Y238" s="219">
        <f t="shared" si="95"/>
        <v>519</v>
      </c>
    </row>
    <row r="239" spans="1:25" x14ac:dyDescent="0.25">
      <c r="A239" s="67" t="s">
        <v>293</v>
      </c>
      <c r="B239" s="95">
        <v>4605</v>
      </c>
      <c r="C239" s="95">
        <v>4545</v>
      </c>
      <c r="D239" s="95">
        <v>5222</v>
      </c>
      <c r="E239" s="95">
        <v>6457</v>
      </c>
      <c r="F239" s="95">
        <v>6561</v>
      </c>
      <c r="G239" s="95">
        <v>6388</v>
      </c>
      <c r="H239" s="95">
        <v>6752</v>
      </c>
      <c r="I239" s="95">
        <v>6832</v>
      </c>
      <c r="J239" s="95">
        <v>6630</v>
      </c>
      <c r="K239" s="95">
        <v>6777</v>
      </c>
      <c r="L239" s="95">
        <v>7234</v>
      </c>
      <c r="M239" s="95">
        <v>7028</v>
      </c>
      <c r="N239" s="95">
        <v>6828</v>
      </c>
      <c r="O239" s="95">
        <v>6309</v>
      </c>
      <c r="P239" s="95">
        <v>6098</v>
      </c>
      <c r="Q239" s="121">
        <v>6101</v>
      </c>
      <c r="R239" s="121">
        <v>6843</v>
      </c>
      <c r="S239" s="121">
        <v>6980</v>
      </c>
      <c r="T239" s="121">
        <v>6619</v>
      </c>
      <c r="U239" s="149">
        <f t="shared" si="92"/>
        <v>-2.3314150804190643E-2</v>
      </c>
      <c r="V239" s="149">
        <f t="shared" si="93"/>
        <v>8.5437848474909803E-2</v>
      </c>
      <c r="W239" s="149">
        <f t="shared" si="94"/>
        <v>-5.1719197707736392E-2</v>
      </c>
      <c r="X239" s="218">
        <f t="shared" si="96"/>
        <v>2.1413920504176669E-2</v>
      </c>
      <c r="Y239" s="219">
        <f t="shared" si="95"/>
        <v>-361</v>
      </c>
    </row>
    <row r="240" spans="1:25" x14ac:dyDescent="0.25">
      <c r="A240" s="67" t="s">
        <v>242</v>
      </c>
      <c r="B240" s="95">
        <v>25623</v>
      </c>
      <c r="C240" s="95">
        <v>29272</v>
      </c>
      <c r="D240" s="95">
        <v>30640</v>
      </c>
      <c r="E240" s="95">
        <v>32954</v>
      </c>
      <c r="F240" s="95">
        <v>34618</v>
      </c>
      <c r="G240" s="95">
        <v>35740</v>
      </c>
      <c r="H240" s="95">
        <v>36861</v>
      </c>
      <c r="I240" s="95">
        <v>35222</v>
      </c>
      <c r="J240" s="95">
        <v>35243</v>
      </c>
      <c r="K240" s="95">
        <v>34750</v>
      </c>
      <c r="L240" s="95">
        <v>34847</v>
      </c>
      <c r="M240" s="95">
        <v>34148</v>
      </c>
      <c r="N240" s="95">
        <v>33640</v>
      </c>
      <c r="O240" s="95">
        <v>30626</v>
      </c>
      <c r="P240" s="95">
        <v>30650</v>
      </c>
      <c r="Q240" s="121">
        <v>30290</v>
      </c>
      <c r="R240" s="121">
        <v>34022</v>
      </c>
      <c r="S240" s="121">
        <v>33820</v>
      </c>
      <c r="T240" s="121">
        <v>33171</v>
      </c>
      <c r="U240" s="149">
        <f t="shared" si="92"/>
        <v>-4.5438848920863306E-2</v>
      </c>
      <c r="V240" s="149">
        <f t="shared" si="93"/>
        <v>8.2251223491027731E-2</v>
      </c>
      <c r="W240" s="149">
        <f t="shared" si="94"/>
        <v>-1.9189828503843879E-2</v>
      </c>
      <c r="X240" s="218">
        <f t="shared" si="96"/>
        <v>0.10731547923312347</v>
      </c>
      <c r="Y240" s="219">
        <f t="shared" si="95"/>
        <v>-649</v>
      </c>
    </row>
    <row r="241" spans="1:25" x14ac:dyDescent="0.25">
      <c r="A241" s="67" t="s">
        <v>244</v>
      </c>
      <c r="B241" s="95">
        <v>9672</v>
      </c>
      <c r="C241" s="95">
        <v>9931</v>
      </c>
      <c r="D241" s="95">
        <v>12324</v>
      </c>
      <c r="E241" s="95">
        <v>13923</v>
      </c>
      <c r="F241" s="95">
        <v>13928</v>
      </c>
      <c r="G241" s="95">
        <v>15456</v>
      </c>
      <c r="H241" s="95">
        <v>15840</v>
      </c>
      <c r="I241" s="95">
        <v>15257</v>
      </c>
      <c r="J241" s="95">
        <v>15902</v>
      </c>
      <c r="K241" s="95">
        <v>16462</v>
      </c>
      <c r="L241" s="95">
        <v>16298</v>
      </c>
      <c r="M241" s="95">
        <v>15758</v>
      </c>
      <c r="N241" s="95">
        <v>14895</v>
      </c>
      <c r="O241" s="95">
        <v>14283</v>
      </c>
      <c r="P241" s="95">
        <v>13741</v>
      </c>
      <c r="Q241" s="121">
        <v>14121</v>
      </c>
      <c r="R241" s="121">
        <v>15477</v>
      </c>
      <c r="S241" s="121">
        <v>15838</v>
      </c>
      <c r="T241" s="121">
        <v>15790</v>
      </c>
      <c r="U241" s="149">
        <f t="shared" si="92"/>
        <v>-4.0821285384521927E-2</v>
      </c>
      <c r="V241" s="149">
        <f t="shared" si="93"/>
        <v>0.14911578487737429</v>
      </c>
      <c r="W241" s="149">
        <f t="shared" si="94"/>
        <v>-3.0306856926379596E-3</v>
      </c>
      <c r="X241" s="218">
        <f t="shared" si="96"/>
        <v>5.1084122187785103E-2</v>
      </c>
      <c r="Y241" s="219">
        <f t="shared" si="95"/>
        <v>-48</v>
      </c>
    </row>
    <row r="242" spans="1:25" x14ac:dyDescent="0.25">
      <c r="A242" s="67" t="s">
        <v>238</v>
      </c>
      <c r="B242" s="95">
        <v>3716</v>
      </c>
      <c r="C242" s="95">
        <v>4025</v>
      </c>
      <c r="D242" s="95">
        <v>4365</v>
      </c>
      <c r="E242" s="95">
        <v>5058</v>
      </c>
      <c r="F242" s="95">
        <v>5025</v>
      </c>
      <c r="G242" s="95">
        <v>5476</v>
      </c>
      <c r="H242" s="95">
        <v>5985</v>
      </c>
      <c r="I242" s="95">
        <v>5461</v>
      </c>
      <c r="J242" s="95">
        <v>5709</v>
      </c>
      <c r="K242" s="95">
        <v>5936</v>
      </c>
      <c r="L242" s="95">
        <v>6183</v>
      </c>
      <c r="M242" s="95">
        <v>6636</v>
      </c>
      <c r="N242" s="95">
        <v>6619</v>
      </c>
      <c r="O242" s="95">
        <v>6175</v>
      </c>
      <c r="P242" s="95">
        <v>6289</v>
      </c>
      <c r="Q242" s="121">
        <v>6517</v>
      </c>
      <c r="R242" s="121">
        <v>7204</v>
      </c>
      <c r="S242" s="121">
        <v>7351</v>
      </c>
      <c r="T242" s="121">
        <v>7334</v>
      </c>
      <c r="U242" s="149">
        <f t="shared" si="92"/>
        <v>0.23551212938005392</v>
      </c>
      <c r="V242" s="149">
        <f t="shared" si="93"/>
        <v>0.16616314199395771</v>
      </c>
      <c r="W242" s="149">
        <f t="shared" si="94"/>
        <v>-2.3126105291797036E-3</v>
      </c>
      <c r="X242" s="218">
        <f t="shared" si="96"/>
        <v>2.3727102731172636E-2</v>
      </c>
      <c r="Y242" s="219">
        <f t="shared" si="95"/>
        <v>-17</v>
      </c>
    </row>
    <row r="243" spans="1:25" x14ac:dyDescent="0.25">
      <c r="A243" s="67" t="s">
        <v>239</v>
      </c>
      <c r="B243" s="95">
        <v>7668</v>
      </c>
      <c r="C243" s="95">
        <v>8596</v>
      </c>
      <c r="D243" s="95">
        <v>10023</v>
      </c>
      <c r="E243" s="95">
        <v>11100</v>
      </c>
      <c r="F243" s="95">
        <v>11661</v>
      </c>
      <c r="G243" s="95">
        <v>12074</v>
      </c>
      <c r="H243" s="95">
        <v>12631</v>
      </c>
      <c r="I243" s="95">
        <v>12489</v>
      </c>
      <c r="J243" s="95">
        <v>13458</v>
      </c>
      <c r="K243" s="95">
        <v>13184</v>
      </c>
      <c r="L243" s="95">
        <v>12760</v>
      </c>
      <c r="M243" s="95">
        <v>12952</v>
      </c>
      <c r="N243" s="95">
        <v>12386</v>
      </c>
      <c r="O243" s="95">
        <v>11610</v>
      </c>
      <c r="P243" s="95">
        <v>10749</v>
      </c>
      <c r="Q243" s="121">
        <v>11734</v>
      </c>
      <c r="R243" s="121">
        <v>12438</v>
      </c>
      <c r="S243" s="121">
        <v>12725</v>
      </c>
      <c r="T243" s="121">
        <v>13207</v>
      </c>
      <c r="U243" s="149">
        <f t="shared" si="92"/>
        <v>1.7445388349514564E-3</v>
      </c>
      <c r="V243" s="149">
        <f t="shared" si="93"/>
        <v>0.22867243464508327</v>
      </c>
      <c r="W243" s="149">
        <f t="shared" si="94"/>
        <v>3.7878192534381142E-2</v>
      </c>
      <c r="X243" s="218">
        <f t="shared" si="96"/>
        <v>4.2727549191518548E-2</v>
      </c>
      <c r="Y243" s="219">
        <f t="shared" si="95"/>
        <v>482</v>
      </c>
    </row>
    <row r="244" spans="1:25" x14ac:dyDescent="0.25">
      <c r="A244" s="67" t="s">
        <v>240</v>
      </c>
      <c r="B244" s="95">
        <v>458</v>
      </c>
      <c r="C244" s="95">
        <v>478</v>
      </c>
      <c r="D244" s="95">
        <v>674</v>
      </c>
      <c r="E244" s="95">
        <v>751</v>
      </c>
      <c r="F244" s="95">
        <v>707</v>
      </c>
      <c r="G244" s="95">
        <v>656</v>
      </c>
      <c r="H244" s="95">
        <v>756</v>
      </c>
      <c r="I244" s="95">
        <v>952</v>
      </c>
      <c r="J244" s="95">
        <v>951</v>
      </c>
      <c r="K244" s="95">
        <v>1037</v>
      </c>
      <c r="L244" s="95">
        <v>1071</v>
      </c>
      <c r="M244" s="95">
        <v>1085</v>
      </c>
      <c r="N244" s="95">
        <v>1079</v>
      </c>
      <c r="O244" s="95">
        <v>1021</v>
      </c>
      <c r="P244" s="95">
        <v>957</v>
      </c>
      <c r="Q244" s="121">
        <v>857</v>
      </c>
      <c r="R244" s="121">
        <v>838</v>
      </c>
      <c r="S244" s="121">
        <v>906</v>
      </c>
      <c r="T244" s="121">
        <v>1223</v>
      </c>
      <c r="U244" s="149">
        <f t="shared" si="92"/>
        <v>0.17936354869816779</v>
      </c>
      <c r="V244" s="149">
        <f t="shared" si="93"/>
        <v>0.27795193312434691</v>
      </c>
      <c r="W244" s="149">
        <f t="shared" si="94"/>
        <v>0.34988962472406182</v>
      </c>
      <c r="X244" s="218">
        <f t="shared" si="96"/>
        <v>3.9566739351273705E-3</v>
      </c>
      <c r="Y244" s="219">
        <f t="shared" si="95"/>
        <v>317</v>
      </c>
    </row>
    <row r="245" spans="1:25" x14ac:dyDescent="0.25">
      <c r="A245" s="67" t="s">
        <v>241</v>
      </c>
      <c r="B245" s="95">
        <v>3175</v>
      </c>
      <c r="C245" s="95">
        <v>2161</v>
      </c>
      <c r="D245" s="95">
        <v>2364</v>
      </c>
      <c r="E245" s="95">
        <v>2665</v>
      </c>
      <c r="F245" s="95">
        <v>2536</v>
      </c>
      <c r="G245" s="95">
        <v>2195</v>
      </c>
      <c r="H245" s="95">
        <v>2454</v>
      </c>
      <c r="I245" s="95">
        <v>2412</v>
      </c>
      <c r="J245" s="95">
        <v>2576</v>
      </c>
      <c r="K245" s="95">
        <v>2727</v>
      </c>
      <c r="L245" s="95">
        <v>2709</v>
      </c>
      <c r="M245" s="95">
        <v>2455</v>
      </c>
      <c r="N245" s="95">
        <v>2435</v>
      </c>
      <c r="O245" s="95">
        <v>2083</v>
      </c>
      <c r="P245" s="95">
        <v>2142</v>
      </c>
      <c r="Q245" s="121">
        <v>2059</v>
      </c>
      <c r="R245" s="121">
        <v>2356</v>
      </c>
      <c r="S245" s="121">
        <v>2314</v>
      </c>
      <c r="T245" s="121">
        <v>2469</v>
      </c>
      <c r="U245" s="149">
        <f t="shared" si="92"/>
        <v>-9.4609460946094612E-2</v>
      </c>
      <c r="V245" s="149">
        <f t="shared" si="93"/>
        <v>0.15266106442577032</v>
      </c>
      <c r="W245" s="149">
        <f t="shared" si="94"/>
        <v>6.6983578219533282E-2</v>
      </c>
      <c r="X245" s="218">
        <f t="shared" si="96"/>
        <v>7.9877579279063592E-3</v>
      </c>
      <c r="Y245" s="219">
        <f t="shared" si="95"/>
        <v>155</v>
      </c>
    </row>
    <row r="246" spans="1:25" x14ac:dyDescent="0.25">
      <c r="A246" s="71" t="s">
        <v>0</v>
      </c>
      <c r="B246" s="21">
        <v>240922</v>
      </c>
      <c r="C246" s="21">
        <v>251659</v>
      </c>
      <c r="D246" s="21">
        <v>280169</v>
      </c>
      <c r="E246" s="21">
        <v>313394</v>
      </c>
      <c r="F246" s="21">
        <v>326546</v>
      </c>
      <c r="G246" s="21">
        <v>330972</v>
      </c>
      <c r="H246" s="21">
        <v>339884</v>
      </c>
      <c r="I246" s="21">
        <v>336352</v>
      </c>
      <c r="J246" s="21">
        <v>330237</v>
      </c>
      <c r="K246" s="21">
        <v>328415</v>
      </c>
      <c r="L246" s="21">
        <v>323982</v>
      </c>
      <c r="M246" s="21">
        <v>320769</v>
      </c>
      <c r="N246" s="21">
        <v>313351</v>
      </c>
      <c r="O246" s="21">
        <v>284767</v>
      </c>
      <c r="P246" s="21">
        <v>283011</v>
      </c>
      <c r="Q246" s="90">
        <v>281365</v>
      </c>
      <c r="R246" s="90">
        <v>303549</v>
      </c>
      <c r="S246" s="90">
        <v>304913</v>
      </c>
      <c r="T246" s="90">
        <v>309098</v>
      </c>
      <c r="U246" s="150">
        <f t="shared" si="92"/>
        <v>-5.8818872463194435E-2</v>
      </c>
      <c r="V246" s="150">
        <f t="shared" si="93"/>
        <v>9.2176629176957792E-2</v>
      </c>
      <c r="W246" s="150">
        <f t="shared" si="94"/>
        <v>1.3725226540029452E-2</v>
      </c>
      <c r="X246" s="220">
        <f t="shared" si="96"/>
        <v>1</v>
      </c>
      <c r="Y246" s="221">
        <f t="shared" si="95"/>
        <v>4185</v>
      </c>
    </row>
    <row r="247" spans="1:25" x14ac:dyDescent="0.25">
      <c r="A247" s="217"/>
      <c r="B247" s="48"/>
      <c r="C247" s="48"/>
      <c r="D247" s="48"/>
      <c r="E247" s="48"/>
      <c r="F247" s="48"/>
      <c r="G247" s="48"/>
      <c r="H247" s="48"/>
      <c r="I247" s="48"/>
      <c r="J247" s="48"/>
      <c r="K247" s="48"/>
      <c r="L247" s="48"/>
      <c r="M247" s="205"/>
      <c r="N247" s="48"/>
      <c r="O247" s="48"/>
      <c r="P247" s="48"/>
      <c r="Q247" s="48"/>
      <c r="R247" s="48"/>
      <c r="S247" s="48"/>
      <c r="T247" s="48"/>
      <c r="U247" s="210"/>
      <c r="V247" s="210"/>
      <c r="W247" s="210"/>
      <c r="X247" s="210"/>
      <c r="Y247" s="46"/>
    </row>
    <row r="248" spans="1:25" ht="15.75" x14ac:dyDescent="0.25">
      <c r="A248" s="22" t="s">
        <v>73</v>
      </c>
      <c r="B248" s="3"/>
      <c r="C248" s="3"/>
      <c r="D248" s="3"/>
      <c r="E248" s="3"/>
      <c r="F248" s="3"/>
      <c r="G248" s="3"/>
      <c r="H248" s="3"/>
      <c r="I248" s="3"/>
      <c r="J248" s="3"/>
      <c r="K248" s="3"/>
      <c r="L248" s="3"/>
      <c r="N248" s="3"/>
      <c r="O248" s="3"/>
      <c r="P248" s="3"/>
      <c r="Q248" s="3"/>
      <c r="R248" s="3"/>
      <c r="S248" s="3"/>
      <c r="T248" s="3"/>
      <c r="U248" s="3"/>
      <c r="V248" s="3"/>
      <c r="W248" s="3"/>
      <c r="X248" s="3"/>
      <c r="Y248" s="3"/>
    </row>
    <row r="249" spans="1:25" ht="44.1" customHeight="1" x14ac:dyDescent="0.25">
      <c r="A249" s="120" t="s">
        <v>54</v>
      </c>
      <c r="B249" s="105">
        <v>2007</v>
      </c>
      <c r="C249" s="105">
        <v>2008</v>
      </c>
      <c r="D249" s="105">
        <v>2009</v>
      </c>
      <c r="E249" s="105">
        <v>2010</v>
      </c>
      <c r="F249" s="105">
        <v>2011</v>
      </c>
      <c r="G249" s="105">
        <v>2012</v>
      </c>
      <c r="H249" s="105">
        <v>2013</v>
      </c>
      <c r="I249" s="105">
        <v>2014</v>
      </c>
      <c r="J249" s="105">
        <v>2015</v>
      </c>
      <c r="K249" s="105">
        <v>2016</v>
      </c>
      <c r="L249" s="105">
        <v>2017</v>
      </c>
      <c r="M249" s="132">
        <v>2018</v>
      </c>
      <c r="N249" s="105">
        <v>2019</v>
      </c>
      <c r="O249" s="105">
        <v>2020</v>
      </c>
      <c r="P249" s="105">
        <v>2021</v>
      </c>
      <c r="Q249" s="105">
        <v>2022</v>
      </c>
      <c r="R249" s="105">
        <v>2023</v>
      </c>
      <c r="S249" s="105">
        <v>2024</v>
      </c>
      <c r="T249" s="105">
        <v>2025</v>
      </c>
      <c r="U249" s="106" t="s">
        <v>546</v>
      </c>
      <c r="V249" s="106" t="s">
        <v>547</v>
      </c>
      <c r="W249" s="106" t="s">
        <v>548</v>
      </c>
      <c r="X249" s="106" t="s">
        <v>549</v>
      </c>
      <c r="Y249" s="216" t="s">
        <v>563</v>
      </c>
    </row>
    <row r="250" spans="1:25" x14ac:dyDescent="0.25">
      <c r="A250" s="88" t="s">
        <v>45</v>
      </c>
      <c r="B250" s="123">
        <v>111184</v>
      </c>
      <c r="C250" s="123">
        <v>122547</v>
      </c>
      <c r="D250" s="123">
        <v>136552</v>
      </c>
      <c r="E250" s="123">
        <v>153294</v>
      </c>
      <c r="F250" s="123">
        <v>168250</v>
      </c>
      <c r="G250" s="123">
        <v>177796</v>
      </c>
      <c r="H250" s="123">
        <v>186600</v>
      </c>
      <c r="I250" s="123">
        <v>197682</v>
      </c>
      <c r="J250" s="123">
        <v>209580</v>
      </c>
      <c r="K250" s="123">
        <v>223845</v>
      </c>
      <c r="L250" s="123">
        <v>228288</v>
      </c>
      <c r="M250" s="123">
        <v>234099</v>
      </c>
      <c r="N250" s="123">
        <v>236032</v>
      </c>
      <c r="O250" s="123">
        <v>222402</v>
      </c>
      <c r="P250" s="123">
        <v>227703</v>
      </c>
      <c r="Q250" s="123">
        <v>227954</v>
      </c>
      <c r="R250" s="123">
        <v>229709</v>
      </c>
      <c r="S250" s="123">
        <v>232300</v>
      </c>
      <c r="T250" s="123">
        <v>243287</v>
      </c>
      <c r="U250" s="149">
        <f t="shared" ref="U250:U260" si="97">(T250-K250)/K250</f>
        <v>8.6854743237508095E-2</v>
      </c>
      <c r="V250" s="149">
        <f t="shared" ref="V250:V260" si="98">(T250-P250)/P250</f>
        <v>6.844002933646022E-2</v>
      </c>
      <c r="W250" s="149">
        <f t="shared" ref="W250:W260" si="99">(T250-S250)/S250</f>
        <v>4.7296599225139908E-2</v>
      </c>
      <c r="X250" s="218">
        <f>T250/T$9</f>
        <v>0.18328858231174436</v>
      </c>
      <c r="Y250" s="219">
        <f t="shared" ref="Y250:Y260" si="100">T250-S250</f>
        <v>10987</v>
      </c>
    </row>
    <row r="251" spans="1:25" x14ac:dyDescent="0.25">
      <c r="A251" s="88" t="s">
        <v>46</v>
      </c>
      <c r="B251" s="123">
        <v>27453</v>
      </c>
      <c r="C251" s="123">
        <v>27604</v>
      </c>
      <c r="D251" s="123">
        <v>27668</v>
      </c>
      <c r="E251" s="123">
        <v>27521</v>
      </c>
      <c r="F251" s="123">
        <v>26778</v>
      </c>
      <c r="G251" s="123">
        <v>25965</v>
      </c>
      <c r="H251" s="123">
        <v>25748</v>
      </c>
      <c r="I251" s="123">
        <v>24912</v>
      </c>
      <c r="J251" s="123">
        <v>24967</v>
      </c>
      <c r="K251" s="123">
        <v>26041</v>
      </c>
      <c r="L251" s="123">
        <v>27330</v>
      </c>
      <c r="M251" s="123">
        <v>29117</v>
      </c>
      <c r="N251" s="123">
        <v>31371</v>
      </c>
      <c r="O251" s="123">
        <v>32619</v>
      </c>
      <c r="P251" s="123">
        <v>35717</v>
      </c>
      <c r="Q251" s="123">
        <v>36962</v>
      </c>
      <c r="R251" s="123">
        <v>39960</v>
      </c>
      <c r="S251" s="123">
        <v>42150</v>
      </c>
      <c r="T251" s="123">
        <v>44431</v>
      </c>
      <c r="U251" s="149">
        <f t="shared" si="97"/>
        <v>0.70619407856841132</v>
      </c>
      <c r="V251" s="149">
        <f t="shared" si="98"/>
        <v>0.2439734580171907</v>
      </c>
      <c r="W251" s="149">
        <f t="shared" si="99"/>
        <v>5.4116251482799527E-2</v>
      </c>
      <c r="X251" s="218">
        <f t="shared" ref="X251:X260" si="101">T251/T$9</f>
        <v>3.3473613471714944E-2</v>
      </c>
      <c r="Y251" s="219">
        <f t="shared" si="100"/>
        <v>2281</v>
      </c>
    </row>
    <row r="252" spans="1:25" x14ac:dyDescent="0.25">
      <c r="A252" s="88" t="s">
        <v>47</v>
      </c>
      <c r="B252" s="123">
        <v>49645</v>
      </c>
      <c r="C252" s="123">
        <v>49411</v>
      </c>
      <c r="D252" s="123">
        <v>50921</v>
      </c>
      <c r="E252" s="123">
        <v>53595</v>
      </c>
      <c r="F252" s="123">
        <v>54413</v>
      </c>
      <c r="G252" s="123">
        <v>53694</v>
      </c>
      <c r="H252" s="123">
        <v>53135</v>
      </c>
      <c r="I252" s="123">
        <v>52209</v>
      </c>
      <c r="J252" s="123">
        <v>52050</v>
      </c>
      <c r="K252" s="123">
        <v>52378</v>
      </c>
      <c r="L252" s="123">
        <v>53103</v>
      </c>
      <c r="M252" s="123">
        <v>55299</v>
      </c>
      <c r="N252" s="123">
        <v>57628</v>
      </c>
      <c r="O252" s="123">
        <v>58037</v>
      </c>
      <c r="P252" s="123">
        <v>60655</v>
      </c>
      <c r="Q252" s="123">
        <v>65326</v>
      </c>
      <c r="R252" s="123">
        <v>70747</v>
      </c>
      <c r="S252" s="123">
        <v>73429</v>
      </c>
      <c r="T252" s="123">
        <v>74082</v>
      </c>
      <c r="U252" s="149">
        <f t="shared" si="97"/>
        <v>0.41437244644698157</v>
      </c>
      <c r="V252" s="149">
        <f t="shared" si="98"/>
        <v>0.22136674635232051</v>
      </c>
      <c r="W252" s="149">
        <f t="shared" si="99"/>
        <v>8.8929442046058096E-3</v>
      </c>
      <c r="X252" s="218">
        <f t="shared" si="101"/>
        <v>5.5812208440313892E-2</v>
      </c>
      <c r="Y252" s="219">
        <f t="shared" si="100"/>
        <v>653</v>
      </c>
    </row>
    <row r="253" spans="1:25" x14ac:dyDescent="0.25">
      <c r="A253" s="88" t="s">
        <v>48</v>
      </c>
      <c r="B253" s="123">
        <v>15773</v>
      </c>
      <c r="C253" s="123">
        <v>16715</v>
      </c>
      <c r="D253" s="123">
        <v>17102</v>
      </c>
      <c r="E253" s="123">
        <v>17374</v>
      </c>
      <c r="F253" s="123">
        <v>17870</v>
      </c>
      <c r="G253" s="123">
        <v>17919</v>
      </c>
      <c r="H253" s="123">
        <v>19424</v>
      </c>
      <c r="I253" s="123">
        <v>20296</v>
      </c>
      <c r="J253" s="123">
        <v>20739</v>
      </c>
      <c r="K253" s="123">
        <v>20983</v>
      </c>
      <c r="L253" s="123">
        <v>20679</v>
      </c>
      <c r="M253" s="123">
        <v>20753</v>
      </c>
      <c r="N253" s="123">
        <v>21157</v>
      </c>
      <c r="O253" s="123">
        <v>21358</v>
      </c>
      <c r="P253" s="123">
        <v>22593</v>
      </c>
      <c r="Q253" s="123">
        <v>22501</v>
      </c>
      <c r="R253" s="123">
        <v>23062</v>
      </c>
      <c r="S253" s="123">
        <v>23381</v>
      </c>
      <c r="T253" s="123">
        <v>24567</v>
      </c>
      <c r="U253" s="149">
        <f t="shared" si="97"/>
        <v>0.1708049373302197</v>
      </c>
      <c r="V253" s="149">
        <f t="shared" si="98"/>
        <v>8.7372194927632457E-2</v>
      </c>
      <c r="W253" s="149">
        <f t="shared" si="99"/>
        <v>5.0724947607031348E-2</v>
      </c>
      <c r="X253" s="218">
        <f t="shared" si="101"/>
        <v>1.850838968647163E-2</v>
      </c>
      <c r="Y253" s="219">
        <f t="shared" si="100"/>
        <v>1186</v>
      </c>
    </row>
    <row r="254" spans="1:25" x14ac:dyDescent="0.25">
      <c r="A254" s="88" t="s">
        <v>49</v>
      </c>
      <c r="B254" s="123">
        <v>74763</v>
      </c>
      <c r="C254" s="123">
        <v>76411</v>
      </c>
      <c r="D254" s="123">
        <v>79952</v>
      </c>
      <c r="E254" s="123">
        <v>86035</v>
      </c>
      <c r="F254" s="123">
        <v>90993</v>
      </c>
      <c r="G254" s="123">
        <v>93314</v>
      </c>
      <c r="H254" s="123">
        <v>95901</v>
      </c>
      <c r="I254" s="123">
        <v>98499</v>
      </c>
      <c r="J254" s="123">
        <v>101203</v>
      </c>
      <c r="K254" s="123">
        <v>103460</v>
      </c>
      <c r="L254" s="123">
        <v>106849</v>
      </c>
      <c r="M254" s="123">
        <v>111010</v>
      </c>
      <c r="N254" s="123">
        <v>116921</v>
      </c>
      <c r="O254" s="123">
        <v>119289</v>
      </c>
      <c r="P254" s="123">
        <v>130760</v>
      </c>
      <c r="Q254" s="123">
        <v>135361</v>
      </c>
      <c r="R254" s="123">
        <v>139344</v>
      </c>
      <c r="S254" s="123">
        <v>141851</v>
      </c>
      <c r="T254" s="123">
        <v>146192</v>
      </c>
      <c r="U254" s="149">
        <f t="shared" si="97"/>
        <v>0.4130291900251305</v>
      </c>
      <c r="V254" s="149">
        <f t="shared" si="98"/>
        <v>0.11801774242887733</v>
      </c>
      <c r="W254" s="149">
        <f t="shared" si="99"/>
        <v>3.0602533644457919E-2</v>
      </c>
      <c r="X254" s="218">
        <f t="shared" si="101"/>
        <v>0.11013874323460987</v>
      </c>
      <c r="Y254" s="219">
        <f t="shared" si="100"/>
        <v>4341</v>
      </c>
    </row>
    <row r="255" spans="1:25" x14ac:dyDescent="0.25">
      <c r="A255" s="88" t="s">
        <v>7</v>
      </c>
      <c r="B255" s="123">
        <v>62277</v>
      </c>
      <c r="C255" s="123">
        <v>47330</v>
      </c>
      <c r="D255" s="123">
        <v>46482</v>
      </c>
      <c r="E255" s="123">
        <v>45196</v>
      </c>
      <c r="F255" s="123">
        <v>43783</v>
      </c>
      <c r="G255" s="123">
        <v>42270</v>
      </c>
      <c r="H255" s="123">
        <v>41368</v>
      </c>
      <c r="I255" s="123">
        <v>40689</v>
      </c>
      <c r="J255" s="123">
        <v>40445</v>
      </c>
      <c r="K255" s="123">
        <v>41438</v>
      </c>
      <c r="L255" s="123">
        <v>42246</v>
      </c>
      <c r="M255" s="123">
        <v>42828</v>
      </c>
      <c r="N255" s="123">
        <v>44570</v>
      </c>
      <c r="O255" s="123">
        <v>44998</v>
      </c>
      <c r="P255" s="123">
        <v>49548</v>
      </c>
      <c r="Q255" s="123">
        <v>50074</v>
      </c>
      <c r="R255" s="123">
        <v>51009</v>
      </c>
      <c r="S255" s="123">
        <v>51335</v>
      </c>
      <c r="T255" s="123">
        <v>52713</v>
      </c>
      <c r="U255" s="149">
        <f t="shared" si="97"/>
        <v>0.27209324774361698</v>
      </c>
      <c r="V255" s="149">
        <f t="shared" si="98"/>
        <v>6.3877452167595064E-2</v>
      </c>
      <c r="W255" s="149">
        <f t="shared" si="99"/>
        <v>2.6843284308951009E-2</v>
      </c>
      <c r="X255" s="218">
        <f t="shared" si="101"/>
        <v>3.971314143130944E-2</v>
      </c>
      <c r="Y255" s="219">
        <f t="shared" si="100"/>
        <v>1378</v>
      </c>
    </row>
    <row r="256" spans="1:25" x14ac:dyDescent="0.25">
      <c r="A256" s="88" t="s">
        <v>50</v>
      </c>
      <c r="B256" s="123">
        <v>115568</v>
      </c>
      <c r="C256" s="123">
        <v>119331</v>
      </c>
      <c r="D256" s="123">
        <v>125114</v>
      </c>
      <c r="E256" s="123">
        <v>136611</v>
      </c>
      <c r="F256" s="123">
        <v>143735</v>
      </c>
      <c r="G256" s="123">
        <v>146150</v>
      </c>
      <c r="H256" s="123">
        <v>142759</v>
      </c>
      <c r="I256" s="123">
        <v>139113</v>
      </c>
      <c r="J256" s="123">
        <v>135204</v>
      </c>
      <c r="K256" s="123">
        <v>136109</v>
      </c>
      <c r="L256" s="123">
        <v>137033</v>
      </c>
      <c r="M256" s="123">
        <v>141167</v>
      </c>
      <c r="N256" s="123">
        <v>140317</v>
      </c>
      <c r="O256" s="123">
        <v>129093</v>
      </c>
      <c r="P256" s="123">
        <v>122856</v>
      </c>
      <c r="Q256" s="123">
        <v>114421</v>
      </c>
      <c r="R256" s="123">
        <v>114256</v>
      </c>
      <c r="S256" s="123">
        <v>115773</v>
      </c>
      <c r="T256" s="123">
        <v>119037</v>
      </c>
      <c r="U256" s="149">
        <f t="shared" si="97"/>
        <v>-0.12542888420310191</v>
      </c>
      <c r="V256" s="149">
        <f t="shared" si="98"/>
        <v>-3.1085172885329165E-2</v>
      </c>
      <c r="W256" s="149">
        <f t="shared" si="99"/>
        <v>2.8193102018605375E-2</v>
      </c>
      <c r="X256" s="218">
        <f t="shared" si="101"/>
        <v>8.9680595233790183E-2</v>
      </c>
      <c r="Y256" s="219">
        <f t="shared" si="100"/>
        <v>3264</v>
      </c>
    </row>
    <row r="257" spans="1:25" x14ac:dyDescent="0.25">
      <c r="A257" s="88" t="s">
        <v>51</v>
      </c>
      <c r="B257" s="123">
        <v>8531</v>
      </c>
      <c r="C257" s="123">
        <v>9112</v>
      </c>
      <c r="D257" s="123">
        <v>9298</v>
      </c>
      <c r="E257" s="123">
        <v>9920</v>
      </c>
      <c r="F257" s="123">
        <v>10266</v>
      </c>
      <c r="G257" s="123">
        <v>10063</v>
      </c>
      <c r="H257" s="123">
        <v>10096</v>
      </c>
      <c r="I257" s="123">
        <v>10085</v>
      </c>
      <c r="J257" s="123">
        <v>9719</v>
      </c>
      <c r="K257" s="123">
        <v>9680</v>
      </c>
      <c r="L257" s="123">
        <v>9539</v>
      </c>
      <c r="M257" s="123">
        <v>9566</v>
      </c>
      <c r="N257" s="123">
        <v>9206</v>
      </c>
      <c r="O257" s="123">
        <v>8419</v>
      </c>
      <c r="P257" s="123">
        <v>8478</v>
      </c>
      <c r="Q257" s="123">
        <v>8508</v>
      </c>
      <c r="R257" s="123">
        <v>8748</v>
      </c>
      <c r="S257" s="123">
        <v>8862</v>
      </c>
      <c r="T257" s="123">
        <v>8617</v>
      </c>
      <c r="U257" s="149">
        <f t="shared" si="97"/>
        <v>-0.10981404958677686</v>
      </c>
      <c r="V257" s="149">
        <f t="shared" si="98"/>
        <v>1.6395376267987732E-2</v>
      </c>
      <c r="W257" s="149">
        <f t="shared" si="99"/>
        <v>-2.7646129541864139E-2</v>
      </c>
      <c r="X257" s="218">
        <f t="shared" si="101"/>
        <v>6.4919116672091035E-3</v>
      </c>
      <c r="Y257" s="219">
        <f t="shared" si="100"/>
        <v>-245</v>
      </c>
    </row>
    <row r="258" spans="1:25" x14ac:dyDescent="0.25">
      <c r="A258" s="88" t="s">
        <v>52</v>
      </c>
      <c r="B258" s="123">
        <v>102883</v>
      </c>
      <c r="C258" s="123">
        <v>119072</v>
      </c>
      <c r="D258" s="123">
        <v>139873</v>
      </c>
      <c r="E258" s="123">
        <v>166222</v>
      </c>
      <c r="F258" s="123">
        <v>191572</v>
      </c>
      <c r="G258" s="123">
        <v>208484</v>
      </c>
      <c r="H258" s="123">
        <v>214522</v>
      </c>
      <c r="I258" s="123">
        <v>218476</v>
      </c>
      <c r="J258" s="123">
        <v>222217</v>
      </c>
      <c r="K258" s="123">
        <v>224265</v>
      </c>
      <c r="L258" s="123">
        <v>224583</v>
      </c>
      <c r="M258" s="123">
        <v>224770</v>
      </c>
      <c r="N258" s="123">
        <v>222776</v>
      </c>
      <c r="O258" s="123">
        <v>217676</v>
      </c>
      <c r="P258" s="123">
        <v>238606</v>
      </c>
      <c r="Q258" s="123">
        <v>238282</v>
      </c>
      <c r="R258" s="123">
        <v>242059</v>
      </c>
      <c r="S258" s="123">
        <v>242033</v>
      </c>
      <c r="T258" s="123">
        <v>244671</v>
      </c>
      <c r="U258" s="149">
        <f t="shared" si="97"/>
        <v>9.0990569192696144E-2</v>
      </c>
      <c r="V258" s="149">
        <f t="shared" si="98"/>
        <v>2.5418472293236551E-2</v>
      </c>
      <c r="W258" s="149">
        <f t="shared" si="99"/>
        <v>1.089934017262109E-2</v>
      </c>
      <c r="X258" s="218">
        <f t="shared" si="101"/>
        <v>0.1843312660470835</v>
      </c>
      <c r="Y258" s="219">
        <f t="shared" si="100"/>
        <v>2638</v>
      </c>
    </row>
    <row r="259" spans="1:25" x14ac:dyDescent="0.25">
      <c r="A259" s="88" t="s">
        <v>53</v>
      </c>
      <c r="B259" s="123">
        <v>180267</v>
      </c>
      <c r="C259" s="123">
        <v>195816</v>
      </c>
      <c r="D259" s="123">
        <v>216378</v>
      </c>
      <c r="E259" s="123">
        <v>242490</v>
      </c>
      <c r="F259" s="123">
        <v>267417</v>
      </c>
      <c r="G259" s="123">
        <v>289161</v>
      </c>
      <c r="H259" s="123">
        <v>324724</v>
      </c>
      <c r="I259" s="123">
        <v>342420</v>
      </c>
      <c r="J259" s="123">
        <v>349782</v>
      </c>
      <c r="K259" s="123">
        <v>340281</v>
      </c>
      <c r="L259" s="123">
        <v>327642</v>
      </c>
      <c r="M259" s="123">
        <v>319436</v>
      </c>
      <c r="N259" s="123">
        <v>314481</v>
      </c>
      <c r="O259" s="123">
        <v>297943</v>
      </c>
      <c r="P259" s="123">
        <v>307460</v>
      </c>
      <c r="Q259" s="123">
        <v>314622</v>
      </c>
      <c r="R259" s="123">
        <v>330525</v>
      </c>
      <c r="S259" s="123">
        <v>346497</v>
      </c>
      <c r="T259" s="123">
        <v>369747</v>
      </c>
      <c r="U259" s="149">
        <f t="shared" si="97"/>
        <v>8.6593139199661454E-2</v>
      </c>
      <c r="V259" s="149">
        <f t="shared" si="98"/>
        <v>0.20258570220516489</v>
      </c>
      <c r="W259" s="149">
        <f t="shared" si="99"/>
        <v>6.7100148053229905E-2</v>
      </c>
      <c r="X259" s="218">
        <f t="shared" si="101"/>
        <v>0.2785615484757531</v>
      </c>
      <c r="Y259" s="219">
        <f t="shared" si="100"/>
        <v>23250</v>
      </c>
    </row>
    <row r="260" spans="1:25" x14ac:dyDescent="0.25">
      <c r="A260" s="92" t="s">
        <v>0</v>
      </c>
      <c r="B260" s="222">
        <v>748344</v>
      </c>
      <c r="C260" s="222">
        <v>783349</v>
      </c>
      <c r="D260" s="222">
        <v>849340</v>
      </c>
      <c r="E260" s="222">
        <v>938258</v>
      </c>
      <c r="F260" s="222">
        <v>1015077</v>
      </c>
      <c r="G260" s="222">
        <v>1064816</v>
      </c>
      <c r="H260" s="222">
        <v>1114277</v>
      </c>
      <c r="I260" s="222">
        <v>1144381</v>
      </c>
      <c r="J260" s="222">
        <v>1165906</v>
      </c>
      <c r="K260" s="222">
        <v>1178480</v>
      </c>
      <c r="L260" s="222">
        <v>1177292</v>
      </c>
      <c r="M260" s="222">
        <v>1188045</v>
      </c>
      <c r="N260" s="222">
        <v>1194459</v>
      </c>
      <c r="O260" s="222">
        <v>1151834</v>
      </c>
      <c r="P260" s="222">
        <v>1204376</v>
      </c>
      <c r="Q260" s="222">
        <v>1214011</v>
      </c>
      <c r="R260" s="222">
        <v>1249419</v>
      </c>
      <c r="S260" s="222">
        <v>1277611</v>
      </c>
      <c r="T260" s="222">
        <v>1327344</v>
      </c>
      <c r="U260" s="150">
        <f t="shared" si="97"/>
        <v>0.1263186477496436</v>
      </c>
      <c r="V260" s="150">
        <f t="shared" si="98"/>
        <v>0.10210100500176025</v>
      </c>
      <c r="W260" s="150">
        <f t="shared" si="99"/>
        <v>3.8926559023051616E-2</v>
      </c>
      <c r="X260" s="220">
        <f t="shared" si="101"/>
        <v>1</v>
      </c>
      <c r="Y260" s="221">
        <f t="shared" si="100"/>
        <v>49733</v>
      </c>
    </row>
    <row r="261" spans="1:25" s="42" customFormat="1" x14ac:dyDescent="0.25">
      <c r="Y261" s="274">
        <f>Y250+Y259</f>
        <v>34237</v>
      </c>
    </row>
    <row r="262" spans="1:25" ht="18" x14ac:dyDescent="0.25">
      <c r="A262" s="22" t="s">
        <v>119</v>
      </c>
      <c r="B262" s="22"/>
      <c r="C262" s="22"/>
      <c r="D262" s="22"/>
      <c r="E262" s="22"/>
      <c r="F262" s="22"/>
      <c r="G262" s="22"/>
      <c r="H262" s="22"/>
      <c r="I262" s="3"/>
      <c r="J262" s="3"/>
      <c r="K262" s="3"/>
      <c r="L262" s="3"/>
      <c r="N262" s="3"/>
      <c r="O262" s="3"/>
      <c r="P262" s="3"/>
      <c r="Q262" s="3"/>
      <c r="R262" s="3"/>
      <c r="S262" s="3"/>
      <c r="T262" s="3"/>
      <c r="U262" s="27"/>
      <c r="V262" s="27"/>
      <c r="W262" s="27"/>
      <c r="X262" s="27"/>
      <c r="Y262" s="28">
        <f>Y261/Y260</f>
        <v>0.68841614219934455</v>
      </c>
    </row>
    <row r="263" spans="1:25" ht="44.1" customHeight="1" x14ac:dyDescent="0.25">
      <c r="A263" s="120" t="s">
        <v>54</v>
      </c>
      <c r="B263" s="105">
        <v>2007</v>
      </c>
      <c r="C263" s="105">
        <v>2008</v>
      </c>
      <c r="D263" s="105">
        <v>2009</v>
      </c>
      <c r="E263" s="105">
        <v>2010</v>
      </c>
      <c r="F263" s="105">
        <v>2011</v>
      </c>
      <c r="G263" s="105">
        <v>2012</v>
      </c>
      <c r="H263" s="105">
        <v>2013</v>
      </c>
      <c r="I263" s="105">
        <v>2014</v>
      </c>
      <c r="J263" s="105">
        <v>2015</v>
      </c>
      <c r="K263" s="105">
        <v>2016</v>
      </c>
      <c r="L263" s="105">
        <v>2017</v>
      </c>
      <c r="M263" s="132">
        <v>2018</v>
      </c>
      <c r="N263" s="105">
        <v>2019</v>
      </c>
      <c r="O263" s="105">
        <v>2020</v>
      </c>
      <c r="P263" s="105">
        <v>2021</v>
      </c>
      <c r="Q263" s="105">
        <v>2022</v>
      </c>
      <c r="R263" s="105">
        <v>2023</v>
      </c>
      <c r="S263" s="105">
        <v>2024</v>
      </c>
      <c r="T263" s="105">
        <v>2025</v>
      </c>
      <c r="U263" s="106" t="s">
        <v>546</v>
      </c>
      <c r="V263" s="106" t="s">
        <v>547</v>
      </c>
      <c r="W263" s="106" t="s">
        <v>548</v>
      </c>
      <c r="X263" s="106" t="s">
        <v>549</v>
      </c>
      <c r="Y263" s="216" t="s">
        <v>563</v>
      </c>
    </row>
    <row r="264" spans="1:25" x14ac:dyDescent="0.25">
      <c r="A264" s="88" t="s">
        <v>45</v>
      </c>
      <c r="B264" s="123">
        <v>42801</v>
      </c>
      <c r="C264" s="123">
        <v>46369</v>
      </c>
      <c r="D264" s="123">
        <v>51394</v>
      </c>
      <c r="E264" s="123">
        <v>56480</v>
      </c>
      <c r="F264" s="123">
        <v>60797</v>
      </c>
      <c r="G264" s="123">
        <v>61312</v>
      </c>
      <c r="H264" s="123">
        <v>62917</v>
      </c>
      <c r="I264" s="123">
        <v>67589</v>
      </c>
      <c r="J264" s="123">
        <v>70257</v>
      </c>
      <c r="K264" s="123">
        <v>73033</v>
      </c>
      <c r="L264" s="123">
        <v>72165</v>
      </c>
      <c r="M264" s="123">
        <v>71261</v>
      </c>
      <c r="N264" s="123">
        <v>70714</v>
      </c>
      <c r="O264" s="123">
        <v>61380</v>
      </c>
      <c r="P264" s="123">
        <v>63922</v>
      </c>
      <c r="Q264" s="123">
        <v>64223</v>
      </c>
      <c r="R264" s="123">
        <v>66295</v>
      </c>
      <c r="S264" s="123">
        <v>68687</v>
      </c>
      <c r="T264" s="123">
        <v>73917</v>
      </c>
      <c r="U264" s="149">
        <f t="shared" ref="U264:U274" si="102">(T264-K264)/K264</f>
        <v>1.2104117316829378E-2</v>
      </c>
      <c r="V264" s="149">
        <f t="shared" ref="V264:V274" si="103">(T264-P264)/P264</f>
        <v>0.1563624417258534</v>
      </c>
      <c r="W264" s="149">
        <f t="shared" ref="W264:W274" si="104">(T264-S264)/S264</f>
        <v>7.6142501492276554E-2</v>
      </c>
      <c r="X264" s="218">
        <f>T264/T$16</f>
        <v>0.20381394604997946</v>
      </c>
      <c r="Y264" s="219">
        <f t="shared" ref="Y264:Y274" si="105">T264-S264</f>
        <v>5230</v>
      </c>
    </row>
    <row r="265" spans="1:25" x14ac:dyDescent="0.25">
      <c r="A265" s="88" t="s">
        <v>46</v>
      </c>
      <c r="B265" s="123">
        <v>6733</v>
      </c>
      <c r="C265" s="123">
        <v>6683</v>
      </c>
      <c r="D265" s="123">
        <v>6931</v>
      </c>
      <c r="E265" s="123">
        <v>6468</v>
      </c>
      <c r="F265" s="123">
        <v>6284</v>
      </c>
      <c r="G265" s="123">
        <v>6184</v>
      </c>
      <c r="H265" s="123">
        <v>6048</v>
      </c>
      <c r="I265" s="123">
        <v>5925</v>
      </c>
      <c r="J265" s="123">
        <v>6548</v>
      </c>
      <c r="K265" s="123">
        <v>7318</v>
      </c>
      <c r="L265" s="123">
        <v>7788</v>
      </c>
      <c r="M265" s="123">
        <v>8195</v>
      </c>
      <c r="N265" s="123">
        <v>8805</v>
      </c>
      <c r="O265" s="123">
        <v>8770</v>
      </c>
      <c r="P265" s="123">
        <v>9599</v>
      </c>
      <c r="Q265" s="123">
        <v>9534</v>
      </c>
      <c r="R265" s="123">
        <v>10799</v>
      </c>
      <c r="S265" s="123">
        <v>11243</v>
      </c>
      <c r="T265" s="123">
        <v>11421</v>
      </c>
      <c r="U265" s="149">
        <f t="shared" si="102"/>
        <v>0.56067231484012026</v>
      </c>
      <c r="V265" s="149">
        <f t="shared" si="103"/>
        <v>0.18981143869153036</v>
      </c>
      <c r="W265" s="149">
        <f t="shared" si="104"/>
        <v>1.5832073290047141E-2</v>
      </c>
      <c r="X265" s="218">
        <f t="shared" ref="X265:X274" si="106">T265/T$16</f>
        <v>3.1491525330259826E-2</v>
      </c>
      <c r="Y265" s="219">
        <f t="shared" si="105"/>
        <v>178</v>
      </c>
    </row>
    <row r="266" spans="1:25" x14ac:dyDescent="0.25">
      <c r="A266" s="88" t="s">
        <v>47</v>
      </c>
      <c r="B266" s="123">
        <v>14982</v>
      </c>
      <c r="C266" s="123">
        <v>15099</v>
      </c>
      <c r="D266" s="123">
        <v>15467</v>
      </c>
      <c r="E266" s="123">
        <v>16331</v>
      </c>
      <c r="F266" s="123">
        <v>15653</v>
      </c>
      <c r="G266" s="123">
        <v>15499</v>
      </c>
      <c r="H266" s="123">
        <v>15779</v>
      </c>
      <c r="I266" s="123">
        <v>15213</v>
      </c>
      <c r="J266" s="123">
        <v>15472</v>
      </c>
      <c r="K266" s="123">
        <v>15738</v>
      </c>
      <c r="L266" s="123">
        <v>15859</v>
      </c>
      <c r="M266" s="123">
        <v>16574</v>
      </c>
      <c r="N266" s="123">
        <v>17937</v>
      </c>
      <c r="O266" s="123">
        <v>17327</v>
      </c>
      <c r="P266" s="123">
        <v>17048</v>
      </c>
      <c r="Q266" s="123">
        <v>20086</v>
      </c>
      <c r="R266" s="123">
        <v>21858</v>
      </c>
      <c r="S266" s="123">
        <v>21090</v>
      </c>
      <c r="T266" s="123">
        <v>19450</v>
      </c>
      <c r="U266" s="149">
        <f t="shared" si="102"/>
        <v>0.23586224424958699</v>
      </c>
      <c r="V266" s="149">
        <f t="shared" si="103"/>
        <v>0.14089629282027216</v>
      </c>
      <c r="W266" s="149">
        <f t="shared" si="104"/>
        <v>-7.7761972498814599E-2</v>
      </c>
      <c r="X266" s="218">
        <f t="shared" si="106"/>
        <v>5.3630169658834916E-2</v>
      </c>
      <c r="Y266" s="219">
        <f t="shared" si="105"/>
        <v>-1640</v>
      </c>
    </row>
    <row r="267" spans="1:25" x14ac:dyDescent="0.25">
      <c r="A267" s="88" t="s">
        <v>48</v>
      </c>
      <c r="B267" s="123">
        <v>5157</v>
      </c>
      <c r="C267" s="123">
        <v>5509</v>
      </c>
      <c r="D267" s="123">
        <v>5517</v>
      </c>
      <c r="E267" s="123">
        <v>5684</v>
      </c>
      <c r="F267" s="123">
        <v>5744</v>
      </c>
      <c r="G267" s="123">
        <v>5789</v>
      </c>
      <c r="H267" s="123">
        <v>6836</v>
      </c>
      <c r="I267" s="123">
        <v>6984</v>
      </c>
      <c r="J267" s="123">
        <v>6854</v>
      </c>
      <c r="K267" s="123">
        <v>6637</v>
      </c>
      <c r="L267" s="123">
        <v>6297</v>
      </c>
      <c r="M267" s="123">
        <v>6268</v>
      </c>
      <c r="N267" s="123">
        <v>6316</v>
      </c>
      <c r="O267" s="123">
        <v>6201</v>
      </c>
      <c r="P267" s="123">
        <v>5686</v>
      </c>
      <c r="Q267" s="123">
        <v>5533</v>
      </c>
      <c r="R267" s="123">
        <v>6309</v>
      </c>
      <c r="S267" s="123">
        <v>6241</v>
      </c>
      <c r="T267" s="123">
        <v>6617</v>
      </c>
      <c r="U267" s="149">
        <f t="shared" si="102"/>
        <v>-3.0134096730450506E-3</v>
      </c>
      <c r="V267" s="149">
        <f t="shared" si="103"/>
        <v>0.16373549067886037</v>
      </c>
      <c r="W267" s="149">
        <f t="shared" si="104"/>
        <v>6.0246755327671847E-2</v>
      </c>
      <c r="X267" s="218">
        <f t="shared" si="106"/>
        <v>1.8245287024807745E-2</v>
      </c>
      <c r="Y267" s="219">
        <f t="shared" si="105"/>
        <v>376</v>
      </c>
    </row>
    <row r="268" spans="1:25" x14ac:dyDescent="0.25">
      <c r="A268" s="88" t="s">
        <v>49</v>
      </c>
      <c r="B268" s="123">
        <v>20388</v>
      </c>
      <c r="C268" s="123">
        <v>20955</v>
      </c>
      <c r="D268" s="123">
        <v>23130</v>
      </c>
      <c r="E268" s="123">
        <v>25139</v>
      </c>
      <c r="F268" s="123">
        <v>25099</v>
      </c>
      <c r="G268" s="123">
        <v>25249</v>
      </c>
      <c r="H268" s="123">
        <v>25537</v>
      </c>
      <c r="I268" s="123">
        <v>25345</v>
      </c>
      <c r="J268" s="123">
        <v>26238</v>
      </c>
      <c r="K268" s="123">
        <v>28390</v>
      </c>
      <c r="L268" s="123">
        <v>30293</v>
      </c>
      <c r="M268" s="123">
        <v>30981</v>
      </c>
      <c r="N268" s="123">
        <v>31699</v>
      </c>
      <c r="O268" s="123">
        <v>30483</v>
      </c>
      <c r="P268" s="123">
        <v>33065</v>
      </c>
      <c r="Q268" s="123">
        <v>31823</v>
      </c>
      <c r="R268" s="123">
        <v>34263</v>
      </c>
      <c r="S268" s="123">
        <v>33554</v>
      </c>
      <c r="T268" s="123">
        <v>34284</v>
      </c>
      <c r="U268" s="149">
        <f t="shared" si="102"/>
        <v>0.20760831278619232</v>
      </c>
      <c r="V268" s="149">
        <f t="shared" si="103"/>
        <v>3.686677755935279E-2</v>
      </c>
      <c r="W268" s="149">
        <f t="shared" si="104"/>
        <v>2.1755975442570186E-2</v>
      </c>
      <c r="X268" s="218">
        <f t="shared" si="106"/>
        <v>9.453248002999981E-2</v>
      </c>
      <c r="Y268" s="219">
        <f t="shared" si="105"/>
        <v>730</v>
      </c>
    </row>
    <row r="269" spans="1:25" x14ac:dyDescent="0.25">
      <c r="A269" s="88" t="s">
        <v>7</v>
      </c>
      <c r="B269" s="123">
        <v>21005</v>
      </c>
      <c r="C269" s="123">
        <v>12893</v>
      </c>
      <c r="D269" s="123">
        <v>12428</v>
      </c>
      <c r="E269" s="123">
        <v>11448</v>
      </c>
      <c r="F269" s="123">
        <v>10602</v>
      </c>
      <c r="G269" s="123">
        <v>9815</v>
      </c>
      <c r="H269" s="123">
        <v>8772</v>
      </c>
      <c r="I269" s="123">
        <v>9044</v>
      </c>
      <c r="J269" s="123">
        <v>9051</v>
      </c>
      <c r="K269" s="123">
        <v>9350</v>
      </c>
      <c r="L269" s="123">
        <v>9910</v>
      </c>
      <c r="M269" s="123">
        <v>10203</v>
      </c>
      <c r="N269" s="123">
        <v>10391</v>
      </c>
      <c r="O269" s="123">
        <v>10405</v>
      </c>
      <c r="P269" s="123">
        <v>11046</v>
      </c>
      <c r="Q269" s="123">
        <v>10620</v>
      </c>
      <c r="R269" s="123">
        <v>11548</v>
      </c>
      <c r="S269" s="123">
        <v>11401</v>
      </c>
      <c r="T269" s="123">
        <v>11362</v>
      </c>
      <c r="U269" s="149">
        <f t="shared" si="102"/>
        <v>0.21518716577540106</v>
      </c>
      <c r="V269" s="149">
        <f t="shared" si="103"/>
        <v>2.8607640774941157E-2</v>
      </c>
      <c r="W269" s="149">
        <f t="shared" si="104"/>
        <v>-3.4207525655644243E-3</v>
      </c>
      <c r="X269" s="218">
        <f t="shared" si="106"/>
        <v>3.1328842553402687E-2</v>
      </c>
      <c r="Y269" s="219">
        <f t="shared" si="105"/>
        <v>-39</v>
      </c>
    </row>
    <row r="270" spans="1:25" x14ac:dyDescent="0.25">
      <c r="A270" s="88" t="s">
        <v>50</v>
      </c>
      <c r="B270" s="123">
        <v>33211</v>
      </c>
      <c r="C270" s="123">
        <v>34670</v>
      </c>
      <c r="D270" s="123">
        <v>38984</v>
      </c>
      <c r="E270" s="123">
        <v>44422</v>
      </c>
      <c r="F270" s="123">
        <v>44068</v>
      </c>
      <c r="G270" s="123">
        <v>42735</v>
      </c>
      <c r="H270" s="123">
        <v>38852</v>
      </c>
      <c r="I270" s="123">
        <v>36668</v>
      </c>
      <c r="J270" s="123">
        <v>36758</v>
      </c>
      <c r="K270" s="123">
        <v>39876</v>
      </c>
      <c r="L270" s="123">
        <v>41105</v>
      </c>
      <c r="M270" s="123">
        <v>45741</v>
      </c>
      <c r="N270" s="123">
        <v>39960</v>
      </c>
      <c r="O270" s="123">
        <v>34929</v>
      </c>
      <c r="P270" s="123">
        <v>30016</v>
      </c>
      <c r="Q270" s="123">
        <v>27824</v>
      </c>
      <c r="R270" s="123">
        <v>32970</v>
      </c>
      <c r="S270" s="123">
        <v>33420</v>
      </c>
      <c r="T270" s="123">
        <v>33437</v>
      </c>
      <c r="U270" s="149">
        <f t="shared" si="102"/>
        <v>-0.16147557428026885</v>
      </c>
      <c r="V270" s="149">
        <f t="shared" si="103"/>
        <v>0.11397254797441364</v>
      </c>
      <c r="W270" s="149">
        <f t="shared" si="104"/>
        <v>5.0867743865948539E-4</v>
      </c>
      <c r="X270" s="218">
        <f t="shared" si="106"/>
        <v>9.2197017114779595E-2</v>
      </c>
      <c r="Y270" s="219">
        <f t="shared" si="105"/>
        <v>17</v>
      </c>
    </row>
    <row r="271" spans="1:25" x14ac:dyDescent="0.25">
      <c r="A271" s="88" t="s">
        <v>51</v>
      </c>
      <c r="B271" s="123">
        <v>3067</v>
      </c>
      <c r="C271" s="123">
        <v>3246</v>
      </c>
      <c r="D271" s="123">
        <v>3228</v>
      </c>
      <c r="E271" s="123">
        <v>3453</v>
      </c>
      <c r="F271" s="123">
        <v>3379</v>
      </c>
      <c r="G271" s="123">
        <v>3259</v>
      </c>
      <c r="H271" s="123">
        <v>3318</v>
      </c>
      <c r="I271" s="123">
        <v>3095</v>
      </c>
      <c r="J271" s="123">
        <v>3063</v>
      </c>
      <c r="K271" s="123">
        <v>2947</v>
      </c>
      <c r="L271" s="123">
        <v>2964</v>
      </c>
      <c r="M271" s="123">
        <v>2861</v>
      </c>
      <c r="N271" s="123">
        <v>2676</v>
      </c>
      <c r="O271" s="123">
        <v>2209</v>
      </c>
      <c r="P271" s="123">
        <v>2293</v>
      </c>
      <c r="Q271" s="123">
        <v>2406</v>
      </c>
      <c r="R271" s="123">
        <v>2595</v>
      </c>
      <c r="S271" s="123">
        <v>2438</v>
      </c>
      <c r="T271" s="123">
        <v>2028</v>
      </c>
      <c r="U271" s="149">
        <f t="shared" si="102"/>
        <v>-0.31184255174753989</v>
      </c>
      <c r="V271" s="149">
        <f t="shared" si="103"/>
        <v>-0.11556912341910161</v>
      </c>
      <c r="W271" s="149">
        <f t="shared" si="104"/>
        <v>-0.16817063166529941</v>
      </c>
      <c r="X271" s="218">
        <f t="shared" si="106"/>
        <v>5.591875787563867E-3</v>
      </c>
      <c r="Y271" s="219">
        <f t="shared" si="105"/>
        <v>-410</v>
      </c>
    </row>
    <row r="272" spans="1:25" x14ac:dyDescent="0.25">
      <c r="A272" s="88" t="s">
        <v>52</v>
      </c>
      <c r="B272" s="123">
        <v>34582</v>
      </c>
      <c r="C272" s="123">
        <v>41318</v>
      </c>
      <c r="D272" s="123">
        <v>48536</v>
      </c>
      <c r="E272" s="123">
        <v>58878</v>
      </c>
      <c r="F272" s="123">
        <v>63514</v>
      </c>
      <c r="G272" s="123">
        <v>65050</v>
      </c>
      <c r="H272" s="123">
        <v>59913</v>
      </c>
      <c r="I272" s="123">
        <v>57840</v>
      </c>
      <c r="J272" s="123">
        <v>57655</v>
      </c>
      <c r="K272" s="123">
        <v>57971</v>
      </c>
      <c r="L272" s="123">
        <v>58368</v>
      </c>
      <c r="M272" s="123">
        <v>56487</v>
      </c>
      <c r="N272" s="123">
        <v>54201</v>
      </c>
      <c r="O272" s="123">
        <v>51569</v>
      </c>
      <c r="P272" s="123">
        <v>58868</v>
      </c>
      <c r="Q272" s="123">
        <v>60243</v>
      </c>
      <c r="R272" s="123">
        <v>62984</v>
      </c>
      <c r="S272" s="123">
        <v>61819</v>
      </c>
      <c r="T272" s="123">
        <v>61799</v>
      </c>
      <c r="U272" s="149">
        <f t="shared" si="102"/>
        <v>6.6033016508254133E-2</v>
      </c>
      <c r="V272" s="149">
        <f t="shared" si="103"/>
        <v>4.9789359244411226E-2</v>
      </c>
      <c r="W272" s="149">
        <f t="shared" si="104"/>
        <v>-3.2352512981445835E-4</v>
      </c>
      <c r="X272" s="218">
        <f t="shared" si="106"/>
        <v>0.17040055808464469</v>
      </c>
      <c r="Y272" s="219">
        <f t="shared" si="105"/>
        <v>-20</v>
      </c>
    </row>
    <row r="273" spans="1:26" x14ac:dyDescent="0.25">
      <c r="A273" s="88" t="s">
        <v>53</v>
      </c>
      <c r="B273" s="123">
        <v>61453</v>
      </c>
      <c r="C273" s="123">
        <v>66222</v>
      </c>
      <c r="D273" s="123">
        <v>76032</v>
      </c>
      <c r="E273" s="123">
        <v>86755</v>
      </c>
      <c r="F273" s="123">
        <v>93183</v>
      </c>
      <c r="G273" s="123">
        <v>97936</v>
      </c>
      <c r="H273" s="123">
        <v>115028</v>
      </c>
      <c r="I273" s="123">
        <v>113757</v>
      </c>
      <c r="J273" s="123">
        <v>105863</v>
      </c>
      <c r="K273" s="123">
        <v>96646</v>
      </c>
      <c r="L273" s="123">
        <v>90522</v>
      </c>
      <c r="M273" s="123">
        <v>86319</v>
      </c>
      <c r="N273" s="123">
        <v>87954</v>
      </c>
      <c r="O273" s="123">
        <v>80149</v>
      </c>
      <c r="P273" s="123">
        <v>82908</v>
      </c>
      <c r="Q273" s="123">
        <v>86119</v>
      </c>
      <c r="R273" s="123">
        <v>95908</v>
      </c>
      <c r="S273" s="123">
        <v>100790</v>
      </c>
      <c r="T273" s="123">
        <v>108354</v>
      </c>
      <c r="U273" s="149">
        <f t="shared" si="102"/>
        <v>0.12114314094737495</v>
      </c>
      <c r="V273" s="149">
        <f t="shared" si="103"/>
        <v>0.30691851208568532</v>
      </c>
      <c r="W273" s="149">
        <f t="shared" si="104"/>
        <v>7.504712769123921E-2</v>
      </c>
      <c r="X273" s="218">
        <f t="shared" si="106"/>
        <v>0.29876829836572744</v>
      </c>
      <c r="Y273" s="219">
        <f t="shared" si="105"/>
        <v>7564</v>
      </c>
      <c r="Z273" s="273"/>
    </row>
    <row r="274" spans="1:26" s="42" customFormat="1" x14ac:dyDescent="0.25">
      <c r="A274" s="92" t="s">
        <v>0</v>
      </c>
      <c r="B274" s="89">
        <v>243379</v>
      </c>
      <c r="C274" s="89">
        <v>252964</v>
      </c>
      <c r="D274" s="89">
        <v>281647</v>
      </c>
      <c r="E274" s="89">
        <v>315058</v>
      </c>
      <c r="F274" s="89">
        <v>328323</v>
      </c>
      <c r="G274" s="89">
        <v>332828</v>
      </c>
      <c r="H274" s="89">
        <v>343000</v>
      </c>
      <c r="I274" s="89">
        <v>341460</v>
      </c>
      <c r="J274" s="89">
        <v>337759</v>
      </c>
      <c r="K274" s="89">
        <v>337906</v>
      </c>
      <c r="L274" s="89">
        <v>335271</v>
      </c>
      <c r="M274" s="89">
        <v>334890</v>
      </c>
      <c r="N274" s="89">
        <v>330653</v>
      </c>
      <c r="O274" s="89">
        <v>303422</v>
      </c>
      <c r="P274" s="89">
        <v>314451</v>
      </c>
      <c r="Q274" s="89">
        <v>318411</v>
      </c>
      <c r="R274" s="89">
        <v>345529</v>
      </c>
      <c r="S274" s="89">
        <v>350683</v>
      </c>
      <c r="T274" s="89">
        <v>362669</v>
      </c>
      <c r="U274" s="150">
        <f t="shared" si="102"/>
        <v>7.3283694281841699E-2</v>
      </c>
      <c r="V274" s="150">
        <f t="shared" si="103"/>
        <v>0.15334026605099046</v>
      </c>
      <c r="W274" s="150">
        <f t="shared" si="104"/>
        <v>3.4179016376613636E-2</v>
      </c>
      <c r="X274" s="220">
        <f t="shared" si="106"/>
        <v>1</v>
      </c>
      <c r="Y274" s="221">
        <f t="shared" si="105"/>
        <v>11986</v>
      </c>
    </row>
    <row r="275" spans="1:26" x14ac:dyDescent="0.2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row>
    <row r="276" spans="1:26" ht="15.75" x14ac:dyDescent="0.25">
      <c r="A276" s="22" t="s">
        <v>564</v>
      </c>
      <c r="B276" s="3"/>
      <c r="C276" s="3"/>
      <c r="D276" s="3"/>
      <c r="E276" s="3"/>
      <c r="F276" s="3"/>
      <c r="G276" s="3"/>
      <c r="H276" s="3"/>
      <c r="I276" s="3"/>
      <c r="J276" s="3"/>
      <c r="K276" s="3"/>
      <c r="L276" s="3"/>
      <c r="N276" s="3"/>
      <c r="O276" s="3"/>
      <c r="P276" s="3"/>
      <c r="Q276" s="3"/>
      <c r="R276" s="3"/>
      <c r="S276" s="3"/>
      <c r="T276" s="3"/>
      <c r="U276" s="3"/>
      <c r="V276" s="3"/>
      <c r="W276" s="3"/>
      <c r="X276" s="3"/>
      <c r="Y276" s="3"/>
    </row>
    <row r="277" spans="1:26" ht="44.1" customHeight="1" x14ac:dyDescent="0.25">
      <c r="A277" s="120" t="s">
        <v>54</v>
      </c>
      <c r="B277" s="105">
        <v>2007</v>
      </c>
      <c r="C277" s="105">
        <v>2008</v>
      </c>
      <c r="D277" s="105">
        <v>2009</v>
      </c>
      <c r="E277" s="105">
        <v>2010</v>
      </c>
      <c r="F277" s="105">
        <v>2011</v>
      </c>
      <c r="G277" s="105">
        <v>2012</v>
      </c>
      <c r="H277" s="105">
        <v>2013</v>
      </c>
      <c r="I277" s="105">
        <v>2014</v>
      </c>
      <c r="J277" s="105">
        <v>2015</v>
      </c>
      <c r="K277" s="105">
        <v>2016</v>
      </c>
      <c r="L277" s="105">
        <v>2017</v>
      </c>
      <c r="M277" s="132">
        <v>2018</v>
      </c>
      <c r="N277" s="105">
        <v>2019</v>
      </c>
      <c r="O277" s="105">
        <v>2020</v>
      </c>
      <c r="P277" s="105">
        <v>2021</v>
      </c>
      <c r="Q277" s="105">
        <v>2022</v>
      </c>
      <c r="R277" s="105">
        <v>2023</v>
      </c>
      <c r="S277" s="105">
        <v>2024</v>
      </c>
      <c r="T277" s="105">
        <v>2025</v>
      </c>
      <c r="U277" s="106" t="s">
        <v>546</v>
      </c>
      <c r="V277" s="106" t="s">
        <v>547</v>
      </c>
      <c r="W277" s="106" t="s">
        <v>548</v>
      </c>
      <c r="X277" s="106" t="s">
        <v>549</v>
      </c>
      <c r="Y277" s="216" t="s">
        <v>563</v>
      </c>
    </row>
    <row r="278" spans="1:26" x14ac:dyDescent="0.25">
      <c r="A278" s="88" t="s">
        <v>552</v>
      </c>
      <c r="B278" s="123">
        <v>166214</v>
      </c>
      <c r="C278" s="123">
        <v>162429</v>
      </c>
      <c r="D278" s="123">
        <v>175025</v>
      </c>
      <c r="E278" s="123">
        <v>188699</v>
      </c>
      <c r="F278" s="123">
        <v>201564</v>
      </c>
      <c r="G278" s="123">
        <v>210179</v>
      </c>
      <c r="H278" s="123">
        <v>218337</v>
      </c>
      <c r="I278" s="123">
        <v>229098</v>
      </c>
      <c r="J278" s="123">
        <v>239762</v>
      </c>
      <c r="K278" s="123">
        <v>251125</v>
      </c>
      <c r="L278" s="123">
        <v>255328</v>
      </c>
      <c r="M278" s="123">
        <v>261197</v>
      </c>
      <c r="N278" s="123">
        <v>265197</v>
      </c>
      <c r="O278" s="123">
        <v>254068</v>
      </c>
      <c r="P278" s="123">
        <v>266534</v>
      </c>
      <c r="Q278" s="123">
        <v>268815</v>
      </c>
      <c r="R278" s="123">
        <v>271437</v>
      </c>
      <c r="S278" s="123">
        <v>274181</v>
      </c>
      <c r="T278" s="123">
        <v>287543</v>
      </c>
      <c r="U278" s="149">
        <f t="shared" ref="U278:U288" si="107">(T278-K278)/K278</f>
        <v>0.14501941264310603</v>
      </c>
      <c r="V278" s="149">
        <f t="shared" ref="V278:V288" si="108">(T278-P278)/P278</f>
        <v>7.8822964424801342E-2</v>
      </c>
      <c r="W278" s="149">
        <f t="shared" ref="W278:W288" si="109">(T278-S278)/S278</f>
        <v>4.8734230307716432E-2</v>
      </c>
      <c r="X278" s="218">
        <f t="shared" ref="X278:X288" si="110">T278/T$9</f>
        <v>0.21663035354813823</v>
      </c>
      <c r="Y278" s="219">
        <f t="shared" ref="Y278:Y288" si="111">T278-S278</f>
        <v>13362</v>
      </c>
    </row>
    <row r="279" spans="1:26" x14ac:dyDescent="0.25">
      <c r="A279" s="88" t="s">
        <v>553</v>
      </c>
      <c r="B279" s="123">
        <v>27379</v>
      </c>
      <c r="C279" s="123">
        <v>27526</v>
      </c>
      <c r="D279" s="123">
        <v>27614</v>
      </c>
      <c r="E279" s="123">
        <v>27459</v>
      </c>
      <c r="F279" s="123">
        <v>26745</v>
      </c>
      <c r="G279" s="123">
        <v>25942</v>
      </c>
      <c r="H279" s="123">
        <v>25732</v>
      </c>
      <c r="I279" s="123">
        <v>24888</v>
      </c>
      <c r="J279" s="123">
        <v>24843</v>
      </c>
      <c r="K279" s="123">
        <v>25939</v>
      </c>
      <c r="L279" s="123">
        <v>27230</v>
      </c>
      <c r="M279" s="123">
        <v>28985</v>
      </c>
      <c r="N279" s="123">
        <v>31241</v>
      </c>
      <c r="O279" s="123">
        <v>32489</v>
      </c>
      <c r="P279" s="123">
        <v>35590</v>
      </c>
      <c r="Q279" s="123">
        <v>36857</v>
      </c>
      <c r="R279" s="123">
        <v>39892</v>
      </c>
      <c r="S279" s="123">
        <v>42056</v>
      </c>
      <c r="T279" s="123">
        <v>44335</v>
      </c>
      <c r="U279" s="149">
        <f t="shared" si="107"/>
        <v>0.70920235938162612</v>
      </c>
      <c r="V279" s="149">
        <f t="shared" si="108"/>
        <v>0.24571508850800786</v>
      </c>
      <c r="W279" s="149">
        <f t="shared" si="109"/>
        <v>5.4189651892714477E-2</v>
      </c>
      <c r="X279" s="218">
        <f t="shared" si="110"/>
        <v>3.3401288588338816E-2</v>
      </c>
      <c r="Y279" s="219">
        <f t="shared" si="111"/>
        <v>2279</v>
      </c>
    </row>
    <row r="280" spans="1:26" x14ac:dyDescent="0.25">
      <c r="A280" s="88" t="s">
        <v>554</v>
      </c>
      <c r="B280" s="123">
        <v>46884</v>
      </c>
      <c r="C280" s="123">
        <v>47547</v>
      </c>
      <c r="D280" s="123">
        <v>49111</v>
      </c>
      <c r="E280" s="123">
        <v>52419</v>
      </c>
      <c r="F280" s="123">
        <v>53348</v>
      </c>
      <c r="G280" s="123">
        <v>51775</v>
      </c>
      <c r="H280" s="123">
        <v>50569</v>
      </c>
      <c r="I280" s="123">
        <v>49039</v>
      </c>
      <c r="J280" s="123">
        <v>47736</v>
      </c>
      <c r="K280" s="123">
        <v>47262</v>
      </c>
      <c r="L280" s="123">
        <v>47272</v>
      </c>
      <c r="M280" s="123">
        <v>48538</v>
      </c>
      <c r="N280" s="123">
        <v>49190</v>
      </c>
      <c r="O280" s="123">
        <v>47623</v>
      </c>
      <c r="P280" s="123">
        <v>48186</v>
      </c>
      <c r="Q280" s="123">
        <v>50678</v>
      </c>
      <c r="R280" s="123">
        <v>54432</v>
      </c>
      <c r="S280" s="123">
        <v>56686</v>
      </c>
      <c r="T280" s="123">
        <v>56266</v>
      </c>
      <c r="U280" s="149">
        <f t="shared" si="107"/>
        <v>0.19051246244340062</v>
      </c>
      <c r="V280" s="149">
        <f t="shared" si="108"/>
        <v>0.16768355954011538</v>
      </c>
      <c r="W280" s="149">
        <f t="shared" si="109"/>
        <v>-7.4092368486045933E-3</v>
      </c>
      <c r="X280" s="218">
        <f t="shared" si="110"/>
        <v>4.2389915500427922E-2</v>
      </c>
      <c r="Y280" s="219">
        <f t="shared" si="111"/>
        <v>-420</v>
      </c>
    </row>
    <row r="281" spans="1:26" x14ac:dyDescent="0.25">
      <c r="A281" s="88" t="s">
        <v>555</v>
      </c>
      <c r="B281" s="123">
        <v>16881</v>
      </c>
      <c r="C281" s="123">
        <v>17972</v>
      </c>
      <c r="D281" s="123">
        <v>18406</v>
      </c>
      <c r="E281" s="123">
        <v>18856</v>
      </c>
      <c r="F281" s="123">
        <v>19578</v>
      </c>
      <c r="G281" s="123">
        <v>19594</v>
      </c>
      <c r="H281" s="123">
        <v>21086</v>
      </c>
      <c r="I281" s="123">
        <v>22030</v>
      </c>
      <c r="J281" s="123">
        <v>22668</v>
      </c>
      <c r="K281" s="123">
        <v>23040</v>
      </c>
      <c r="L281" s="123">
        <v>22996</v>
      </c>
      <c r="M281" s="123">
        <v>23255</v>
      </c>
      <c r="N281" s="123">
        <v>23977</v>
      </c>
      <c r="O281" s="123">
        <v>24311</v>
      </c>
      <c r="P281" s="123">
        <v>26005</v>
      </c>
      <c r="Q281" s="123">
        <v>25996</v>
      </c>
      <c r="R281" s="123">
        <v>26729</v>
      </c>
      <c r="S281" s="123">
        <v>27038</v>
      </c>
      <c r="T281" s="123">
        <v>28273</v>
      </c>
      <c r="U281" s="149">
        <f t="shared" si="107"/>
        <v>0.22712673611111112</v>
      </c>
      <c r="V281" s="149">
        <f t="shared" si="108"/>
        <v>8.7213997308209959E-2</v>
      </c>
      <c r="W281" s="149">
        <f t="shared" si="109"/>
        <v>4.5676455359124193E-2</v>
      </c>
      <c r="X281" s="218">
        <f t="shared" si="110"/>
        <v>2.1300431538470811E-2</v>
      </c>
      <c r="Y281" s="219">
        <f t="shared" si="111"/>
        <v>1235</v>
      </c>
    </row>
    <row r="282" spans="1:26" x14ac:dyDescent="0.25">
      <c r="A282" s="88" t="s">
        <v>556</v>
      </c>
      <c r="B282" s="123">
        <v>41906</v>
      </c>
      <c r="C282" s="123">
        <v>41872</v>
      </c>
      <c r="D282" s="123">
        <v>41228</v>
      </c>
      <c r="E282" s="123">
        <v>42483</v>
      </c>
      <c r="F282" s="123">
        <v>43913</v>
      </c>
      <c r="G282" s="123">
        <v>44455</v>
      </c>
      <c r="H282" s="123">
        <v>45321</v>
      </c>
      <c r="I282" s="123">
        <v>46255</v>
      </c>
      <c r="J282" s="123">
        <v>47640</v>
      </c>
      <c r="K282" s="123">
        <v>50231</v>
      </c>
      <c r="L282" s="123">
        <v>51837</v>
      </c>
      <c r="M282" s="123">
        <v>53617</v>
      </c>
      <c r="N282" s="123">
        <v>56310</v>
      </c>
      <c r="O282" s="123">
        <v>56565</v>
      </c>
      <c r="P282" s="123">
        <v>60952</v>
      </c>
      <c r="Q282" s="123">
        <v>63426</v>
      </c>
      <c r="R282" s="123">
        <v>67495</v>
      </c>
      <c r="S282" s="123">
        <v>71364</v>
      </c>
      <c r="T282" s="123">
        <v>74917</v>
      </c>
      <c r="U282" s="149">
        <f t="shared" si="107"/>
        <v>0.4914495032947781</v>
      </c>
      <c r="V282" s="149">
        <f t="shared" si="108"/>
        <v>0.22911471321695762</v>
      </c>
      <c r="W282" s="149">
        <f t="shared" si="109"/>
        <v>4.9787007454739081E-2</v>
      </c>
      <c r="X282" s="218">
        <f t="shared" si="110"/>
        <v>5.6441284248845813E-2</v>
      </c>
      <c r="Y282" s="219">
        <f t="shared" si="111"/>
        <v>3553</v>
      </c>
    </row>
    <row r="283" spans="1:26" x14ac:dyDescent="0.25">
      <c r="A283" s="88" t="s">
        <v>50</v>
      </c>
      <c r="B283" s="123">
        <v>109948</v>
      </c>
      <c r="C283" s="123">
        <v>112905</v>
      </c>
      <c r="D283" s="123">
        <v>117821</v>
      </c>
      <c r="E283" s="123">
        <v>127679</v>
      </c>
      <c r="F283" s="123">
        <v>133753</v>
      </c>
      <c r="G283" s="123">
        <v>135140</v>
      </c>
      <c r="H283" s="123">
        <v>131784</v>
      </c>
      <c r="I283" s="123">
        <v>127924</v>
      </c>
      <c r="J283" s="123">
        <v>123583</v>
      </c>
      <c r="K283" s="123">
        <v>124173</v>
      </c>
      <c r="L283" s="123">
        <v>124609</v>
      </c>
      <c r="M283" s="123">
        <v>128115</v>
      </c>
      <c r="N283" s="123">
        <v>127053</v>
      </c>
      <c r="O283" s="123">
        <v>117316</v>
      </c>
      <c r="P283" s="123">
        <v>111784</v>
      </c>
      <c r="Q283" s="123">
        <v>103617</v>
      </c>
      <c r="R283" s="123">
        <v>103083</v>
      </c>
      <c r="S283" s="123">
        <v>103942</v>
      </c>
      <c r="T283" s="123">
        <v>106448</v>
      </c>
      <c r="U283" s="149">
        <f t="shared" si="107"/>
        <v>-0.14274439693008947</v>
      </c>
      <c r="V283" s="149">
        <f t="shared" si="108"/>
        <v>-4.7734917340585416E-2</v>
      </c>
      <c r="W283" s="149">
        <f t="shared" si="109"/>
        <v>2.4109599584383599E-2</v>
      </c>
      <c r="X283" s="218">
        <f t="shared" si="110"/>
        <v>8.019624151689389E-2</v>
      </c>
      <c r="Y283" s="219">
        <f t="shared" si="111"/>
        <v>2506</v>
      </c>
    </row>
    <row r="284" spans="1:26" x14ac:dyDescent="0.25">
      <c r="A284" s="88" t="s">
        <v>557</v>
      </c>
      <c r="B284" s="123">
        <v>136363</v>
      </c>
      <c r="C284" s="123">
        <v>145973</v>
      </c>
      <c r="D284" s="123">
        <v>155608</v>
      </c>
      <c r="E284" s="123">
        <v>169046</v>
      </c>
      <c r="F284" s="123">
        <v>182280</v>
      </c>
      <c r="G284" s="123">
        <v>192765</v>
      </c>
      <c r="H284" s="123">
        <v>212462</v>
      </c>
      <c r="I284" s="123">
        <v>225394</v>
      </c>
      <c r="J284" s="123">
        <v>238306</v>
      </c>
      <c r="K284" s="123">
        <v>244194</v>
      </c>
      <c r="L284" s="123">
        <v>249798</v>
      </c>
      <c r="M284" s="123">
        <v>254204</v>
      </c>
      <c r="N284" s="123">
        <v>256336</v>
      </c>
      <c r="O284" s="123">
        <v>246007</v>
      </c>
      <c r="P284" s="123">
        <v>251204</v>
      </c>
      <c r="Q284" s="123">
        <v>253721</v>
      </c>
      <c r="R284" s="123">
        <v>262644</v>
      </c>
      <c r="S284" s="123">
        <v>271889</v>
      </c>
      <c r="T284" s="123">
        <v>287817</v>
      </c>
      <c r="U284" s="149">
        <f t="shared" si="107"/>
        <v>0.17864075284405023</v>
      </c>
      <c r="V284" s="149">
        <f t="shared" si="108"/>
        <v>0.14575006767408163</v>
      </c>
      <c r="W284" s="149">
        <f t="shared" si="109"/>
        <v>5.8582730452500835E-2</v>
      </c>
      <c r="X284" s="218">
        <f t="shared" si="110"/>
        <v>0.21683678081944094</v>
      </c>
      <c r="Y284" s="219">
        <f t="shared" si="111"/>
        <v>15928</v>
      </c>
    </row>
    <row r="285" spans="1:26" x14ac:dyDescent="0.25">
      <c r="A285" s="88" t="s">
        <v>558</v>
      </c>
      <c r="B285" s="123">
        <v>120991</v>
      </c>
      <c r="C285" s="123">
        <v>138366</v>
      </c>
      <c r="D285" s="123">
        <v>162087</v>
      </c>
      <c r="E285" s="123">
        <v>192306</v>
      </c>
      <c r="F285" s="123">
        <v>220437</v>
      </c>
      <c r="G285" s="123">
        <v>239232</v>
      </c>
      <c r="H285" s="123">
        <v>247706</v>
      </c>
      <c r="I285" s="123">
        <v>253291</v>
      </c>
      <c r="J285" s="123">
        <v>258188</v>
      </c>
      <c r="K285" s="123">
        <v>261375</v>
      </c>
      <c r="L285" s="123">
        <v>263255</v>
      </c>
      <c r="M285" s="123">
        <v>264467</v>
      </c>
      <c r="N285" s="123">
        <v>263581</v>
      </c>
      <c r="O285" s="123">
        <v>259229</v>
      </c>
      <c r="P285" s="123">
        <v>285531</v>
      </c>
      <c r="Q285" s="123">
        <v>285810</v>
      </c>
      <c r="R285" s="123">
        <v>288593</v>
      </c>
      <c r="S285" s="123">
        <v>286305</v>
      </c>
      <c r="T285" s="123">
        <v>287579</v>
      </c>
      <c r="U285" s="149">
        <f t="shared" si="107"/>
        <v>0.10025442372070779</v>
      </c>
      <c r="V285" s="149">
        <f t="shared" si="108"/>
        <v>7.1726012236849939E-3</v>
      </c>
      <c r="W285" s="149">
        <f t="shared" si="109"/>
        <v>4.4498000384205656E-3</v>
      </c>
      <c r="X285" s="218">
        <f t="shared" si="110"/>
        <v>0.21665747537940427</v>
      </c>
      <c r="Y285" s="219">
        <f t="shared" si="111"/>
        <v>1274</v>
      </c>
    </row>
    <row r="286" spans="1:26" x14ac:dyDescent="0.25">
      <c r="A286" s="88" t="s">
        <v>559</v>
      </c>
      <c r="B286" s="123">
        <v>41628</v>
      </c>
      <c r="C286" s="123">
        <v>47746</v>
      </c>
      <c r="D286" s="123">
        <v>58052</v>
      </c>
      <c r="E286" s="123">
        <v>70962</v>
      </c>
      <c r="F286" s="123">
        <v>84133</v>
      </c>
      <c r="G286" s="123">
        <v>97963</v>
      </c>
      <c r="H286" s="123">
        <v>114209</v>
      </c>
      <c r="I286" s="123">
        <v>120834</v>
      </c>
      <c r="J286" s="123">
        <v>118104</v>
      </c>
      <c r="K286" s="123">
        <v>106012</v>
      </c>
      <c r="L286" s="123">
        <v>89943</v>
      </c>
      <c r="M286" s="123">
        <v>80077</v>
      </c>
      <c r="N286" s="123">
        <v>73855</v>
      </c>
      <c r="O286" s="123">
        <v>66097</v>
      </c>
      <c r="P286" s="123">
        <v>65308</v>
      </c>
      <c r="Q286" s="123">
        <v>67210</v>
      </c>
      <c r="R286" s="123">
        <v>70273</v>
      </c>
      <c r="S286" s="123">
        <v>72127</v>
      </c>
      <c r="T286" s="123">
        <v>76009</v>
      </c>
      <c r="U286" s="149">
        <f t="shared" si="107"/>
        <v>-0.28301513036260045</v>
      </c>
      <c r="V286" s="149">
        <f t="shared" si="108"/>
        <v>0.16385435168738899</v>
      </c>
      <c r="W286" s="149">
        <f t="shared" si="109"/>
        <v>5.382173111317537E-2</v>
      </c>
      <c r="X286" s="218">
        <f t="shared" si="110"/>
        <v>5.7263979797249245E-2</v>
      </c>
      <c r="Y286" s="219">
        <f t="shared" si="111"/>
        <v>3882</v>
      </c>
    </row>
    <row r="287" spans="1:26" x14ac:dyDescent="0.25">
      <c r="A287" s="88" t="s">
        <v>560</v>
      </c>
      <c r="B287" s="123">
        <v>40150</v>
      </c>
      <c r="C287" s="123">
        <v>41013</v>
      </c>
      <c r="D287" s="123">
        <v>44388</v>
      </c>
      <c r="E287" s="123">
        <v>48349</v>
      </c>
      <c r="F287" s="123">
        <v>49326</v>
      </c>
      <c r="G287" s="123">
        <v>47771</v>
      </c>
      <c r="H287" s="123">
        <v>47071</v>
      </c>
      <c r="I287" s="123">
        <v>45628</v>
      </c>
      <c r="J287" s="123">
        <v>45076</v>
      </c>
      <c r="K287" s="123">
        <v>45129</v>
      </c>
      <c r="L287" s="123">
        <v>45024</v>
      </c>
      <c r="M287" s="123">
        <v>45590</v>
      </c>
      <c r="N287" s="123">
        <v>47719</v>
      </c>
      <c r="O287" s="123">
        <v>48129</v>
      </c>
      <c r="P287" s="123">
        <v>53282</v>
      </c>
      <c r="Q287" s="123">
        <v>57881</v>
      </c>
      <c r="R287" s="123">
        <v>64841</v>
      </c>
      <c r="S287" s="123">
        <v>72023</v>
      </c>
      <c r="T287" s="123">
        <v>78157</v>
      </c>
      <c r="U287" s="149">
        <f t="shared" si="107"/>
        <v>0.73185756387245449</v>
      </c>
      <c r="V287" s="149">
        <f t="shared" si="108"/>
        <v>0.46685559851356934</v>
      </c>
      <c r="W287" s="149">
        <f t="shared" si="109"/>
        <v>8.5167238243338939E-2</v>
      </c>
      <c r="X287" s="218">
        <f t="shared" si="110"/>
        <v>5.8882249062790055E-2</v>
      </c>
      <c r="Y287" s="219">
        <f t="shared" si="111"/>
        <v>6134</v>
      </c>
    </row>
    <row r="288" spans="1:26" x14ac:dyDescent="0.25">
      <c r="A288" s="92" t="s">
        <v>0</v>
      </c>
      <c r="B288" s="89">
        <v>748344</v>
      </c>
      <c r="C288" s="89">
        <v>783349</v>
      </c>
      <c r="D288" s="89">
        <v>849340</v>
      </c>
      <c r="E288" s="89">
        <v>938258</v>
      </c>
      <c r="F288" s="89">
        <v>1015077</v>
      </c>
      <c r="G288" s="89">
        <v>1064816</v>
      </c>
      <c r="H288" s="89">
        <v>1114277</v>
      </c>
      <c r="I288" s="89">
        <v>1144381</v>
      </c>
      <c r="J288" s="89">
        <v>1165906</v>
      </c>
      <c r="K288" s="89">
        <v>1178480</v>
      </c>
      <c r="L288" s="89">
        <v>1177292</v>
      </c>
      <c r="M288" s="89">
        <v>1188045</v>
      </c>
      <c r="N288" s="89">
        <v>1194459</v>
      </c>
      <c r="O288" s="89">
        <v>1151834</v>
      </c>
      <c r="P288" s="89">
        <v>1204376</v>
      </c>
      <c r="Q288" s="89">
        <v>1214011</v>
      </c>
      <c r="R288" s="89">
        <v>1249419</v>
      </c>
      <c r="S288" s="89">
        <v>1277611</v>
      </c>
      <c r="T288" s="89">
        <v>1327344</v>
      </c>
      <c r="U288" s="150">
        <f t="shared" si="107"/>
        <v>0.1263186477496436</v>
      </c>
      <c r="V288" s="150">
        <f t="shared" si="108"/>
        <v>0.10210100500176025</v>
      </c>
      <c r="W288" s="150">
        <f t="shared" si="109"/>
        <v>3.8926559023051616E-2</v>
      </c>
      <c r="X288" s="220">
        <f t="shared" si="110"/>
        <v>1</v>
      </c>
      <c r="Y288" s="221">
        <f t="shared" si="111"/>
        <v>49733</v>
      </c>
    </row>
    <row r="289" spans="1:25" s="42" customFormat="1" x14ac:dyDescent="0.25"/>
    <row r="290" spans="1:25" ht="18" x14ac:dyDescent="0.25">
      <c r="A290" s="22" t="s">
        <v>565</v>
      </c>
      <c r="B290" s="22"/>
      <c r="C290" s="22"/>
      <c r="D290" s="22"/>
      <c r="E290" s="22"/>
      <c r="F290" s="22"/>
      <c r="G290" s="22"/>
      <c r="H290" s="22"/>
      <c r="I290" s="3"/>
      <c r="J290" s="3"/>
      <c r="K290" s="3"/>
      <c r="L290" s="3"/>
      <c r="N290" s="3"/>
      <c r="O290" s="3"/>
      <c r="P290" s="3"/>
      <c r="Q290" s="3"/>
      <c r="R290" s="3"/>
      <c r="S290" s="3"/>
      <c r="T290" s="3"/>
      <c r="U290" s="27"/>
      <c r="V290" s="27"/>
      <c r="W290" s="27"/>
      <c r="X290" s="27"/>
      <c r="Y290" s="27"/>
    </row>
    <row r="291" spans="1:25" ht="44.1" customHeight="1" x14ac:dyDescent="0.25">
      <c r="A291" s="120" t="s">
        <v>54</v>
      </c>
      <c r="B291" s="105">
        <v>2007</v>
      </c>
      <c r="C291" s="105">
        <v>2008</v>
      </c>
      <c r="D291" s="105">
        <v>2009</v>
      </c>
      <c r="E291" s="105">
        <v>2010</v>
      </c>
      <c r="F291" s="105">
        <v>2011</v>
      </c>
      <c r="G291" s="105">
        <v>2012</v>
      </c>
      <c r="H291" s="105">
        <v>2013</v>
      </c>
      <c r="I291" s="105">
        <v>2014</v>
      </c>
      <c r="J291" s="105">
        <v>2015</v>
      </c>
      <c r="K291" s="105">
        <v>2016</v>
      </c>
      <c r="L291" s="105">
        <v>2017</v>
      </c>
      <c r="M291" s="132">
        <v>2018</v>
      </c>
      <c r="N291" s="105">
        <v>2019</v>
      </c>
      <c r="O291" s="105">
        <v>2020</v>
      </c>
      <c r="P291" s="105">
        <v>2021</v>
      </c>
      <c r="Q291" s="105">
        <v>2022</v>
      </c>
      <c r="R291" s="105">
        <v>2023</v>
      </c>
      <c r="S291" s="105">
        <v>2024</v>
      </c>
      <c r="T291" s="105">
        <v>2025</v>
      </c>
      <c r="U291" s="106" t="s">
        <v>546</v>
      </c>
      <c r="V291" s="106" t="s">
        <v>547</v>
      </c>
      <c r="W291" s="106" t="s">
        <v>548</v>
      </c>
      <c r="X291" s="106" t="s">
        <v>549</v>
      </c>
      <c r="Y291" s="216" t="s">
        <v>563</v>
      </c>
    </row>
    <row r="292" spans="1:25" x14ac:dyDescent="0.25">
      <c r="A292" s="88" t="s">
        <v>552</v>
      </c>
      <c r="B292" s="123">
        <v>58919</v>
      </c>
      <c r="C292" s="123">
        <v>54702</v>
      </c>
      <c r="D292" s="123">
        <v>59147</v>
      </c>
      <c r="E292" s="123">
        <v>61397</v>
      </c>
      <c r="F292" s="123">
        <v>64380</v>
      </c>
      <c r="G292" s="123">
        <v>65016</v>
      </c>
      <c r="H292" s="123">
        <v>66106</v>
      </c>
      <c r="I292" s="123">
        <v>70493</v>
      </c>
      <c r="J292" s="123">
        <v>72254</v>
      </c>
      <c r="K292" s="123">
        <v>74392</v>
      </c>
      <c r="L292" s="123">
        <v>74760</v>
      </c>
      <c r="M292" s="123">
        <v>74340</v>
      </c>
      <c r="N292" s="123">
        <v>74201</v>
      </c>
      <c r="O292" s="123">
        <v>65627</v>
      </c>
      <c r="P292" s="123">
        <v>70118</v>
      </c>
      <c r="Q292" s="123">
        <v>69577</v>
      </c>
      <c r="R292" s="123">
        <v>72330</v>
      </c>
      <c r="S292" s="123">
        <v>74826</v>
      </c>
      <c r="T292" s="123">
        <v>81057</v>
      </c>
      <c r="U292" s="149">
        <f t="shared" ref="U292:U302" si="112">(T292-K292)/K292</f>
        <v>8.9592966985697381E-2</v>
      </c>
      <c r="V292" s="149">
        <f t="shared" ref="V292:V302" si="113">(T292-P292)/P292</f>
        <v>0.15600844291052227</v>
      </c>
      <c r="W292" s="149">
        <f t="shared" ref="W292:W302" si="114">(T292-S292)/S292</f>
        <v>8.3273193809638366E-2</v>
      </c>
      <c r="X292" s="218">
        <f t="shared" ref="X292:X302" si="115">T292/T$16</f>
        <v>0.22350131938489368</v>
      </c>
      <c r="Y292" s="219">
        <f t="shared" ref="Y292:Y302" si="116">T292-S292</f>
        <v>6231</v>
      </c>
    </row>
    <row r="293" spans="1:25" x14ac:dyDescent="0.25">
      <c r="A293" s="88" t="s">
        <v>553</v>
      </c>
      <c r="B293" s="123">
        <v>6714</v>
      </c>
      <c r="C293" s="123">
        <v>6646</v>
      </c>
      <c r="D293" s="123">
        <v>6916</v>
      </c>
      <c r="E293" s="123">
        <v>6447</v>
      </c>
      <c r="F293" s="123">
        <v>6284</v>
      </c>
      <c r="G293" s="123">
        <v>6175</v>
      </c>
      <c r="H293" s="123">
        <v>6038</v>
      </c>
      <c r="I293" s="123">
        <v>5909</v>
      </c>
      <c r="J293" s="123">
        <v>6487</v>
      </c>
      <c r="K293" s="123">
        <v>7285</v>
      </c>
      <c r="L293" s="123">
        <v>7740</v>
      </c>
      <c r="M293" s="123">
        <v>8143</v>
      </c>
      <c r="N293" s="123">
        <v>8757</v>
      </c>
      <c r="O293" s="123">
        <v>8711</v>
      </c>
      <c r="P293" s="123">
        <v>9546</v>
      </c>
      <c r="Q293" s="123">
        <v>9503</v>
      </c>
      <c r="R293" s="123">
        <v>10751</v>
      </c>
      <c r="S293" s="123">
        <v>11206</v>
      </c>
      <c r="T293" s="123">
        <v>11390</v>
      </c>
      <c r="U293" s="149">
        <f t="shared" si="112"/>
        <v>0.5634866163349348</v>
      </c>
      <c r="V293" s="149">
        <f t="shared" si="113"/>
        <v>0.19316991410014667</v>
      </c>
      <c r="W293" s="149">
        <f t="shared" si="114"/>
        <v>1.6419775120471176E-2</v>
      </c>
      <c r="X293" s="218">
        <f t="shared" si="115"/>
        <v>3.1406047939029805E-2</v>
      </c>
      <c r="Y293" s="219">
        <f t="shared" si="116"/>
        <v>184</v>
      </c>
    </row>
    <row r="294" spans="1:25" x14ac:dyDescent="0.25">
      <c r="A294" s="88" t="s">
        <v>554</v>
      </c>
      <c r="B294" s="123">
        <v>16249</v>
      </c>
      <c r="C294" s="123">
        <v>16405</v>
      </c>
      <c r="D294" s="123">
        <v>16557</v>
      </c>
      <c r="E294" s="123">
        <v>17393</v>
      </c>
      <c r="F294" s="123">
        <v>16439</v>
      </c>
      <c r="G294" s="123">
        <v>15900</v>
      </c>
      <c r="H294" s="123">
        <v>15899</v>
      </c>
      <c r="I294" s="123">
        <v>15141</v>
      </c>
      <c r="J294" s="123">
        <v>14924</v>
      </c>
      <c r="K294" s="123">
        <v>14774</v>
      </c>
      <c r="L294" s="123">
        <v>14851</v>
      </c>
      <c r="M294" s="123">
        <v>15028</v>
      </c>
      <c r="N294" s="123">
        <v>15221</v>
      </c>
      <c r="O294" s="123">
        <v>13813</v>
      </c>
      <c r="P294" s="123">
        <v>13025</v>
      </c>
      <c r="Q294" s="123">
        <v>15309</v>
      </c>
      <c r="R294" s="123">
        <v>16937</v>
      </c>
      <c r="S294" s="123">
        <v>16738</v>
      </c>
      <c r="T294" s="123">
        <v>14450</v>
      </c>
      <c r="U294" s="149">
        <f t="shared" si="112"/>
        <v>-2.1930418302423177E-2</v>
      </c>
      <c r="V294" s="149">
        <f t="shared" si="113"/>
        <v>0.10940499040307101</v>
      </c>
      <c r="W294" s="149">
        <f t="shared" si="114"/>
        <v>-0.13669494563269208</v>
      </c>
      <c r="X294" s="218">
        <f t="shared" si="115"/>
        <v>3.9843493653993034E-2</v>
      </c>
      <c r="Y294" s="219">
        <f t="shared" si="116"/>
        <v>-2288</v>
      </c>
    </row>
    <row r="295" spans="1:25" x14ac:dyDescent="0.25">
      <c r="A295" s="88" t="s">
        <v>555</v>
      </c>
      <c r="B295" s="123">
        <v>5592</v>
      </c>
      <c r="C295" s="123">
        <v>5899</v>
      </c>
      <c r="D295" s="123">
        <v>5907</v>
      </c>
      <c r="E295" s="123">
        <v>6097</v>
      </c>
      <c r="F295" s="123">
        <v>6210</v>
      </c>
      <c r="G295" s="123">
        <v>6171</v>
      </c>
      <c r="H295" s="123">
        <v>7208</v>
      </c>
      <c r="I295" s="123">
        <v>7437</v>
      </c>
      <c r="J295" s="123">
        <v>7420</v>
      </c>
      <c r="K295" s="123">
        <v>7219</v>
      </c>
      <c r="L295" s="123">
        <v>6960</v>
      </c>
      <c r="M295" s="123">
        <v>6924</v>
      </c>
      <c r="N295" s="123">
        <v>7098</v>
      </c>
      <c r="O295" s="123">
        <v>7006</v>
      </c>
      <c r="P295" s="123">
        <v>6527</v>
      </c>
      <c r="Q295" s="123">
        <v>6347</v>
      </c>
      <c r="R295" s="123">
        <v>7287</v>
      </c>
      <c r="S295" s="123">
        <v>7187</v>
      </c>
      <c r="T295" s="123">
        <v>7561</v>
      </c>
      <c r="U295" s="149">
        <f t="shared" si="112"/>
        <v>4.7374982684582352E-2</v>
      </c>
      <c r="V295" s="149">
        <f t="shared" si="113"/>
        <v>0.158418875440478</v>
      </c>
      <c r="W295" s="149">
        <f t="shared" si="114"/>
        <v>5.2038402671490187E-2</v>
      </c>
      <c r="X295" s="218">
        <f t="shared" si="115"/>
        <v>2.0848211454521891E-2</v>
      </c>
      <c r="Y295" s="219">
        <f t="shared" si="116"/>
        <v>374</v>
      </c>
    </row>
    <row r="296" spans="1:25" x14ac:dyDescent="0.25">
      <c r="A296" s="88" t="s">
        <v>556</v>
      </c>
      <c r="B296" s="123">
        <v>9446</v>
      </c>
      <c r="C296" s="123">
        <v>9198</v>
      </c>
      <c r="D296" s="123">
        <v>9642</v>
      </c>
      <c r="E296" s="123">
        <v>10388</v>
      </c>
      <c r="F296" s="123">
        <v>10898</v>
      </c>
      <c r="G296" s="123">
        <v>11183</v>
      </c>
      <c r="H296" s="123">
        <v>10701</v>
      </c>
      <c r="I296" s="123">
        <v>10988</v>
      </c>
      <c r="J296" s="123">
        <v>12027</v>
      </c>
      <c r="K296" s="123">
        <v>12443</v>
      </c>
      <c r="L296" s="123">
        <v>12639</v>
      </c>
      <c r="M296" s="123">
        <v>12256</v>
      </c>
      <c r="N296" s="123">
        <v>12982</v>
      </c>
      <c r="O296" s="123">
        <v>12609</v>
      </c>
      <c r="P296" s="123">
        <v>13188</v>
      </c>
      <c r="Q296" s="123">
        <v>13590</v>
      </c>
      <c r="R296" s="123">
        <v>15624</v>
      </c>
      <c r="S296" s="123">
        <v>15737</v>
      </c>
      <c r="T296" s="123">
        <v>15542</v>
      </c>
      <c r="U296" s="149">
        <f t="shared" si="112"/>
        <v>0.24905569396447802</v>
      </c>
      <c r="V296" s="149">
        <f t="shared" si="113"/>
        <v>0.17849560206248105</v>
      </c>
      <c r="W296" s="149">
        <f t="shared" si="114"/>
        <v>-1.2391180021605134E-2</v>
      </c>
      <c r="X296" s="218">
        <f t="shared" si="115"/>
        <v>4.2854503693450501E-2</v>
      </c>
      <c r="Y296" s="219">
        <f t="shared" si="116"/>
        <v>-195</v>
      </c>
    </row>
    <row r="297" spans="1:25" x14ac:dyDescent="0.25">
      <c r="A297" s="88" t="s">
        <v>50</v>
      </c>
      <c r="B297" s="123">
        <v>30250</v>
      </c>
      <c r="C297" s="123">
        <v>31615</v>
      </c>
      <c r="D297" s="123">
        <v>35413</v>
      </c>
      <c r="E297" s="123">
        <v>39801</v>
      </c>
      <c r="F297" s="123">
        <v>39286</v>
      </c>
      <c r="G297" s="123">
        <v>37796</v>
      </c>
      <c r="H297" s="123">
        <v>33898</v>
      </c>
      <c r="I297" s="123">
        <v>31695</v>
      </c>
      <c r="J297" s="123">
        <v>31565</v>
      </c>
      <c r="K297" s="123">
        <v>34689</v>
      </c>
      <c r="L297" s="123">
        <v>35709</v>
      </c>
      <c r="M297" s="123">
        <v>40406</v>
      </c>
      <c r="N297" s="123">
        <v>34819</v>
      </c>
      <c r="O297" s="123">
        <v>30434</v>
      </c>
      <c r="P297" s="123">
        <v>26126</v>
      </c>
      <c r="Q297" s="123">
        <v>23658</v>
      </c>
      <c r="R297" s="123">
        <v>28494</v>
      </c>
      <c r="S297" s="123">
        <v>28721</v>
      </c>
      <c r="T297" s="123">
        <v>28661</v>
      </c>
      <c r="U297" s="149">
        <f t="shared" si="112"/>
        <v>-0.17377266568652888</v>
      </c>
      <c r="V297" s="149">
        <f t="shared" si="113"/>
        <v>9.7029778764449209E-2</v>
      </c>
      <c r="W297" s="149">
        <f t="shared" si="114"/>
        <v>-2.0890637512621427E-3</v>
      </c>
      <c r="X297" s="218">
        <f t="shared" si="115"/>
        <v>7.9027984194954631E-2</v>
      </c>
      <c r="Y297" s="219">
        <f t="shared" si="116"/>
        <v>-60</v>
      </c>
    </row>
    <row r="298" spans="1:25" x14ac:dyDescent="0.25">
      <c r="A298" s="88" t="s">
        <v>557</v>
      </c>
      <c r="B298" s="123">
        <v>41899</v>
      </c>
      <c r="C298" s="123">
        <v>44787</v>
      </c>
      <c r="D298" s="123">
        <v>48507</v>
      </c>
      <c r="E298" s="123">
        <v>53959</v>
      </c>
      <c r="F298" s="123">
        <v>57258</v>
      </c>
      <c r="G298" s="123">
        <v>58517</v>
      </c>
      <c r="H298" s="123">
        <v>68658</v>
      </c>
      <c r="I298" s="123">
        <v>71904</v>
      </c>
      <c r="J298" s="123">
        <v>72978</v>
      </c>
      <c r="K298" s="123">
        <v>72396</v>
      </c>
      <c r="L298" s="123">
        <v>72306</v>
      </c>
      <c r="M298" s="123">
        <v>70421</v>
      </c>
      <c r="N298" s="123">
        <v>71227</v>
      </c>
      <c r="O298" s="123">
        <v>65353</v>
      </c>
      <c r="P298" s="123">
        <v>64590</v>
      </c>
      <c r="Q298" s="123">
        <v>65534</v>
      </c>
      <c r="R298" s="123">
        <v>72545</v>
      </c>
      <c r="S298" s="123">
        <v>75658</v>
      </c>
      <c r="T298" s="123">
        <v>82083</v>
      </c>
      <c r="U298" s="149">
        <f t="shared" si="112"/>
        <v>0.13380573512348748</v>
      </c>
      <c r="V298" s="149">
        <f t="shared" si="113"/>
        <v>0.27083139804923362</v>
      </c>
      <c r="W298" s="149">
        <f t="shared" si="114"/>
        <v>8.492162097861429E-2</v>
      </c>
      <c r="X298" s="218">
        <f t="shared" si="115"/>
        <v>0.22633034530108723</v>
      </c>
      <c r="Y298" s="219">
        <f t="shared" si="116"/>
        <v>6425</v>
      </c>
    </row>
    <row r="299" spans="1:25" x14ac:dyDescent="0.25">
      <c r="A299" s="88" t="s">
        <v>558</v>
      </c>
      <c r="B299" s="123">
        <v>40963</v>
      </c>
      <c r="C299" s="123">
        <v>48033</v>
      </c>
      <c r="D299" s="123">
        <v>56643</v>
      </c>
      <c r="E299" s="123">
        <v>68582</v>
      </c>
      <c r="F299" s="123">
        <v>73244</v>
      </c>
      <c r="G299" s="123">
        <v>74896</v>
      </c>
      <c r="H299" s="123">
        <v>70351</v>
      </c>
      <c r="I299" s="123">
        <v>68080</v>
      </c>
      <c r="J299" s="123">
        <v>67570</v>
      </c>
      <c r="K299" s="123">
        <v>69686</v>
      </c>
      <c r="L299" s="123">
        <v>71265</v>
      </c>
      <c r="M299" s="123">
        <v>70032</v>
      </c>
      <c r="N299" s="123">
        <v>66781</v>
      </c>
      <c r="O299" s="123">
        <v>63335</v>
      </c>
      <c r="P299" s="123">
        <v>72575</v>
      </c>
      <c r="Q299" s="123">
        <v>72329</v>
      </c>
      <c r="R299" s="123">
        <v>74926</v>
      </c>
      <c r="S299" s="123">
        <v>72644</v>
      </c>
      <c r="T299" s="123">
        <v>72462</v>
      </c>
      <c r="U299" s="149">
        <f t="shared" si="112"/>
        <v>3.9835835031426688E-2</v>
      </c>
      <c r="V299" s="149">
        <f t="shared" si="113"/>
        <v>-1.557009989665863E-3</v>
      </c>
      <c r="W299" s="149">
        <f t="shared" si="114"/>
        <v>-2.5053686471009306E-3</v>
      </c>
      <c r="X299" s="218">
        <f t="shared" si="115"/>
        <v>0.19980202333257047</v>
      </c>
      <c r="Y299" s="219">
        <f t="shared" si="116"/>
        <v>-182</v>
      </c>
    </row>
    <row r="300" spans="1:25" x14ac:dyDescent="0.25">
      <c r="A300" s="88" t="s">
        <v>559</v>
      </c>
      <c r="B300" s="123">
        <v>18787</v>
      </c>
      <c r="C300" s="123">
        <v>21427</v>
      </c>
      <c r="D300" s="123">
        <v>26756</v>
      </c>
      <c r="E300" s="123">
        <v>33056</v>
      </c>
      <c r="F300" s="123">
        <v>37949</v>
      </c>
      <c r="G300" s="123">
        <v>42781</v>
      </c>
      <c r="H300" s="123">
        <v>49389</v>
      </c>
      <c r="I300" s="123">
        <v>45707</v>
      </c>
      <c r="J300" s="123">
        <v>38852</v>
      </c>
      <c r="K300" s="123">
        <v>31368</v>
      </c>
      <c r="L300" s="123">
        <v>25345</v>
      </c>
      <c r="M300" s="123">
        <v>24066</v>
      </c>
      <c r="N300" s="123">
        <v>24704</v>
      </c>
      <c r="O300" s="123">
        <v>22408</v>
      </c>
      <c r="P300" s="123">
        <v>22078</v>
      </c>
      <c r="Q300" s="123">
        <v>24032</v>
      </c>
      <c r="R300" s="123">
        <v>25049</v>
      </c>
      <c r="S300" s="123">
        <v>25227</v>
      </c>
      <c r="T300" s="123">
        <v>26549</v>
      </c>
      <c r="U300" s="149">
        <f t="shared" si="112"/>
        <v>-0.15362790104565163</v>
      </c>
      <c r="V300" s="149">
        <f t="shared" si="113"/>
        <v>0.20250928526134615</v>
      </c>
      <c r="W300" s="149">
        <f t="shared" si="114"/>
        <v>5.240417013517263E-2</v>
      </c>
      <c r="X300" s="218">
        <f t="shared" si="115"/>
        <v>7.3204492250509415E-2</v>
      </c>
      <c r="Y300" s="219">
        <f t="shared" si="116"/>
        <v>1322</v>
      </c>
    </row>
    <row r="301" spans="1:25" x14ac:dyDescent="0.25">
      <c r="A301" s="88" t="s">
        <v>560</v>
      </c>
      <c r="B301" s="123">
        <v>14560</v>
      </c>
      <c r="C301" s="123">
        <v>14252</v>
      </c>
      <c r="D301" s="123">
        <v>16159</v>
      </c>
      <c r="E301" s="123">
        <v>17938</v>
      </c>
      <c r="F301" s="123">
        <v>16375</v>
      </c>
      <c r="G301" s="123">
        <v>14393</v>
      </c>
      <c r="H301" s="123">
        <v>14752</v>
      </c>
      <c r="I301" s="123">
        <v>14106</v>
      </c>
      <c r="J301" s="123">
        <v>13682</v>
      </c>
      <c r="K301" s="123">
        <v>13654</v>
      </c>
      <c r="L301" s="123">
        <v>13696</v>
      </c>
      <c r="M301" s="123">
        <v>13274</v>
      </c>
      <c r="N301" s="123">
        <v>14863</v>
      </c>
      <c r="O301" s="123">
        <v>14126</v>
      </c>
      <c r="P301" s="123">
        <v>16678</v>
      </c>
      <c r="Q301" s="123">
        <v>18532</v>
      </c>
      <c r="R301" s="123">
        <v>21586</v>
      </c>
      <c r="S301" s="123">
        <v>22739</v>
      </c>
      <c r="T301" s="123">
        <v>22914</v>
      </c>
      <c r="U301" s="149">
        <f t="shared" si="112"/>
        <v>0.67818954152629263</v>
      </c>
      <c r="V301" s="149">
        <f t="shared" si="113"/>
        <v>0.37390574409401606</v>
      </c>
      <c r="W301" s="149">
        <f t="shared" si="114"/>
        <v>7.6960288491138571E-3</v>
      </c>
      <c r="X301" s="218">
        <f t="shared" si="115"/>
        <v>6.3181578794989368E-2</v>
      </c>
      <c r="Y301" s="219">
        <f t="shared" si="116"/>
        <v>175</v>
      </c>
    </row>
    <row r="302" spans="1:25" s="42" customFormat="1" x14ac:dyDescent="0.25">
      <c r="A302" s="92" t="s">
        <v>0</v>
      </c>
      <c r="B302" s="89">
        <v>243379</v>
      </c>
      <c r="C302" s="89">
        <v>252964</v>
      </c>
      <c r="D302" s="89">
        <v>281647</v>
      </c>
      <c r="E302" s="89">
        <v>315058</v>
      </c>
      <c r="F302" s="89">
        <v>328323</v>
      </c>
      <c r="G302" s="89">
        <v>332828</v>
      </c>
      <c r="H302" s="89">
        <v>343000</v>
      </c>
      <c r="I302" s="89">
        <v>341460</v>
      </c>
      <c r="J302" s="89">
        <v>337759</v>
      </c>
      <c r="K302" s="89">
        <v>337906</v>
      </c>
      <c r="L302" s="89">
        <v>335271</v>
      </c>
      <c r="M302" s="89">
        <v>334890</v>
      </c>
      <c r="N302" s="89">
        <v>330653</v>
      </c>
      <c r="O302" s="89">
        <v>303422</v>
      </c>
      <c r="P302" s="89">
        <v>314451</v>
      </c>
      <c r="Q302" s="89">
        <v>318411</v>
      </c>
      <c r="R302" s="89">
        <v>345529</v>
      </c>
      <c r="S302" s="89">
        <v>350683</v>
      </c>
      <c r="T302" s="89">
        <v>362669</v>
      </c>
      <c r="U302" s="150">
        <f t="shared" si="112"/>
        <v>7.3283694281841699E-2</v>
      </c>
      <c r="V302" s="150">
        <f t="shared" si="113"/>
        <v>0.15334026605099046</v>
      </c>
      <c r="W302" s="150">
        <f t="shared" si="114"/>
        <v>3.4179016376613636E-2</v>
      </c>
      <c r="X302" s="220">
        <f t="shared" si="115"/>
        <v>1</v>
      </c>
      <c r="Y302" s="221">
        <f t="shared" si="116"/>
        <v>11986</v>
      </c>
    </row>
    <row r="303" spans="1:25" x14ac:dyDescent="0.25">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row>
    <row r="304" spans="1:25" ht="15.75" x14ac:dyDescent="0.25">
      <c r="A304" s="22" t="s">
        <v>614</v>
      </c>
      <c r="B304" s="22"/>
      <c r="C304" s="22"/>
      <c r="D304" s="22"/>
      <c r="E304" s="22"/>
      <c r="F304" s="22"/>
      <c r="G304" s="22"/>
      <c r="H304" s="22"/>
      <c r="I304" s="3"/>
      <c r="J304" s="3"/>
      <c r="K304" s="3"/>
      <c r="L304" s="3"/>
      <c r="N304" s="3"/>
      <c r="O304" s="3"/>
      <c r="P304" s="3"/>
      <c r="Q304" s="3"/>
      <c r="R304" s="3"/>
      <c r="S304" s="3"/>
      <c r="T304" s="3"/>
      <c r="U304" s="27"/>
      <c r="V304" s="27"/>
      <c r="W304" s="27"/>
      <c r="X304" s="27"/>
      <c r="Y304" s="27"/>
    </row>
    <row r="305" spans="1:25" ht="30" customHeight="1" x14ac:dyDescent="0.25">
      <c r="A305" s="120" t="s">
        <v>2</v>
      </c>
      <c r="B305" s="105">
        <v>2007</v>
      </c>
      <c r="C305" s="105">
        <v>2008</v>
      </c>
      <c r="D305" s="105">
        <v>2009</v>
      </c>
      <c r="E305" s="105">
        <v>2010</v>
      </c>
      <c r="F305" s="105">
        <v>2011</v>
      </c>
      <c r="G305" s="105">
        <v>2012</v>
      </c>
      <c r="H305" s="105">
        <v>2013</v>
      </c>
      <c r="I305" s="105">
        <v>2014</v>
      </c>
      <c r="J305" s="105">
        <v>2015</v>
      </c>
      <c r="K305" s="105">
        <v>2016</v>
      </c>
      <c r="L305" s="105">
        <v>2017</v>
      </c>
      <c r="M305" s="132">
        <v>2018</v>
      </c>
      <c r="N305" s="105">
        <v>2019</v>
      </c>
      <c r="O305" s="105">
        <v>2020</v>
      </c>
      <c r="P305" s="105">
        <v>2021</v>
      </c>
      <c r="Q305" s="105">
        <v>2022</v>
      </c>
      <c r="R305" s="105">
        <v>2023</v>
      </c>
      <c r="S305" s="105">
        <v>2024</v>
      </c>
      <c r="T305" s="105">
        <v>2025</v>
      </c>
      <c r="U305" s="106" t="s">
        <v>546</v>
      </c>
      <c r="V305" s="106" t="s">
        <v>547</v>
      </c>
      <c r="W305" s="106" t="s">
        <v>548</v>
      </c>
      <c r="X305" s="106" t="s">
        <v>549</v>
      </c>
      <c r="Y305" s="216" t="s">
        <v>563</v>
      </c>
    </row>
    <row r="306" spans="1:25" ht="15" customHeight="1" x14ac:dyDescent="0.25">
      <c r="A306" s="151" t="s">
        <v>17</v>
      </c>
      <c r="B306" s="123">
        <v>11520</v>
      </c>
      <c r="C306" s="123">
        <v>14078</v>
      </c>
      <c r="D306" s="123">
        <v>17625</v>
      </c>
      <c r="E306" s="123">
        <v>22458</v>
      </c>
      <c r="F306" s="123">
        <v>24642</v>
      </c>
      <c r="G306" s="123">
        <v>24341</v>
      </c>
      <c r="H306" s="123">
        <v>23955</v>
      </c>
      <c r="I306" s="123">
        <v>23295</v>
      </c>
      <c r="J306" s="123">
        <v>22226</v>
      </c>
      <c r="K306" s="123">
        <v>21372</v>
      </c>
      <c r="L306" s="123">
        <v>20546</v>
      </c>
      <c r="M306" s="123">
        <v>19538</v>
      </c>
      <c r="N306" s="123">
        <v>18334</v>
      </c>
      <c r="O306" s="123">
        <v>16855</v>
      </c>
      <c r="P306" s="123">
        <v>19160</v>
      </c>
      <c r="Q306" s="123">
        <v>20074</v>
      </c>
      <c r="R306" s="123">
        <v>21269</v>
      </c>
      <c r="S306" s="123">
        <v>22153</v>
      </c>
      <c r="T306" s="123">
        <v>22589</v>
      </c>
      <c r="U306" s="149">
        <f t="shared" ref="U306:U325" si="117">(T306-K306)/K306</f>
        <v>5.6943664607898181E-2</v>
      </c>
      <c r="V306" s="149">
        <f t="shared" ref="V306:V325" si="118">(T306-P306)/P306</f>
        <v>0.17896659707724427</v>
      </c>
      <c r="W306" s="149">
        <f t="shared" ref="W306:W325" si="119">(T306-S306)/S306</f>
        <v>1.9681307272152757E-2</v>
      </c>
      <c r="X306" s="218">
        <f>T306/T$6</f>
        <v>0.14818386370941819</v>
      </c>
      <c r="Y306" s="219">
        <f t="shared" ref="Y306:Y325" si="120">T306-S306</f>
        <v>436</v>
      </c>
    </row>
    <row r="307" spans="1:25" x14ac:dyDescent="0.25">
      <c r="A307" s="151" t="s">
        <v>20</v>
      </c>
      <c r="B307" s="123">
        <v>5812</v>
      </c>
      <c r="C307" s="123">
        <v>6972</v>
      </c>
      <c r="D307" s="123">
        <v>8110</v>
      </c>
      <c r="E307" s="123">
        <v>9905</v>
      </c>
      <c r="F307" s="123">
        <v>10753</v>
      </c>
      <c r="G307" s="123">
        <v>11186</v>
      </c>
      <c r="H307" s="123">
        <v>12040</v>
      </c>
      <c r="I307" s="123">
        <v>13001</v>
      </c>
      <c r="J307" s="123">
        <v>13191</v>
      </c>
      <c r="K307" s="123">
        <v>14014</v>
      </c>
      <c r="L307" s="123">
        <v>12894</v>
      </c>
      <c r="M307" s="123">
        <v>13563</v>
      </c>
      <c r="N307" s="123">
        <v>13868</v>
      </c>
      <c r="O307" s="123">
        <v>12284</v>
      </c>
      <c r="P307" s="123">
        <v>12099</v>
      </c>
      <c r="Q307" s="123">
        <v>10967</v>
      </c>
      <c r="R307" s="123">
        <v>10338</v>
      </c>
      <c r="S307" s="123">
        <v>11134</v>
      </c>
      <c r="T307" s="123">
        <v>12317</v>
      </c>
      <c r="U307" s="149">
        <f t="shared" si="117"/>
        <v>-0.12109319252176395</v>
      </c>
      <c r="V307" s="149">
        <f t="shared" si="118"/>
        <v>1.8018018018018018E-2</v>
      </c>
      <c r="W307" s="149">
        <f t="shared" si="119"/>
        <v>0.10625112268726424</v>
      </c>
      <c r="X307" s="218">
        <f t="shared" ref="X307:X325" si="121">T307/T$6</f>
        <v>8.0799532927925272E-2</v>
      </c>
      <c r="Y307" s="219">
        <f t="shared" si="120"/>
        <v>1183</v>
      </c>
    </row>
    <row r="308" spans="1:25" x14ac:dyDescent="0.25">
      <c r="A308" s="151" t="s">
        <v>23</v>
      </c>
      <c r="B308" s="123">
        <v>1327</v>
      </c>
      <c r="C308" s="123">
        <v>1818</v>
      </c>
      <c r="D308" s="123">
        <v>2784</v>
      </c>
      <c r="E308" s="123">
        <v>4190</v>
      </c>
      <c r="F308" s="123">
        <v>5236</v>
      </c>
      <c r="G308" s="123">
        <v>6213</v>
      </c>
      <c r="H308" s="123">
        <v>6273</v>
      </c>
      <c r="I308" s="123">
        <v>6642</v>
      </c>
      <c r="J308" s="123">
        <v>6783</v>
      </c>
      <c r="K308" s="123">
        <v>7664</v>
      </c>
      <c r="L308" s="123">
        <v>9397</v>
      </c>
      <c r="M308" s="123">
        <v>10541</v>
      </c>
      <c r="N308" s="123">
        <v>11479</v>
      </c>
      <c r="O308" s="123">
        <v>11414</v>
      </c>
      <c r="P308" s="123">
        <v>11378</v>
      </c>
      <c r="Q308" s="123">
        <v>10228</v>
      </c>
      <c r="R308" s="123">
        <v>10035</v>
      </c>
      <c r="S308" s="123">
        <v>10015</v>
      </c>
      <c r="T308" s="123">
        <v>10236</v>
      </c>
      <c r="U308" s="149">
        <f t="shared" si="117"/>
        <v>0.33559498956158662</v>
      </c>
      <c r="V308" s="149">
        <f t="shared" si="118"/>
        <v>-0.10036913341536298</v>
      </c>
      <c r="W308" s="149">
        <f t="shared" si="119"/>
        <v>2.2066899650524215E-2</v>
      </c>
      <c r="X308" s="218">
        <f t="shared" si="121"/>
        <v>6.7148170743707325E-2</v>
      </c>
      <c r="Y308" s="219">
        <f t="shared" si="120"/>
        <v>221</v>
      </c>
    </row>
    <row r="309" spans="1:25" x14ac:dyDescent="0.25">
      <c r="A309" s="151" t="s">
        <v>30</v>
      </c>
      <c r="B309" s="123">
        <v>7084</v>
      </c>
      <c r="C309" s="123">
        <v>7438</v>
      </c>
      <c r="D309" s="123">
        <v>8273</v>
      </c>
      <c r="E309" s="123">
        <v>9079</v>
      </c>
      <c r="F309" s="123">
        <v>9351</v>
      </c>
      <c r="G309" s="123">
        <v>8603</v>
      </c>
      <c r="H309" s="123">
        <v>8128</v>
      </c>
      <c r="I309" s="123">
        <v>8417</v>
      </c>
      <c r="J309" s="123">
        <v>8693</v>
      </c>
      <c r="K309" s="123">
        <v>9131</v>
      </c>
      <c r="L309" s="123">
        <v>8645</v>
      </c>
      <c r="M309" s="123">
        <v>8428</v>
      </c>
      <c r="N309" s="123">
        <v>8387</v>
      </c>
      <c r="O309" s="123">
        <v>7963</v>
      </c>
      <c r="P309" s="123">
        <v>8037</v>
      </c>
      <c r="Q309" s="123">
        <v>8806</v>
      </c>
      <c r="R309" s="123">
        <v>9687</v>
      </c>
      <c r="S309" s="123">
        <v>10256</v>
      </c>
      <c r="T309" s="123">
        <v>10081</v>
      </c>
      <c r="U309" s="149">
        <f t="shared" si="117"/>
        <v>0.1040411784032417</v>
      </c>
      <c r="V309" s="149">
        <f t="shared" si="118"/>
        <v>0.25432375264402141</v>
      </c>
      <c r="W309" s="149">
        <f t="shared" si="119"/>
        <v>-1.7063182527301091E-2</v>
      </c>
      <c r="X309" s="218">
        <f t="shared" si="121"/>
        <v>6.6131370581019297E-2</v>
      </c>
      <c r="Y309" s="219">
        <f t="shared" si="120"/>
        <v>-175</v>
      </c>
    </row>
    <row r="310" spans="1:25" x14ac:dyDescent="0.25">
      <c r="A310" s="151" t="s">
        <v>27</v>
      </c>
      <c r="B310" s="123">
        <v>3494</v>
      </c>
      <c r="C310" s="123">
        <v>4236</v>
      </c>
      <c r="D310" s="123">
        <v>4982</v>
      </c>
      <c r="E310" s="123">
        <v>5688</v>
      </c>
      <c r="F310" s="123">
        <v>6336</v>
      </c>
      <c r="G310" s="123">
        <v>6275</v>
      </c>
      <c r="H310" s="123">
        <v>6471</v>
      </c>
      <c r="I310" s="123">
        <v>6670</v>
      </c>
      <c r="J310" s="123">
        <v>6742</v>
      </c>
      <c r="K310" s="123">
        <v>6729</v>
      </c>
      <c r="L310" s="123">
        <v>6813</v>
      </c>
      <c r="M310" s="123">
        <v>6923</v>
      </c>
      <c r="N310" s="123">
        <v>6809</v>
      </c>
      <c r="O310" s="123">
        <v>6151</v>
      </c>
      <c r="P310" s="123">
        <v>5152</v>
      </c>
      <c r="Q310" s="123">
        <v>5266</v>
      </c>
      <c r="R310" s="123">
        <v>6107</v>
      </c>
      <c r="S310" s="123">
        <v>7000</v>
      </c>
      <c r="T310" s="123">
        <v>7333</v>
      </c>
      <c r="U310" s="149">
        <f t="shared" si="117"/>
        <v>8.9760737108039834E-2</v>
      </c>
      <c r="V310" s="149">
        <f t="shared" si="118"/>
        <v>0.42333074534161491</v>
      </c>
      <c r="W310" s="149">
        <f t="shared" si="119"/>
        <v>4.757142857142857E-2</v>
      </c>
      <c r="X310" s="218">
        <f t="shared" si="121"/>
        <v>4.8104487696718032E-2</v>
      </c>
      <c r="Y310" s="219">
        <f t="shared" si="120"/>
        <v>333</v>
      </c>
    </row>
    <row r="311" spans="1:25" x14ac:dyDescent="0.25">
      <c r="A311" s="151" t="s">
        <v>25</v>
      </c>
      <c r="B311" s="123">
        <v>1435</v>
      </c>
      <c r="C311" s="123">
        <v>1842</v>
      </c>
      <c r="D311" s="123">
        <v>2156</v>
      </c>
      <c r="E311" s="123">
        <v>2514</v>
      </c>
      <c r="F311" s="123">
        <v>2997</v>
      </c>
      <c r="G311" s="123">
        <v>3314</v>
      </c>
      <c r="H311" s="123">
        <v>3669</v>
      </c>
      <c r="I311" s="123">
        <v>4170</v>
      </c>
      <c r="J311" s="123">
        <v>4803</v>
      </c>
      <c r="K311" s="123">
        <v>5001</v>
      </c>
      <c r="L311" s="123">
        <v>5149</v>
      </c>
      <c r="M311" s="123">
        <v>5057</v>
      </c>
      <c r="N311" s="123">
        <v>5321</v>
      </c>
      <c r="O311" s="123">
        <v>5291</v>
      </c>
      <c r="P311" s="123">
        <v>5263</v>
      </c>
      <c r="Q311" s="123">
        <v>5210</v>
      </c>
      <c r="R311" s="123">
        <v>5555</v>
      </c>
      <c r="S311" s="123">
        <v>6360</v>
      </c>
      <c r="T311" s="123">
        <v>6715</v>
      </c>
      <c r="U311" s="149">
        <f t="shared" si="117"/>
        <v>0.34273145370925817</v>
      </c>
      <c r="V311" s="149">
        <f t="shared" si="118"/>
        <v>0.27588827664829946</v>
      </c>
      <c r="W311" s="149">
        <f t="shared" si="119"/>
        <v>5.5817610062893083E-2</v>
      </c>
      <c r="X311" s="218">
        <f t="shared" si="121"/>
        <v>4.4050407048065128E-2</v>
      </c>
      <c r="Y311" s="219">
        <f t="shared" si="120"/>
        <v>355</v>
      </c>
    </row>
    <row r="312" spans="1:25" x14ac:dyDescent="0.25">
      <c r="A312" s="151" t="s">
        <v>131</v>
      </c>
      <c r="B312" s="123">
        <v>3002</v>
      </c>
      <c r="C312" s="123">
        <v>3678</v>
      </c>
      <c r="D312" s="123">
        <v>4318</v>
      </c>
      <c r="E312" s="123">
        <v>4737</v>
      </c>
      <c r="F312" s="123">
        <v>4659</v>
      </c>
      <c r="G312" s="123">
        <v>4197</v>
      </c>
      <c r="H312" s="123">
        <v>4247</v>
      </c>
      <c r="I312" s="123">
        <v>4328</v>
      </c>
      <c r="J312" s="123">
        <v>4396</v>
      </c>
      <c r="K312" s="123">
        <v>4207</v>
      </c>
      <c r="L312" s="123">
        <v>4403</v>
      </c>
      <c r="M312" s="123">
        <v>4652</v>
      </c>
      <c r="N312" s="123">
        <v>5124</v>
      </c>
      <c r="O312" s="123">
        <v>5255</v>
      </c>
      <c r="P312" s="123">
        <v>5644</v>
      </c>
      <c r="Q312" s="123">
        <v>5617</v>
      </c>
      <c r="R312" s="123">
        <v>5399</v>
      </c>
      <c r="S312" s="123">
        <v>5819</v>
      </c>
      <c r="T312" s="123">
        <v>5914</v>
      </c>
      <c r="U312" s="149">
        <f t="shared" si="117"/>
        <v>0.40575231756596147</v>
      </c>
      <c r="V312" s="149">
        <f t="shared" si="118"/>
        <v>4.7838412473423103E-2</v>
      </c>
      <c r="W312" s="149">
        <f t="shared" si="119"/>
        <v>1.6325829180271523E-2</v>
      </c>
      <c r="X312" s="218">
        <f t="shared" si="121"/>
        <v>3.8795846207335394E-2</v>
      </c>
      <c r="Y312" s="219">
        <f t="shared" si="120"/>
        <v>95</v>
      </c>
    </row>
    <row r="313" spans="1:25" x14ac:dyDescent="0.25">
      <c r="A313" s="151" t="s">
        <v>132</v>
      </c>
      <c r="B313" s="123">
        <v>816</v>
      </c>
      <c r="C313" s="123">
        <v>1024</v>
      </c>
      <c r="D313" s="123">
        <v>1157</v>
      </c>
      <c r="E313" s="123">
        <v>1299</v>
      </c>
      <c r="F313" s="123">
        <v>1503</v>
      </c>
      <c r="G313" s="123">
        <v>1646</v>
      </c>
      <c r="H313" s="123">
        <v>1732</v>
      </c>
      <c r="I313" s="123">
        <v>1999</v>
      </c>
      <c r="J313" s="123">
        <v>1701</v>
      </c>
      <c r="K313" s="123">
        <v>1920</v>
      </c>
      <c r="L313" s="123">
        <v>2508</v>
      </c>
      <c r="M313" s="123">
        <v>3141</v>
      </c>
      <c r="N313" s="123">
        <v>3414</v>
      </c>
      <c r="O313" s="123">
        <v>3510</v>
      </c>
      <c r="P313" s="123">
        <v>3899</v>
      </c>
      <c r="Q313" s="123">
        <v>3798</v>
      </c>
      <c r="R313" s="123">
        <v>4097</v>
      </c>
      <c r="S313" s="123">
        <v>4660</v>
      </c>
      <c r="T313" s="123">
        <v>5132</v>
      </c>
      <c r="U313" s="149">
        <f t="shared" si="117"/>
        <v>1.6729166666666666</v>
      </c>
      <c r="V313" s="149">
        <f t="shared" si="118"/>
        <v>0.31623493203385483</v>
      </c>
      <c r="W313" s="149">
        <f t="shared" si="119"/>
        <v>0.10128755364806867</v>
      </c>
      <c r="X313" s="218">
        <f t="shared" si="121"/>
        <v>3.3665925386548064E-2</v>
      </c>
      <c r="Y313" s="219">
        <f t="shared" si="120"/>
        <v>472</v>
      </c>
    </row>
    <row r="314" spans="1:25" x14ac:dyDescent="0.25">
      <c r="A314" s="151" t="s">
        <v>24</v>
      </c>
      <c r="B314" s="123">
        <v>1469</v>
      </c>
      <c r="C314" s="123">
        <v>1782</v>
      </c>
      <c r="D314" s="123">
        <v>2297</v>
      </c>
      <c r="E314" s="123">
        <v>2833</v>
      </c>
      <c r="F314" s="123">
        <v>3029</v>
      </c>
      <c r="G314" s="123">
        <v>3088</v>
      </c>
      <c r="H314" s="123">
        <v>3119</v>
      </c>
      <c r="I314" s="123">
        <v>3158</v>
      </c>
      <c r="J314" s="123">
        <v>3424</v>
      </c>
      <c r="K314" s="123">
        <v>3587</v>
      </c>
      <c r="L314" s="123">
        <v>3872</v>
      </c>
      <c r="M314" s="123">
        <v>4249</v>
      </c>
      <c r="N314" s="123">
        <v>4511</v>
      </c>
      <c r="O314" s="123">
        <v>4198</v>
      </c>
      <c r="P314" s="123">
        <v>4692</v>
      </c>
      <c r="Q314" s="123">
        <v>4414</v>
      </c>
      <c r="R314" s="123">
        <v>4439</v>
      </c>
      <c r="S314" s="123">
        <v>4745</v>
      </c>
      <c r="T314" s="123">
        <v>5011</v>
      </c>
      <c r="U314" s="149">
        <f t="shared" si="117"/>
        <v>0.39698912740451631</v>
      </c>
      <c r="V314" s="149">
        <f t="shared" si="118"/>
        <v>6.798806479113384E-2</v>
      </c>
      <c r="W314" s="149">
        <f t="shared" si="119"/>
        <v>5.6059009483667016E-2</v>
      </c>
      <c r="X314" s="218">
        <f t="shared" si="121"/>
        <v>3.2872165259546442E-2</v>
      </c>
      <c r="Y314" s="219">
        <f t="shared" si="120"/>
        <v>266</v>
      </c>
    </row>
    <row r="315" spans="1:25" x14ac:dyDescent="0.25">
      <c r="A315" s="151" t="s">
        <v>31</v>
      </c>
      <c r="B315" s="123">
        <v>1494</v>
      </c>
      <c r="C315" s="123">
        <v>1568</v>
      </c>
      <c r="D315" s="123">
        <v>1958</v>
      </c>
      <c r="E315" s="123">
        <v>2401</v>
      </c>
      <c r="F315" s="123">
        <v>2636</v>
      </c>
      <c r="G315" s="123">
        <v>2933</v>
      </c>
      <c r="H315" s="123">
        <v>3162</v>
      </c>
      <c r="I315" s="123">
        <v>3244</v>
      </c>
      <c r="J315" s="123">
        <v>3413</v>
      </c>
      <c r="K315" s="123">
        <v>3717</v>
      </c>
      <c r="L315" s="123">
        <v>4072</v>
      </c>
      <c r="M315" s="123">
        <v>4378</v>
      </c>
      <c r="N315" s="123">
        <v>4497</v>
      </c>
      <c r="O315" s="123">
        <v>4437</v>
      </c>
      <c r="P315" s="123">
        <v>4922</v>
      </c>
      <c r="Q315" s="123">
        <v>4756</v>
      </c>
      <c r="R315" s="123">
        <v>4636</v>
      </c>
      <c r="S315" s="123">
        <v>4490</v>
      </c>
      <c r="T315" s="123">
        <v>4570</v>
      </c>
      <c r="U315" s="149">
        <f t="shared" si="117"/>
        <v>0.22948614474038204</v>
      </c>
      <c r="V315" s="149">
        <f t="shared" si="118"/>
        <v>-7.1515644047135313E-2</v>
      </c>
      <c r="W315" s="149">
        <f t="shared" si="119"/>
        <v>1.7817371937639197E-2</v>
      </c>
      <c r="X315" s="218">
        <f t="shared" si="121"/>
        <v>2.9979204796672768E-2</v>
      </c>
      <c r="Y315" s="219">
        <f t="shared" si="120"/>
        <v>80</v>
      </c>
    </row>
    <row r="316" spans="1:25" x14ac:dyDescent="0.25">
      <c r="A316" s="151" t="s">
        <v>28</v>
      </c>
      <c r="B316" s="123">
        <v>1194</v>
      </c>
      <c r="C316" s="123">
        <v>1410</v>
      </c>
      <c r="D316" s="123">
        <v>1676</v>
      </c>
      <c r="E316" s="123">
        <v>1947</v>
      </c>
      <c r="F316" s="123">
        <v>2179</v>
      </c>
      <c r="G316" s="123">
        <v>2433</v>
      </c>
      <c r="H316" s="123">
        <v>2895</v>
      </c>
      <c r="I316" s="123">
        <v>3372</v>
      </c>
      <c r="J316" s="123">
        <v>3898</v>
      </c>
      <c r="K316" s="123">
        <v>4379</v>
      </c>
      <c r="L316" s="123">
        <v>4317</v>
      </c>
      <c r="M316" s="123">
        <v>4214</v>
      </c>
      <c r="N316" s="123">
        <v>4178</v>
      </c>
      <c r="O316" s="123">
        <v>3849</v>
      </c>
      <c r="P316" s="123">
        <v>3546</v>
      </c>
      <c r="Q316" s="123">
        <v>3405</v>
      </c>
      <c r="R316" s="123">
        <v>3511</v>
      </c>
      <c r="S316" s="123">
        <v>3900</v>
      </c>
      <c r="T316" s="123">
        <v>4494</v>
      </c>
      <c r="U316" s="149">
        <f t="shared" si="117"/>
        <v>2.6261703585293446E-2</v>
      </c>
      <c r="V316" s="149">
        <f t="shared" si="118"/>
        <v>0.2673434856175973</v>
      </c>
      <c r="W316" s="149">
        <f t="shared" si="119"/>
        <v>0.15230769230769231</v>
      </c>
      <c r="X316" s="218">
        <f t="shared" si="121"/>
        <v>2.9480644716903155E-2</v>
      </c>
      <c r="Y316" s="219">
        <f t="shared" si="120"/>
        <v>594</v>
      </c>
    </row>
    <row r="317" spans="1:25" x14ac:dyDescent="0.25">
      <c r="A317" s="151" t="s">
        <v>22</v>
      </c>
      <c r="B317" s="123">
        <v>1814</v>
      </c>
      <c r="C317" s="123">
        <v>2004</v>
      </c>
      <c r="D317" s="123">
        <v>2198</v>
      </c>
      <c r="E317" s="123">
        <v>2452</v>
      </c>
      <c r="F317" s="123">
        <v>2692</v>
      </c>
      <c r="G317" s="123">
        <v>3150</v>
      </c>
      <c r="H317" s="123">
        <v>3566</v>
      </c>
      <c r="I317" s="123">
        <v>3784</v>
      </c>
      <c r="J317" s="123">
        <v>4135</v>
      </c>
      <c r="K317" s="123">
        <v>4529</v>
      </c>
      <c r="L317" s="123">
        <v>4978</v>
      </c>
      <c r="M317" s="123">
        <v>4735</v>
      </c>
      <c r="N317" s="123">
        <v>4457</v>
      </c>
      <c r="O317" s="123">
        <v>3562</v>
      </c>
      <c r="P317" s="123">
        <v>4003</v>
      </c>
      <c r="Q317" s="123">
        <v>4250</v>
      </c>
      <c r="R317" s="123">
        <v>4246</v>
      </c>
      <c r="S317" s="123">
        <v>4221</v>
      </c>
      <c r="T317" s="123">
        <v>4147</v>
      </c>
      <c r="U317" s="149">
        <f t="shared" si="117"/>
        <v>-8.4345330094943702E-2</v>
      </c>
      <c r="V317" s="149">
        <f t="shared" si="118"/>
        <v>3.5973020234823884E-2</v>
      </c>
      <c r="W317" s="149">
        <f t="shared" si="119"/>
        <v>-1.7531390665719022E-2</v>
      </c>
      <c r="X317" s="218">
        <f t="shared" si="121"/>
        <v>2.7204324352691895E-2</v>
      </c>
      <c r="Y317" s="219">
        <f t="shared" si="120"/>
        <v>-74</v>
      </c>
    </row>
    <row r="318" spans="1:25" x14ac:dyDescent="0.25">
      <c r="A318" s="151" t="s">
        <v>332</v>
      </c>
      <c r="B318" s="123">
        <v>0</v>
      </c>
      <c r="C318" s="123">
        <v>0</v>
      </c>
      <c r="D318" s="123">
        <v>0</v>
      </c>
      <c r="E318" s="123">
        <v>0</v>
      </c>
      <c r="F318" s="123">
        <v>0</v>
      </c>
      <c r="G318" s="123">
        <v>49</v>
      </c>
      <c r="H318" s="123">
        <v>0</v>
      </c>
      <c r="I318" s="123">
        <v>0</v>
      </c>
      <c r="J318" s="123">
        <v>0</v>
      </c>
      <c r="K318" s="123">
        <v>74</v>
      </c>
      <c r="L318" s="123">
        <v>187</v>
      </c>
      <c r="M318" s="123">
        <v>393</v>
      </c>
      <c r="N318" s="123">
        <v>566</v>
      </c>
      <c r="O318" s="123">
        <v>1045</v>
      </c>
      <c r="P318" s="123">
        <v>1503</v>
      </c>
      <c r="Q318" s="123">
        <v>1956</v>
      </c>
      <c r="R318" s="123">
        <v>2557</v>
      </c>
      <c r="S318" s="123">
        <v>3123</v>
      </c>
      <c r="T318" s="123">
        <v>3832</v>
      </c>
      <c r="U318" s="149">
        <f t="shared" si="117"/>
        <v>50.783783783783782</v>
      </c>
      <c r="V318" s="149">
        <f t="shared" si="118"/>
        <v>1.5495675316034598</v>
      </c>
      <c r="W318" s="149">
        <f t="shared" si="119"/>
        <v>0.22702529618956133</v>
      </c>
      <c r="X318" s="218">
        <f t="shared" si="121"/>
        <v>2.5137924022067843E-2</v>
      </c>
      <c r="Y318" s="219">
        <f t="shared" si="120"/>
        <v>709</v>
      </c>
    </row>
    <row r="319" spans="1:25" x14ac:dyDescent="0.25">
      <c r="A319" s="151" t="s">
        <v>32</v>
      </c>
      <c r="B319" s="123">
        <v>344</v>
      </c>
      <c r="C319" s="123">
        <v>345</v>
      </c>
      <c r="D319" s="123">
        <v>446</v>
      </c>
      <c r="E319" s="123">
        <v>428</v>
      </c>
      <c r="F319" s="123">
        <v>501</v>
      </c>
      <c r="G319" s="123">
        <v>568</v>
      </c>
      <c r="H319" s="123">
        <v>819</v>
      </c>
      <c r="I319" s="123">
        <v>1153</v>
      </c>
      <c r="J319" s="123">
        <v>1550</v>
      </c>
      <c r="K319" s="123">
        <v>1706</v>
      </c>
      <c r="L319" s="123">
        <v>1834</v>
      </c>
      <c r="M319" s="123">
        <v>2330</v>
      </c>
      <c r="N319" s="123">
        <v>2670</v>
      </c>
      <c r="O319" s="123">
        <v>3180</v>
      </c>
      <c r="P319" s="123">
        <v>3815</v>
      </c>
      <c r="Q319" s="123">
        <v>3552</v>
      </c>
      <c r="R319" s="123">
        <v>3570</v>
      </c>
      <c r="S319" s="123">
        <v>3510</v>
      </c>
      <c r="T319" s="123">
        <v>3546</v>
      </c>
      <c r="U319" s="149">
        <f t="shared" si="117"/>
        <v>1.0785463071512309</v>
      </c>
      <c r="V319" s="149">
        <f t="shared" si="118"/>
        <v>-7.0511140235910874E-2</v>
      </c>
      <c r="W319" s="149">
        <f t="shared" si="119"/>
        <v>1.0256410256410256E-2</v>
      </c>
      <c r="X319" s="218">
        <f t="shared" si="121"/>
        <v>2.3261763721882194E-2</v>
      </c>
      <c r="Y319" s="219">
        <f t="shared" si="120"/>
        <v>36</v>
      </c>
    </row>
    <row r="320" spans="1:25" x14ac:dyDescent="0.25">
      <c r="A320" s="151" t="s">
        <v>313</v>
      </c>
      <c r="B320" s="123">
        <v>164</v>
      </c>
      <c r="C320" s="123">
        <v>198</v>
      </c>
      <c r="D320" s="123">
        <v>306</v>
      </c>
      <c r="E320" s="123">
        <v>376</v>
      </c>
      <c r="F320" s="123">
        <v>474</v>
      </c>
      <c r="G320" s="123">
        <v>482</v>
      </c>
      <c r="H320" s="123">
        <v>564</v>
      </c>
      <c r="I320" s="123">
        <v>684</v>
      </c>
      <c r="J320" s="123">
        <v>784</v>
      </c>
      <c r="K320" s="123">
        <v>1010</v>
      </c>
      <c r="L320" s="123">
        <v>980</v>
      </c>
      <c r="M320" s="123">
        <v>1110</v>
      </c>
      <c r="N320" s="123">
        <v>1391</v>
      </c>
      <c r="O320" s="123">
        <v>1493</v>
      </c>
      <c r="P320" s="123">
        <v>2015</v>
      </c>
      <c r="Q320" s="123">
        <v>2340</v>
      </c>
      <c r="R320" s="123">
        <v>2685</v>
      </c>
      <c r="S320" s="123">
        <v>2979</v>
      </c>
      <c r="T320" s="123">
        <v>3295</v>
      </c>
      <c r="U320" s="149">
        <f t="shared" si="117"/>
        <v>2.2623762376237622</v>
      </c>
      <c r="V320" s="149">
        <f t="shared" si="118"/>
        <v>0.63523573200992556</v>
      </c>
      <c r="W320" s="149">
        <f t="shared" si="119"/>
        <v>0.10607586438402149</v>
      </c>
      <c r="X320" s="218">
        <f t="shared" si="121"/>
        <v>2.1615203458432552E-2</v>
      </c>
      <c r="Y320" s="219">
        <f t="shared" si="120"/>
        <v>316</v>
      </c>
    </row>
    <row r="321" spans="1:25" x14ac:dyDescent="0.25">
      <c r="A321" s="151" t="s">
        <v>331</v>
      </c>
      <c r="B321" s="123">
        <v>109</v>
      </c>
      <c r="C321" s="123">
        <v>106</v>
      </c>
      <c r="D321" s="123">
        <v>115</v>
      </c>
      <c r="E321" s="123">
        <v>109</v>
      </c>
      <c r="F321" s="123">
        <v>124</v>
      </c>
      <c r="G321" s="123">
        <v>121</v>
      </c>
      <c r="H321" s="123">
        <v>136</v>
      </c>
      <c r="I321" s="123">
        <v>216</v>
      </c>
      <c r="J321" s="123">
        <v>285</v>
      </c>
      <c r="K321" s="123">
        <v>386</v>
      </c>
      <c r="L321" s="123">
        <v>482</v>
      </c>
      <c r="M321" s="123">
        <v>587</v>
      </c>
      <c r="N321" s="123">
        <v>968</v>
      </c>
      <c r="O321" s="123">
        <v>1337</v>
      </c>
      <c r="P321" s="123">
        <v>1960</v>
      </c>
      <c r="Q321" s="123">
        <v>2103</v>
      </c>
      <c r="R321" s="123">
        <v>2397</v>
      </c>
      <c r="S321" s="123">
        <v>2652</v>
      </c>
      <c r="T321" s="123">
        <v>3250</v>
      </c>
      <c r="U321" s="149">
        <f t="shared" si="117"/>
        <v>7.4196891191709842</v>
      </c>
      <c r="V321" s="149">
        <f t="shared" si="118"/>
        <v>0.65816326530612246</v>
      </c>
      <c r="W321" s="149">
        <f t="shared" si="119"/>
        <v>0.22549019607843138</v>
      </c>
      <c r="X321" s="218">
        <f t="shared" si="121"/>
        <v>2.1320003411200546E-2</v>
      </c>
      <c r="Y321" s="219">
        <f t="shared" si="120"/>
        <v>598</v>
      </c>
    </row>
    <row r="322" spans="1:25" x14ac:dyDescent="0.25">
      <c r="A322" s="151" t="s">
        <v>41</v>
      </c>
      <c r="B322" s="123">
        <v>1740</v>
      </c>
      <c r="C322" s="123">
        <v>1771</v>
      </c>
      <c r="D322" s="123">
        <v>2046</v>
      </c>
      <c r="E322" s="123">
        <v>2371</v>
      </c>
      <c r="F322" s="123">
        <v>2531</v>
      </c>
      <c r="G322" s="123">
        <v>2513</v>
      </c>
      <c r="H322" s="123">
        <v>2629</v>
      </c>
      <c r="I322" s="123">
        <v>2491</v>
      </c>
      <c r="J322" s="123">
        <v>2851</v>
      </c>
      <c r="K322" s="123">
        <v>3092</v>
      </c>
      <c r="L322" s="123">
        <v>3608</v>
      </c>
      <c r="M322" s="123">
        <v>3840</v>
      </c>
      <c r="N322" s="123">
        <v>3974</v>
      </c>
      <c r="O322" s="123">
        <v>3608</v>
      </c>
      <c r="P322" s="123">
        <v>3680</v>
      </c>
      <c r="Q322" s="123">
        <v>3424</v>
      </c>
      <c r="R322" s="123">
        <v>3429</v>
      </c>
      <c r="S322" s="123">
        <v>3284</v>
      </c>
      <c r="T322" s="123">
        <v>3065</v>
      </c>
      <c r="U322" s="149">
        <f t="shared" si="117"/>
        <v>-8.7322121604139716E-3</v>
      </c>
      <c r="V322" s="149">
        <f t="shared" si="118"/>
        <v>-0.1671195652173913</v>
      </c>
      <c r="W322" s="149">
        <f t="shared" si="119"/>
        <v>-6.6686967113276485E-2</v>
      </c>
      <c r="X322" s="218">
        <f t="shared" si="121"/>
        <v>2.0106403217024515E-2</v>
      </c>
      <c r="Y322" s="219">
        <f t="shared" si="120"/>
        <v>-219</v>
      </c>
    </row>
    <row r="323" spans="1:25" x14ac:dyDescent="0.25">
      <c r="A323" s="151" t="s">
        <v>33</v>
      </c>
      <c r="B323" s="123">
        <v>846</v>
      </c>
      <c r="C323" s="123">
        <v>873</v>
      </c>
      <c r="D323" s="123">
        <v>1370</v>
      </c>
      <c r="E323" s="123">
        <v>2041</v>
      </c>
      <c r="F323" s="123">
        <v>2279</v>
      </c>
      <c r="G323" s="123">
        <v>2462</v>
      </c>
      <c r="H323" s="123">
        <v>2229</v>
      </c>
      <c r="I323" s="123">
        <v>2338</v>
      </c>
      <c r="J323" s="123">
        <v>2564</v>
      </c>
      <c r="K323" s="123">
        <v>2618</v>
      </c>
      <c r="L323" s="123">
        <v>2806</v>
      </c>
      <c r="M323" s="123">
        <v>2769</v>
      </c>
      <c r="N323" s="123">
        <v>3020</v>
      </c>
      <c r="O323" s="123">
        <v>3088</v>
      </c>
      <c r="P323" s="123">
        <v>3352</v>
      </c>
      <c r="Q323" s="123">
        <v>3185</v>
      </c>
      <c r="R323" s="123">
        <v>3149</v>
      </c>
      <c r="S323" s="123">
        <v>3019</v>
      </c>
      <c r="T323" s="123">
        <v>2870</v>
      </c>
      <c r="U323" s="149">
        <f t="shared" si="117"/>
        <v>9.6256684491978606E-2</v>
      </c>
      <c r="V323" s="149">
        <f t="shared" si="118"/>
        <v>-0.14379474940334128</v>
      </c>
      <c r="W323" s="149">
        <f t="shared" si="119"/>
        <v>-4.9354090758529312E-2</v>
      </c>
      <c r="X323" s="218">
        <f t="shared" si="121"/>
        <v>1.8827203012352481E-2</v>
      </c>
      <c r="Y323" s="219">
        <f t="shared" si="120"/>
        <v>-149</v>
      </c>
    </row>
    <row r="324" spans="1:25" x14ac:dyDescent="0.25">
      <c r="A324" s="151" t="s">
        <v>466</v>
      </c>
      <c r="B324" s="123">
        <v>301</v>
      </c>
      <c r="C324" s="123">
        <v>402</v>
      </c>
      <c r="D324" s="123">
        <v>513</v>
      </c>
      <c r="E324" s="123">
        <v>647</v>
      </c>
      <c r="F324" s="123">
        <v>594</v>
      </c>
      <c r="G324" s="123">
        <v>585</v>
      </c>
      <c r="H324" s="123">
        <v>430</v>
      </c>
      <c r="I324" s="123">
        <v>519</v>
      </c>
      <c r="J324" s="123">
        <v>794</v>
      </c>
      <c r="K324" s="123">
        <v>696</v>
      </c>
      <c r="L324" s="123">
        <v>742</v>
      </c>
      <c r="M324" s="123">
        <v>872</v>
      </c>
      <c r="N324" s="123">
        <v>993</v>
      </c>
      <c r="O324" s="123">
        <v>1256</v>
      </c>
      <c r="P324" s="123">
        <v>1652</v>
      </c>
      <c r="Q324" s="123">
        <v>1546</v>
      </c>
      <c r="R324" s="123">
        <v>1533</v>
      </c>
      <c r="S324" s="123">
        <v>1985</v>
      </c>
      <c r="T324" s="123">
        <v>2547</v>
      </c>
      <c r="U324" s="149">
        <f t="shared" si="117"/>
        <v>2.6594827586206895</v>
      </c>
      <c r="V324" s="149">
        <f t="shared" si="118"/>
        <v>0.54176755447941893</v>
      </c>
      <c r="W324" s="149">
        <f t="shared" si="119"/>
        <v>0.28312342569269522</v>
      </c>
      <c r="X324" s="218">
        <f t="shared" si="121"/>
        <v>1.6708322673331628E-2</v>
      </c>
      <c r="Y324" s="219">
        <f t="shared" si="120"/>
        <v>562</v>
      </c>
    </row>
    <row r="325" spans="1:25" x14ac:dyDescent="0.25">
      <c r="A325" s="151" t="s">
        <v>26</v>
      </c>
      <c r="B325" s="123">
        <v>2426</v>
      </c>
      <c r="C325" s="123">
        <v>2479</v>
      </c>
      <c r="D325" s="123">
        <v>2701</v>
      </c>
      <c r="E325" s="123">
        <v>3019</v>
      </c>
      <c r="F325" s="123">
        <v>3143</v>
      </c>
      <c r="G325" s="123">
        <v>3054</v>
      </c>
      <c r="H325" s="123">
        <v>3030</v>
      </c>
      <c r="I325" s="123">
        <v>3324</v>
      </c>
      <c r="J325" s="123">
        <v>3395</v>
      </c>
      <c r="K325" s="123">
        <v>3322</v>
      </c>
      <c r="L325" s="123">
        <v>3227</v>
      </c>
      <c r="M325" s="123">
        <v>3218</v>
      </c>
      <c r="N325" s="123">
        <v>3130</v>
      </c>
      <c r="O325" s="123">
        <v>2919</v>
      </c>
      <c r="P325" s="123">
        <v>2843</v>
      </c>
      <c r="Q325" s="123">
        <v>2486</v>
      </c>
      <c r="R325" s="123">
        <v>2373</v>
      </c>
      <c r="S325" s="123">
        <v>2311</v>
      </c>
      <c r="T325" s="123">
        <v>2209</v>
      </c>
      <c r="U325" s="149">
        <f t="shared" si="117"/>
        <v>-0.33503913305237809</v>
      </c>
      <c r="V325" s="149">
        <f t="shared" si="118"/>
        <v>-0.22300386915230391</v>
      </c>
      <c r="W325" s="149">
        <f t="shared" si="119"/>
        <v>-4.4136737343141497E-2</v>
      </c>
      <c r="X325" s="218">
        <f t="shared" si="121"/>
        <v>1.4491042318566771E-2</v>
      </c>
      <c r="Y325" s="219">
        <f t="shared" si="120"/>
        <v>-102</v>
      </c>
    </row>
    <row r="326" spans="1:25" x14ac:dyDescent="0.25">
      <c r="A326" s="3"/>
      <c r="B326" s="3"/>
      <c r="C326" s="3"/>
      <c r="D326" s="3"/>
      <c r="E326" s="3"/>
      <c r="F326" s="3"/>
      <c r="G326" s="3"/>
      <c r="H326" s="3"/>
      <c r="I326" s="3"/>
      <c r="J326" s="3"/>
      <c r="K326" s="3"/>
      <c r="L326" s="3"/>
      <c r="N326" s="3"/>
      <c r="O326" s="3"/>
      <c r="P326" s="3"/>
      <c r="Q326" s="3"/>
      <c r="R326" s="3"/>
      <c r="S326" s="3"/>
      <c r="T326" s="3"/>
      <c r="U326" s="27"/>
      <c r="V326" s="27"/>
      <c r="W326" s="27"/>
      <c r="X326" s="27"/>
      <c r="Y326" s="27"/>
    </row>
    <row r="327" spans="1:25" ht="15.75" x14ac:dyDescent="0.25">
      <c r="A327" s="22" t="s">
        <v>615</v>
      </c>
      <c r="B327" s="22"/>
      <c r="C327" s="22"/>
      <c r="D327" s="22"/>
      <c r="E327" s="22"/>
      <c r="F327" s="22"/>
      <c r="G327" s="22"/>
      <c r="H327" s="22"/>
      <c r="I327" s="3"/>
      <c r="J327" s="3"/>
      <c r="K327" s="3"/>
      <c r="L327" s="3"/>
      <c r="N327" s="3"/>
      <c r="O327" s="3"/>
      <c r="P327" s="3"/>
      <c r="Q327" s="3"/>
      <c r="R327" s="3"/>
      <c r="S327" s="3"/>
      <c r="T327" s="3"/>
      <c r="U327" s="27"/>
      <c r="V327" s="27"/>
      <c r="W327" s="27"/>
      <c r="X327" s="27"/>
      <c r="Y327" s="27"/>
    </row>
    <row r="328" spans="1:25" ht="25.5" x14ac:dyDescent="0.25">
      <c r="A328" s="120" t="s">
        <v>2</v>
      </c>
      <c r="B328" s="105">
        <v>2007</v>
      </c>
      <c r="C328" s="105">
        <v>2008</v>
      </c>
      <c r="D328" s="105">
        <v>2009</v>
      </c>
      <c r="E328" s="105">
        <v>2010</v>
      </c>
      <c r="F328" s="105">
        <v>2011</v>
      </c>
      <c r="G328" s="105">
        <v>2012</v>
      </c>
      <c r="H328" s="105">
        <v>2013</v>
      </c>
      <c r="I328" s="105">
        <v>2014</v>
      </c>
      <c r="J328" s="105">
        <v>2015</v>
      </c>
      <c r="K328" s="105">
        <v>2016</v>
      </c>
      <c r="L328" s="105">
        <v>2017</v>
      </c>
      <c r="M328" s="132">
        <v>2018</v>
      </c>
      <c r="N328" s="105">
        <v>2019</v>
      </c>
      <c r="O328" s="105">
        <v>2020</v>
      </c>
      <c r="P328" s="105">
        <v>2021</v>
      </c>
      <c r="Q328" s="105">
        <v>2022</v>
      </c>
      <c r="R328" s="105">
        <v>2023</v>
      </c>
      <c r="S328" s="105">
        <v>2024</v>
      </c>
      <c r="T328" s="105">
        <v>2025</v>
      </c>
      <c r="U328" s="106" t="s">
        <v>546</v>
      </c>
      <c r="V328" s="106" t="s">
        <v>547</v>
      </c>
      <c r="W328" s="106" t="s">
        <v>548</v>
      </c>
      <c r="X328" s="106" t="s">
        <v>549</v>
      </c>
      <c r="Y328" s="216" t="s">
        <v>563</v>
      </c>
    </row>
    <row r="329" spans="1:25" x14ac:dyDescent="0.25">
      <c r="A329" s="151" t="s">
        <v>17</v>
      </c>
      <c r="B329" s="138">
        <v>5404</v>
      </c>
      <c r="C329" s="138">
        <v>6605</v>
      </c>
      <c r="D329" s="138">
        <v>8270</v>
      </c>
      <c r="E329" s="138">
        <v>10455</v>
      </c>
      <c r="F329" s="138">
        <v>10939</v>
      </c>
      <c r="G329" s="138">
        <v>9917</v>
      </c>
      <c r="H329" s="138">
        <v>9491</v>
      </c>
      <c r="I329" s="138">
        <v>9344</v>
      </c>
      <c r="J329" s="138">
        <v>8492</v>
      </c>
      <c r="K329" s="138">
        <v>8434</v>
      </c>
      <c r="L329" s="138">
        <v>7935</v>
      </c>
      <c r="M329" s="138">
        <v>7175</v>
      </c>
      <c r="N329" s="138">
        <v>6880</v>
      </c>
      <c r="O329" s="138">
        <v>6438</v>
      </c>
      <c r="P329" s="138">
        <v>7895</v>
      </c>
      <c r="Q329" s="138">
        <v>8150</v>
      </c>
      <c r="R329" s="138">
        <v>8853</v>
      </c>
      <c r="S329" s="138">
        <v>9017</v>
      </c>
      <c r="T329" s="138">
        <v>9000</v>
      </c>
      <c r="U329" s="149">
        <f t="shared" ref="U329:U348" si="122">(T329-K329)/K329</f>
        <v>6.7109319421389618E-2</v>
      </c>
      <c r="V329" s="149">
        <f t="shared" ref="V329:V348" si="123">(T329-P329)/P329</f>
        <v>0.13996200126662445</v>
      </c>
      <c r="W329" s="149">
        <f t="shared" ref="W329:W348" si="124">(T329-S329)/S329</f>
        <v>-1.8853277143174004E-3</v>
      </c>
      <c r="X329" s="218">
        <f>T329/T$13</f>
        <v>0.13062409288824384</v>
      </c>
      <c r="Y329" s="219">
        <f t="shared" ref="Y329:Y348" si="125">T329-S329</f>
        <v>-17</v>
      </c>
    </row>
    <row r="330" spans="1:25" x14ac:dyDescent="0.25">
      <c r="A330" s="151" t="s">
        <v>20</v>
      </c>
      <c r="B330" s="138">
        <v>3424</v>
      </c>
      <c r="C330" s="138">
        <v>3683</v>
      </c>
      <c r="D330" s="138">
        <v>4118</v>
      </c>
      <c r="E330" s="138">
        <v>5251</v>
      </c>
      <c r="F330" s="138">
        <v>5370</v>
      </c>
      <c r="G330" s="138">
        <v>5461</v>
      </c>
      <c r="H330" s="138">
        <v>5909</v>
      </c>
      <c r="I330" s="138">
        <v>6308</v>
      </c>
      <c r="J330" s="138">
        <v>6282</v>
      </c>
      <c r="K330" s="138">
        <v>5891</v>
      </c>
      <c r="L330" s="138">
        <v>6037</v>
      </c>
      <c r="M330" s="138">
        <v>6304</v>
      </c>
      <c r="N330" s="138">
        <v>6534</v>
      </c>
      <c r="O330" s="138">
        <v>5230</v>
      </c>
      <c r="P330" s="138">
        <v>5532</v>
      </c>
      <c r="Q330" s="138">
        <v>4758</v>
      </c>
      <c r="R330" s="138">
        <v>4683</v>
      </c>
      <c r="S330" s="138">
        <v>5613</v>
      </c>
      <c r="T330" s="138">
        <v>6068</v>
      </c>
      <c r="U330" s="149">
        <f t="shared" si="122"/>
        <v>3.0045832626039722E-2</v>
      </c>
      <c r="V330" s="149">
        <f t="shared" si="123"/>
        <v>9.689081706435286E-2</v>
      </c>
      <c r="W330" s="149">
        <f t="shared" si="124"/>
        <v>8.1061820773205062E-2</v>
      </c>
      <c r="X330" s="218">
        <f t="shared" ref="X330:X348" si="126">T330/T$13</f>
        <v>8.8069666182873735E-2</v>
      </c>
      <c r="Y330" s="219">
        <f t="shared" si="125"/>
        <v>455</v>
      </c>
    </row>
    <row r="331" spans="1:25" x14ac:dyDescent="0.25">
      <c r="A331" s="151" t="s">
        <v>30</v>
      </c>
      <c r="B331" s="138">
        <v>3497</v>
      </c>
      <c r="C331" s="138">
        <v>3747</v>
      </c>
      <c r="D331" s="138">
        <v>4034</v>
      </c>
      <c r="E331" s="138">
        <v>4467</v>
      </c>
      <c r="F331" s="138">
        <v>4370</v>
      </c>
      <c r="G331" s="138">
        <v>3800</v>
      </c>
      <c r="H331" s="138">
        <v>3679</v>
      </c>
      <c r="I331" s="138">
        <v>3935</v>
      </c>
      <c r="J331" s="138">
        <v>4208</v>
      </c>
      <c r="K331" s="138">
        <v>4298</v>
      </c>
      <c r="L331" s="138">
        <v>4171</v>
      </c>
      <c r="M331" s="138">
        <v>4055</v>
      </c>
      <c r="N331" s="138">
        <v>4103</v>
      </c>
      <c r="O331" s="138">
        <v>4046</v>
      </c>
      <c r="P331" s="138">
        <v>4092</v>
      </c>
      <c r="Q331" s="138">
        <v>4389</v>
      </c>
      <c r="R331" s="138">
        <v>4857</v>
      </c>
      <c r="S331" s="138">
        <v>5022</v>
      </c>
      <c r="T331" s="138">
        <v>4899</v>
      </c>
      <c r="U331" s="149">
        <f t="shared" si="122"/>
        <v>0.1398324802233597</v>
      </c>
      <c r="V331" s="149">
        <f t="shared" si="123"/>
        <v>0.1972140762463343</v>
      </c>
      <c r="W331" s="149">
        <f t="shared" si="124"/>
        <v>-2.4492234169653525E-2</v>
      </c>
      <c r="X331" s="218">
        <f t="shared" si="126"/>
        <v>7.1103047895500732E-2</v>
      </c>
      <c r="Y331" s="219">
        <f t="shared" si="125"/>
        <v>-123</v>
      </c>
    </row>
    <row r="332" spans="1:25" x14ac:dyDescent="0.25">
      <c r="A332" s="151" t="s">
        <v>23</v>
      </c>
      <c r="B332" s="138">
        <v>811</v>
      </c>
      <c r="C332" s="138">
        <v>953</v>
      </c>
      <c r="D332" s="138">
        <v>1639</v>
      </c>
      <c r="E332" s="138">
        <v>2513</v>
      </c>
      <c r="F332" s="138">
        <v>2608</v>
      </c>
      <c r="G332" s="138">
        <v>3032</v>
      </c>
      <c r="H332" s="138">
        <v>2563</v>
      </c>
      <c r="I332" s="138">
        <v>2821</v>
      </c>
      <c r="J332" s="138">
        <v>3087</v>
      </c>
      <c r="K332" s="138">
        <v>3530</v>
      </c>
      <c r="L332" s="138">
        <v>4504</v>
      </c>
      <c r="M332" s="138">
        <v>4629</v>
      </c>
      <c r="N332" s="138">
        <v>4675</v>
      </c>
      <c r="O332" s="138">
        <v>4446</v>
      </c>
      <c r="P332" s="138">
        <v>4150</v>
      </c>
      <c r="Q332" s="138">
        <v>3576</v>
      </c>
      <c r="R332" s="138">
        <v>3910</v>
      </c>
      <c r="S332" s="138">
        <v>4122</v>
      </c>
      <c r="T332" s="138">
        <v>3985</v>
      </c>
      <c r="U332" s="149">
        <f t="shared" si="122"/>
        <v>0.12889518413597734</v>
      </c>
      <c r="V332" s="149">
        <f t="shared" si="123"/>
        <v>-3.9759036144578312E-2</v>
      </c>
      <c r="W332" s="149">
        <f t="shared" si="124"/>
        <v>-3.323629306162057E-2</v>
      </c>
      <c r="X332" s="218">
        <f t="shared" si="126"/>
        <v>5.7837445573294628E-2</v>
      </c>
      <c r="Y332" s="219">
        <f t="shared" si="125"/>
        <v>-137</v>
      </c>
    </row>
    <row r="333" spans="1:25" x14ac:dyDescent="0.25">
      <c r="A333" s="151" t="s">
        <v>27</v>
      </c>
      <c r="B333" s="138">
        <v>1969</v>
      </c>
      <c r="C333" s="138">
        <v>2412</v>
      </c>
      <c r="D333" s="138">
        <v>2673</v>
      </c>
      <c r="E333" s="138">
        <v>3112</v>
      </c>
      <c r="F333" s="138">
        <v>3152</v>
      </c>
      <c r="G333" s="138">
        <v>2947</v>
      </c>
      <c r="H333" s="138">
        <v>2805</v>
      </c>
      <c r="I333" s="138">
        <v>2962</v>
      </c>
      <c r="J333" s="138">
        <v>2872</v>
      </c>
      <c r="K333" s="138">
        <v>3228</v>
      </c>
      <c r="L333" s="138">
        <v>3433</v>
      </c>
      <c r="M333" s="138">
        <v>3415</v>
      </c>
      <c r="N333" s="138">
        <v>3219</v>
      </c>
      <c r="O333" s="138">
        <v>3067</v>
      </c>
      <c r="P333" s="138">
        <v>2711</v>
      </c>
      <c r="Q333" s="138">
        <v>2780</v>
      </c>
      <c r="R333" s="138">
        <v>3472</v>
      </c>
      <c r="S333" s="138">
        <v>3908</v>
      </c>
      <c r="T333" s="138">
        <v>3928</v>
      </c>
      <c r="U333" s="149">
        <f t="shared" si="122"/>
        <v>0.21685254027261464</v>
      </c>
      <c r="V333" s="149">
        <f t="shared" si="123"/>
        <v>0.44891184064920692</v>
      </c>
      <c r="W333" s="149">
        <f t="shared" si="124"/>
        <v>5.1177072671443197E-3</v>
      </c>
      <c r="X333" s="218">
        <f t="shared" si="126"/>
        <v>5.7010159651669085E-2</v>
      </c>
      <c r="Y333" s="219">
        <f t="shared" si="125"/>
        <v>20</v>
      </c>
    </row>
    <row r="334" spans="1:25" x14ac:dyDescent="0.25">
      <c r="A334" s="151" t="s">
        <v>25</v>
      </c>
      <c r="B334" s="138">
        <v>704</v>
      </c>
      <c r="C334" s="138">
        <v>917</v>
      </c>
      <c r="D334" s="138">
        <v>982</v>
      </c>
      <c r="E334" s="138">
        <v>1188</v>
      </c>
      <c r="F334" s="138">
        <v>1398</v>
      </c>
      <c r="G334" s="138">
        <v>1442</v>
      </c>
      <c r="H334" s="138">
        <v>1764</v>
      </c>
      <c r="I334" s="138">
        <v>1943</v>
      </c>
      <c r="J334" s="138">
        <v>2302</v>
      </c>
      <c r="K334" s="138">
        <v>2257</v>
      </c>
      <c r="L334" s="138">
        <v>2335</v>
      </c>
      <c r="M334" s="138">
        <v>2042</v>
      </c>
      <c r="N334" s="138">
        <v>2299</v>
      </c>
      <c r="O334" s="138">
        <v>2193</v>
      </c>
      <c r="P334" s="138">
        <v>2189</v>
      </c>
      <c r="Q334" s="138">
        <v>2229</v>
      </c>
      <c r="R334" s="138">
        <v>2528</v>
      </c>
      <c r="S334" s="138">
        <v>3049</v>
      </c>
      <c r="T334" s="138">
        <v>3351</v>
      </c>
      <c r="U334" s="149">
        <f t="shared" si="122"/>
        <v>0.48471422241914047</v>
      </c>
      <c r="V334" s="149">
        <f t="shared" si="123"/>
        <v>0.53083599817268157</v>
      </c>
      <c r="W334" s="149">
        <f t="shared" si="124"/>
        <v>9.9048868481469335E-2</v>
      </c>
      <c r="X334" s="218">
        <f t="shared" si="126"/>
        <v>4.8635703918722788E-2</v>
      </c>
      <c r="Y334" s="219">
        <f t="shared" si="125"/>
        <v>302</v>
      </c>
    </row>
    <row r="335" spans="1:25" x14ac:dyDescent="0.25">
      <c r="A335" s="151" t="s">
        <v>131</v>
      </c>
      <c r="B335" s="138">
        <v>1687</v>
      </c>
      <c r="C335" s="138">
        <v>1957</v>
      </c>
      <c r="D335" s="138">
        <v>2112</v>
      </c>
      <c r="E335" s="138">
        <v>2307</v>
      </c>
      <c r="F335" s="138">
        <v>1912</v>
      </c>
      <c r="G335" s="138">
        <v>1546</v>
      </c>
      <c r="H335" s="138">
        <v>1754</v>
      </c>
      <c r="I335" s="138">
        <v>1762</v>
      </c>
      <c r="J335" s="138">
        <v>1743</v>
      </c>
      <c r="K335" s="138">
        <v>1529</v>
      </c>
      <c r="L335" s="138">
        <v>1763</v>
      </c>
      <c r="M335" s="138">
        <v>1813</v>
      </c>
      <c r="N335" s="138">
        <v>2033</v>
      </c>
      <c r="O335" s="138">
        <v>2042</v>
      </c>
      <c r="P335" s="138">
        <v>2253</v>
      </c>
      <c r="Q335" s="138">
        <v>2159</v>
      </c>
      <c r="R335" s="138">
        <v>2633</v>
      </c>
      <c r="S335" s="138">
        <v>2976</v>
      </c>
      <c r="T335" s="138">
        <v>2871</v>
      </c>
      <c r="U335" s="149">
        <f t="shared" si="122"/>
        <v>0.87769784172661869</v>
      </c>
      <c r="V335" s="149">
        <f t="shared" si="123"/>
        <v>0.27430093209054596</v>
      </c>
      <c r="W335" s="149">
        <f t="shared" si="124"/>
        <v>-3.5282258064516132E-2</v>
      </c>
      <c r="X335" s="218">
        <f t="shared" si="126"/>
        <v>4.166908563134978E-2</v>
      </c>
      <c r="Y335" s="219">
        <f t="shared" si="125"/>
        <v>-105</v>
      </c>
    </row>
    <row r="336" spans="1:25" x14ac:dyDescent="0.25">
      <c r="A336" s="151" t="s">
        <v>132</v>
      </c>
      <c r="B336" s="138">
        <v>513</v>
      </c>
      <c r="C336" s="138">
        <v>544</v>
      </c>
      <c r="D336" s="138">
        <v>619</v>
      </c>
      <c r="E336" s="138">
        <v>774</v>
      </c>
      <c r="F336" s="138">
        <v>787</v>
      </c>
      <c r="G336" s="138">
        <v>841</v>
      </c>
      <c r="H336" s="138">
        <v>937</v>
      </c>
      <c r="I336" s="138">
        <v>1075</v>
      </c>
      <c r="J336" s="138">
        <v>835</v>
      </c>
      <c r="K336" s="138">
        <v>976</v>
      </c>
      <c r="L336" s="138">
        <v>1402</v>
      </c>
      <c r="M336" s="138">
        <v>1568</v>
      </c>
      <c r="N336" s="138">
        <v>1746</v>
      </c>
      <c r="O336" s="138">
        <v>1649</v>
      </c>
      <c r="P336" s="138">
        <v>1861</v>
      </c>
      <c r="Q336" s="138">
        <v>1665</v>
      </c>
      <c r="R336" s="138">
        <v>2016</v>
      </c>
      <c r="S336" s="138">
        <v>2328</v>
      </c>
      <c r="T336" s="138">
        <v>2564</v>
      </c>
      <c r="U336" s="149">
        <f t="shared" si="122"/>
        <v>1.6270491803278688</v>
      </c>
      <c r="V336" s="149">
        <f t="shared" si="123"/>
        <v>0.37775389575497043</v>
      </c>
      <c r="W336" s="149">
        <f t="shared" si="124"/>
        <v>0.1013745704467354</v>
      </c>
      <c r="X336" s="218">
        <f t="shared" si="126"/>
        <v>3.7213352685050799E-2</v>
      </c>
      <c r="Y336" s="219">
        <f t="shared" si="125"/>
        <v>236</v>
      </c>
    </row>
    <row r="337" spans="1:25" x14ac:dyDescent="0.25">
      <c r="A337" s="151" t="s">
        <v>28</v>
      </c>
      <c r="B337" s="138">
        <v>738</v>
      </c>
      <c r="C337" s="138">
        <v>779</v>
      </c>
      <c r="D337" s="138">
        <v>895</v>
      </c>
      <c r="E337" s="138">
        <v>1020</v>
      </c>
      <c r="F337" s="138">
        <v>1080</v>
      </c>
      <c r="G337" s="138">
        <v>1263</v>
      </c>
      <c r="H337" s="138">
        <v>1441</v>
      </c>
      <c r="I337" s="138">
        <v>1725</v>
      </c>
      <c r="J337" s="138">
        <v>1979</v>
      </c>
      <c r="K337" s="138">
        <v>2169</v>
      </c>
      <c r="L337" s="138">
        <v>2061</v>
      </c>
      <c r="M337" s="138">
        <v>1976</v>
      </c>
      <c r="N337" s="138">
        <v>2107</v>
      </c>
      <c r="O337" s="138">
        <v>1787</v>
      </c>
      <c r="P337" s="138">
        <v>1636</v>
      </c>
      <c r="Q337" s="138">
        <v>1521</v>
      </c>
      <c r="R337" s="138">
        <v>1720</v>
      </c>
      <c r="S337" s="138">
        <v>2002</v>
      </c>
      <c r="T337" s="138">
        <v>2296</v>
      </c>
      <c r="U337" s="149">
        <f t="shared" si="122"/>
        <v>5.855232826187183E-2</v>
      </c>
      <c r="V337" s="149">
        <f t="shared" si="123"/>
        <v>0.4034229828850856</v>
      </c>
      <c r="W337" s="149">
        <f t="shared" si="124"/>
        <v>0.14685314685314685</v>
      </c>
      <c r="X337" s="218">
        <f t="shared" si="126"/>
        <v>3.3323657474600872E-2</v>
      </c>
      <c r="Y337" s="219">
        <f t="shared" si="125"/>
        <v>294</v>
      </c>
    </row>
    <row r="338" spans="1:25" x14ac:dyDescent="0.25">
      <c r="A338" s="151" t="s">
        <v>24</v>
      </c>
      <c r="B338" s="138">
        <v>894</v>
      </c>
      <c r="C338" s="138">
        <v>933</v>
      </c>
      <c r="D338" s="138">
        <v>1178</v>
      </c>
      <c r="E338" s="138">
        <v>1363</v>
      </c>
      <c r="F338" s="138">
        <v>1391</v>
      </c>
      <c r="G338" s="138">
        <v>1378</v>
      </c>
      <c r="H338" s="138">
        <v>1509</v>
      </c>
      <c r="I338" s="138">
        <v>1482</v>
      </c>
      <c r="J338" s="138">
        <v>1675</v>
      </c>
      <c r="K338" s="138">
        <v>1705</v>
      </c>
      <c r="L338" s="138">
        <v>1822</v>
      </c>
      <c r="M338" s="138">
        <v>1928</v>
      </c>
      <c r="N338" s="138">
        <v>1928</v>
      </c>
      <c r="O338" s="138">
        <v>1822</v>
      </c>
      <c r="P338" s="138">
        <v>1826</v>
      </c>
      <c r="Q338" s="138">
        <v>1799</v>
      </c>
      <c r="R338" s="138">
        <v>1894</v>
      </c>
      <c r="S338" s="138">
        <v>2083</v>
      </c>
      <c r="T338" s="138">
        <v>2141</v>
      </c>
      <c r="U338" s="149">
        <f t="shared" si="122"/>
        <v>0.2557184750733138</v>
      </c>
      <c r="V338" s="149">
        <f t="shared" si="123"/>
        <v>0.17250821467688937</v>
      </c>
      <c r="W338" s="149">
        <f t="shared" si="124"/>
        <v>2.7844455112818051E-2</v>
      </c>
      <c r="X338" s="218">
        <f t="shared" si="126"/>
        <v>3.1074020319303338E-2</v>
      </c>
      <c r="Y338" s="219">
        <f t="shared" si="125"/>
        <v>58</v>
      </c>
    </row>
    <row r="339" spans="1:25" x14ac:dyDescent="0.25">
      <c r="A339" s="151" t="s">
        <v>22</v>
      </c>
      <c r="B339" s="138">
        <v>956</v>
      </c>
      <c r="C339" s="138">
        <v>1104</v>
      </c>
      <c r="D339" s="138">
        <v>1077</v>
      </c>
      <c r="E339" s="138">
        <v>1298</v>
      </c>
      <c r="F339" s="138">
        <v>1376</v>
      </c>
      <c r="G339" s="138">
        <v>1580</v>
      </c>
      <c r="H339" s="138">
        <v>1786</v>
      </c>
      <c r="I339" s="138">
        <v>1904</v>
      </c>
      <c r="J339" s="138">
        <v>2015</v>
      </c>
      <c r="K339" s="138">
        <v>2333</v>
      </c>
      <c r="L339" s="138">
        <v>2617</v>
      </c>
      <c r="M339" s="138">
        <v>2115</v>
      </c>
      <c r="N339" s="138">
        <v>2165</v>
      </c>
      <c r="O339" s="138">
        <v>1604</v>
      </c>
      <c r="P339" s="138">
        <v>2259</v>
      </c>
      <c r="Q339" s="138">
        <v>2228</v>
      </c>
      <c r="R339" s="138">
        <v>1897</v>
      </c>
      <c r="S339" s="138">
        <v>2095</v>
      </c>
      <c r="T339" s="138">
        <v>2033</v>
      </c>
      <c r="U339" s="149">
        <f t="shared" si="122"/>
        <v>-0.12858979854264896</v>
      </c>
      <c r="V339" s="149">
        <f t="shared" si="123"/>
        <v>-0.10004426737494466</v>
      </c>
      <c r="W339" s="149">
        <f t="shared" si="124"/>
        <v>-2.9594272076372316E-2</v>
      </c>
      <c r="X339" s="218">
        <f t="shared" si="126"/>
        <v>2.9506531204644412E-2</v>
      </c>
      <c r="Y339" s="219">
        <f t="shared" si="125"/>
        <v>-62</v>
      </c>
    </row>
    <row r="340" spans="1:25" x14ac:dyDescent="0.25">
      <c r="A340" s="151" t="s">
        <v>332</v>
      </c>
      <c r="B340" s="138">
        <v>0</v>
      </c>
      <c r="C340" s="138">
        <v>0</v>
      </c>
      <c r="D340" s="138">
        <v>0</v>
      </c>
      <c r="E340" s="138">
        <v>0</v>
      </c>
      <c r="F340" s="138">
        <v>0</v>
      </c>
      <c r="G340" s="138">
        <v>25</v>
      </c>
      <c r="H340" s="138">
        <v>0</v>
      </c>
      <c r="I340" s="138">
        <v>0</v>
      </c>
      <c r="J340" s="138">
        <v>0</v>
      </c>
      <c r="K340" s="138">
        <v>74</v>
      </c>
      <c r="L340" s="138">
        <v>136</v>
      </c>
      <c r="M340" s="138">
        <v>248</v>
      </c>
      <c r="N340" s="138">
        <v>290</v>
      </c>
      <c r="O340" s="138">
        <v>698</v>
      </c>
      <c r="P340" s="138">
        <v>821</v>
      </c>
      <c r="Q340" s="138">
        <v>903</v>
      </c>
      <c r="R340" s="138">
        <v>1274</v>
      </c>
      <c r="S340" s="138">
        <v>1555</v>
      </c>
      <c r="T340" s="138">
        <v>1855</v>
      </c>
      <c r="U340" s="149">
        <f t="shared" si="122"/>
        <v>24.067567567567568</v>
      </c>
      <c r="V340" s="149">
        <f t="shared" si="123"/>
        <v>1.2594397076735688</v>
      </c>
      <c r="W340" s="149">
        <f t="shared" si="124"/>
        <v>0.19292604501607716</v>
      </c>
      <c r="X340" s="218">
        <f t="shared" si="126"/>
        <v>2.6923076923076925E-2</v>
      </c>
      <c r="Y340" s="219">
        <f t="shared" si="125"/>
        <v>300</v>
      </c>
    </row>
    <row r="341" spans="1:25" x14ac:dyDescent="0.25">
      <c r="A341" s="151" t="s">
        <v>31</v>
      </c>
      <c r="B341" s="138">
        <v>650</v>
      </c>
      <c r="C341" s="138">
        <v>633</v>
      </c>
      <c r="D341" s="138">
        <v>835</v>
      </c>
      <c r="E341" s="138">
        <v>1000</v>
      </c>
      <c r="F341" s="138">
        <v>1066</v>
      </c>
      <c r="G341" s="138">
        <v>1248</v>
      </c>
      <c r="H341" s="138">
        <v>1249</v>
      </c>
      <c r="I341" s="138">
        <v>1306</v>
      </c>
      <c r="J341" s="138">
        <v>1416</v>
      </c>
      <c r="K341" s="138">
        <v>1584</v>
      </c>
      <c r="L341" s="138">
        <v>1731</v>
      </c>
      <c r="M341" s="138">
        <v>1802</v>
      </c>
      <c r="N341" s="138">
        <v>1761</v>
      </c>
      <c r="O341" s="138">
        <v>1911</v>
      </c>
      <c r="P341" s="138">
        <v>1991</v>
      </c>
      <c r="Q341" s="138">
        <v>1719</v>
      </c>
      <c r="R341" s="138">
        <v>1745</v>
      </c>
      <c r="S341" s="138">
        <v>1742</v>
      </c>
      <c r="T341" s="138">
        <v>1715</v>
      </c>
      <c r="U341" s="149">
        <f t="shared" si="122"/>
        <v>8.2702020202020207E-2</v>
      </c>
      <c r="V341" s="149">
        <f t="shared" si="123"/>
        <v>-0.13862380713209443</v>
      </c>
      <c r="W341" s="149">
        <f t="shared" si="124"/>
        <v>-1.5499425947187142E-2</v>
      </c>
      <c r="X341" s="218">
        <f t="shared" si="126"/>
        <v>2.4891146589259797E-2</v>
      </c>
      <c r="Y341" s="219">
        <f t="shared" si="125"/>
        <v>-27</v>
      </c>
    </row>
    <row r="342" spans="1:25" x14ac:dyDescent="0.25">
      <c r="A342" s="151" t="s">
        <v>41</v>
      </c>
      <c r="B342" s="123">
        <v>785</v>
      </c>
      <c r="C342" s="123">
        <v>738</v>
      </c>
      <c r="D342" s="123">
        <v>939</v>
      </c>
      <c r="E342" s="123">
        <v>1009</v>
      </c>
      <c r="F342" s="123">
        <v>1087</v>
      </c>
      <c r="G342" s="138">
        <v>1047</v>
      </c>
      <c r="H342" s="138">
        <v>1021</v>
      </c>
      <c r="I342" s="138">
        <v>982</v>
      </c>
      <c r="J342" s="138">
        <v>1179</v>
      </c>
      <c r="K342" s="138">
        <v>1376</v>
      </c>
      <c r="L342" s="138">
        <v>1618</v>
      </c>
      <c r="M342" s="138">
        <v>1761</v>
      </c>
      <c r="N342" s="138">
        <v>1844</v>
      </c>
      <c r="O342" s="138">
        <v>1555</v>
      </c>
      <c r="P342" s="138">
        <v>1767</v>
      </c>
      <c r="Q342" s="138">
        <v>1539</v>
      </c>
      <c r="R342" s="138">
        <v>1510</v>
      </c>
      <c r="S342" s="138">
        <v>1527</v>
      </c>
      <c r="T342" s="138">
        <v>1428</v>
      </c>
      <c r="U342" s="149">
        <f t="shared" si="122"/>
        <v>3.7790697674418602E-2</v>
      </c>
      <c r="V342" s="149">
        <f t="shared" si="123"/>
        <v>-0.19185059422750425</v>
      </c>
      <c r="W342" s="149">
        <f t="shared" si="124"/>
        <v>-6.4833005893909626E-2</v>
      </c>
      <c r="X342" s="218">
        <f t="shared" si="126"/>
        <v>2.0725689404934688E-2</v>
      </c>
      <c r="Y342" s="219">
        <f t="shared" si="125"/>
        <v>-99</v>
      </c>
    </row>
    <row r="343" spans="1:25" x14ac:dyDescent="0.25">
      <c r="A343" s="151" t="s">
        <v>32</v>
      </c>
      <c r="B343" s="138">
        <v>173</v>
      </c>
      <c r="C343" s="138">
        <v>168</v>
      </c>
      <c r="D343" s="138">
        <v>233</v>
      </c>
      <c r="E343" s="138">
        <v>194</v>
      </c>
      <c r="F343" s="138">
        <v>293</v>
      </c>
      <c r="G343" s="138">
        <v>280</v>
      </c>
      <c r="H343" s="138">
        <v>448</v>
      </c>
      <c r="I343" s="138">
        <v>661</v>
      </c>
      <c r="J343" s="138">
        <v>832</v>
      </c>
      <c r="K343" s="138">
        <v>777</v>
      </c>
      <c r="L343" s="138">
        <v>806</v>
      </c>
      <c r="M343" s="138">
        <v>1185</v>
      </c>
      <c r="N343" s="138">
        <v>1116</v>
      </c>
      <c r="O343" s="138">
        <v>1372</v>
      </c>
      <c r="P343" s="138">
        <v>1756</v>
      </c>
      <c r="Q343" s="138">
        <v>1215</v>
      </c>
      <c r="R343" s="138">
        <v>1223</v>
      </c>
      <c r="S343" s="138">
        <v>1482</v>
      </c>
      <c r="T343" s="138">
        <v>1397</v>
      </c>
      <c r="U343" s="149">
        <f t="shared" si="122"/>
        <v>0.79794079794079797</v>
      </c>
      <c r="V343" s="149">
        <f t="shared" si="123"/>
        <v>-0.20444191343963553</v>
      </c>
      <c r="W343" s="149">
        <f t="shared" si="124"/>
        <v>-5.7354925775978408E-2</v>
      </c>
      <c r="X343" s="218">
        <f t="shared" si="126"/>
        <v>2.0275761973875182E-2</v>
      </c>
      <c r="Y343" s="219">
        <f t="shared" si="125"/>
        <v>-85</v>
      </c>
    </row>
    <row r="344" spans="1:25" x14ac:dyDescent="0.25">
      <c r="A344" s="151" t="s">
        <v>331</v>
      </c>
      <c r="B344" s="138">
        <v>82</v>
      </c>
      <c r="C344" s="138">
        <v>64</v>
      </c>
      <c r="D344" s="138">
        <v>61</v>
      </c>
      <c r="E344" s="138">
        <v>49</v>
      </c>
      <c r="F344" s="138">
        <v>74</v>
      </c>
      <c r="G344" s="138">
        <v>54</v>
      </c>
      <c r="H344" s="138">
        <v>81</v>
      </c>
      <c r="I344" s="138">
        <v>102</v>
      </c>
      <c r="J344" s="138">
        <v>177</v>
      </c>
      <c r="K344" s="138">
        <v>157</v>
      </c>
      <c r="L344" s="138">
        <v>220</v>
      </c>
      <c r="M344" s="138">
        <v>275</v>
      </c>
      <c r="N344" s="138">
        <v>568</v>
      </c>
      <c r="O344" s="138">
        <v>639</v>
      </c>
      <c r="P344" s="138">
        <v>819</v>
      </c>
      <c r="Q344" s="138">
        <v>773</v>
      </c>
      <c r="R344" s="138">
        <v>865</v>
      </c>
      <c r="S344" s="138">
        <v>911</v>
      </c>
      <c r="T344" s="138">
        <v>1369</v>
      </c>
      <c r="U344" s="149">
        <f t="shared" si="122"/>
        <v>7.7197452229299364</v>
      </c>
      <c r="V344" s="149">
        <f t="shared" si="123"/>
        <v>0.6715506715506715</v>
      </c>
      <c r="W344" s="149">
        <f t="shared" si="124"/>
        <v>0.5027442371020856</v>
      </c>
      <c r="X344" s="218">
        <f t="shared" si="126"/>
        <v>1.9869375907111755E-2</v>
      </c>
      <c r="Y344" s="219">
        <f t="shared" si="125"/>
        <v>458</v>
      </c>
    </row>
    <row r="345" spans="1:25" x14ac:dyDescent="0.25">
      <c r="A345" s="151" t="s">
        <v>313</v>
      </c>
      <c r="B345" s="138">
        <v>103</v>
      </c>
      <c r="C345" s="138">
        <v>109</v>
      </c>
      <c r="D345" s="138">
        <v>177</v>
      </c>
      <c r="E345" s="138">
        <v>187</v>
      </c>
      <c r="F345" s="138">
        <v>235</v>
      </c>
      <c r="G345" s="138">
        <v>205</v>
      </c>
      <c r="H345" s="138">
        <v>284</v>
      </c>
      <c r="I345" s="138">
        <v>354</v>
      </c>
      <c r="J345" s="138">
        <v>408</v>
      </c>
      <c r="K345" s="138">
        <v>541</v>
      </c>
      <c r="L345" s="138">
        <v>457</v>
      </c>
      <c r="M345" s="138">
        <v>480</v>
      </c>
      <c r="N345" s="138">
        <v>664</v>
      </c>
      <c r="O345" s="138">
        <v>723</v>
      </c>
      <c r="P345" s="138">
        <v>1011</v>
      </c>
      <c r="Q345" s="138">
        <v>983</v>
      </c>
      <c r="R345" s="138">
        <v>1110</v>
      </c>
      <c r="S345" s="138">
        <v>1294</v>
      </c>
      <c r="T345" s="138">
        <v>1337</v>
      </c>
      <c r="U345" s="149">
        <f t="shared" si="122"/>
        <v>1.4713493530499075</v>
      </c>
      <c r="V345" s="149">
        <f t="shared" si="123"/>
        <v>0.32245301681503463</v>
      </c>
      <c r="W345" s="149">
        <f t="shared" si="124"/>
        <v>3.3230293663060281E-2</v>
      </c>
      <c r="X345" s="218">
        <f t="shared" si="126"/>
        <v>1.9404934687953557E-2</v>
      </c>
      <c r="Y345" s="219">
        <f t="shared" si="125"/>
        <v>43</v>
      </c>
    </row>
    <row r="346" spans="1:25" x14ac:dyDescent="0.25">
      <c r="A346" s="151" t="s">
        <v>466</v>
      </c>
      <c r="B346" s="138">
        <v>125</v>
      </c>
      <c r="C346" s="138">
        <v>232</v>
      </c>
      <c r="D346" s="138">
        <v>260</v>
      </c>
      <c r="E346" s="138">
        <v>327</v>
      </c>
      <c r="F346" s="138">
        <v>202</v>
      </c>
      <c r="G346" s="138">
        <v>188</v>
      </c>
      <c r="H346" s="138">
        <v>182</v>
      </c>
      <c r="I346" s="138">
        <v>232</v>
      </c>
      <c r="J346" s="138">
        <v>253</v>
      </c>
      <c r="K346" s="138">
        <v>258</v>
      </c>
      <c r="L346" s="138">
        <v>288</v>
      </c>
      <c r="M346" s="138">
        <v>293</v>
      </c>
      <c r="N346" s="138">
        <v>478</v>
      </c>
      <c r="O346" s="138">
        <v>618</v>
      </c>
      <c r="P346" s="138">
        <v>810</v>
      </c>
      <c r="Q346" s="138">
        <v>631</v>
      </c>
      <c r="R346" s="138">
        <v>552</v>
      </c>
      <c r="S346" s="138">
        <v>997</v>
      </c>
      <c r="T346" s="138">
        <v>1242</v>
      </c>
      <c r="U346" s="149">
        <f t="shared" si="122"/>
        <v>3.8139534883720931</v>
      </c>
      <c r="V346" s="149">
        <f t="shared" si="123"/>
        <v>0.53333333333333333</v>
      </c>
      <c r="W346" s="149">
        <f t="shared" si="124"/>
        <v>0.24573721163490472</v>
      </c>
      <c r="X346" s="218">
        <f t="shared" si="126"/>
        <v>1.8026124818577648E-2</v>
      </c>
      <c r="Y346" s="219">
        <f t="shared" si="125"/>
        <v>245</v>
      </c>
    </row>
    <row r="347" spans="1:25" x14ac:dyDescent="0.25">
      <c r="A347" s="151" t="s">
        <v>373</v>
      </c>
      <c r="B347" s="138">
        <v>118</v>
      </c>
      <c r="C347" s="138">
        <v>143</v>
      </c>
      <c r="D347" s="138">
        <v>120</v>
      </c>
      <c r="E347" s="138">
        <v>247</v>
      </c>
      <c r="F347" s="138">
        <v>272</v>
      </c>
      <c r="G347" s="138">
        <v>219</v>
      </c>
      <c r="H347" s="138">
        <v>141</v>
      </c>
      <c r="I347" s="138">
        <v>131</v>
      </c>
      <c r="J347" s="138">
        <v>122</v>
      </c>
      <c r="K347" s="138">
        <v>67</v>
      </c>
      <c r="L347" s="138">
        <v>38</v>
      </c>
      <c r="M347" s="138">
        <v>9</v>
      </c>
      <c r="N347" s="138">
        <v>0</v>
      </c>
      <c r="O347" s="138">
        <v>0</v>
      </c>
      <c r="P347" s="138">
        <v>64</v>
      </c>
      <c r="Q347" s="138">
        <v>31</v>
      </c>
      <c r="R347" s="138">
        <v>882</v>
      </c>
      <c r="S347" s="138">
        <v>1096</v>
      </c>
      <c r="T347" s="138">
        <v>1199</v>
      </c>
      <c r="U347" s="149">
        <f t="shared" si="122"/>
        <v>16.895522388059703</v>
      </c>
      <c r="V347" s="149">
        <f t="shared" si="123"/>
        <v>17.734375</v>
      </c>
      <c r="W347" s="149">
        <f t="shared" si="124"/>
        <v>9.3978102189781018E-2</v>
      </c>
      <c r="X347" s="218">
        <f t="shared" si="126"/>
        <v>1.7402031930333819E-2</v>
      </c>
      <c r="Y347" s="219">
        <f t="shared" si="125"/>
        <v>103</v>
      </c>
    </row>
    <row r="348" spans="1:25" x14ac:dyDescent="0.25">
      <c r="A348" s="151" t="s">
        <v>578</v>
      </c>
      <c r="B348" s="138">
        <v>1871</v>
      </c>
      <c r="C348" s="138">
        <v>2567</v>
      </c>
      <c r="D348" s="138">
        <v>3135</v>
      </c>
      <c r="E348" s="138">
        <v>4780</v>
      </c>
      <c r="F348" s="138">
        <v>5984</v>
      </c>
      <c r="G348" s="138">
        <v>7813</v>
      </c>
      <c r="H348" s="138">
        <v>9707</v>
      </c>
      <c r="I348" s="138">
        <v>8445</v>
      </c>
      <c r="J348" s="138">
        <v>5605</v>
      </c>
      <c r="K348" s="138">
        <v>2996</v>
      </c>
      <c r="L348" s="138">
        <v>1375</v>
      </c>
      <c r="M348" s="138">
        <v>674</v>
      </c>
      <c r="N348" s="138">
        <v>407</v>
      </c>
      <c r="O348" s="138">
        <v>68</v>
      </c>
      <c r="P348" s="138">
        <v>117</v>
      </c>
      <c r="Q348" s="138">
        <v>73</v>
      </c>
      <c r="R348" s="138">
        <v>138</v>
      </c>
      <c r="S348" s="138">
        <v>882</v>
      </c>
      <c r="T348" s="138">
        <v>1126</v>
      </c>
      <c r="U348" s="149">
        <f t="shared" si="122"/>
        <v>-0.62416555407209617</v>
      </c>
      <c r="V348" s="149">
        <f t="shared" si="123"/>
        <v>8.6239316239316235</v>
      </c>
      <c r="W348" s="149">
        <f t="shared" si="124"/>
        <v>0.27664399092970521</v>
      </c>
      <c r="X348" s="218">
        <f t="shared" si="126"/>
        <v>1.6342525399129174E-2</v>
      </c>
      <c r="Y348" s="219">
        <f t="shared" si="125"/>
        <v>244</v>
      </c>
    </row>
    <row r="349" spans="1:25" x14ac:dyDescent="0.25">
      <c r="A349" s="3"/>
      <c r="B349" s="3"/>
      <c r="C349" s="3"/>
      <c r="D349" s="3"/>
      <c r="E349" s="3"/>
      <c r="F349" s="3"/>
      <c r="G349" s="3"/>
      <c r="H349" s="3"/>
      <c r="I349" s="3"/>
      <c r="J349" s="3"/>
      <c r="K349" s="3"/>
      <c r="L349" s="3"/>
      <c r="N349" s="3"/>
      <c r="O349" s="3"/>
      <c r="P349" s="3"/>
      <c r="Q349" s="3"/>
      <c r="R349" s="3"/>
      <c r="S349" s="3"/>
      <c r="T349" s="3"/>
      <c r="U349" s="27"/>
      <c r="V349" s="27"/>
      <c r="W349" s="27"/>
      <c r="X349" s="27"/>
      <c r="Y349" s="27"/>
    </row>
    <row r="350" spans="1:25" ht="15.75" x14ac:dyDescent="0.25">
      <c r="A350" s="22" t="s">
        <v>616</v>
      </c>
      <c r="B350" s="22"/>
      <c r="C350" s="22"/>
      <c r="D350" s="22"/>
      <c r="E350" s="22"/>
      <c r="F350" s="22"/>
      <c r="G350" s="22"/>
      <c r="H350" s="22"/>
      <c r="I350" s="3"/>
      <c r="J350" s="3"/>
      <c r="K350" s="3"/>
      <c r="L350" s="3"/>
      <c r="N350" s="3"/>
      <c r="O350" s="3"/>
      <c r="P350" s="3"/>
      <c r="Q350" s="3"/>
      <c r="R350" s="3"/>
      <c r="S350" s="3"/>
      <c r="T350" s="3"/>
      <c r="U350" s="27"/>
      <c r="V350" s="27"/>
      <c r="W350" s="27"/>
      <c r="X350" s="27"/>
      <c r="Y350" s="27"/>
    </row>
    <row r="351" spans="1:25" ht="30" customHeight="1" x14ac:dyDescent="0.25">
      <c r="A351" s="120" t="s">
        <v>3</v>
      </c>
      <c r="B351" s="105">
        <v>2007</v>
      </c>
      <c r="C351" s="105">
        <v>2008</v>
      </c>
      <c r="D351" s="105">
        <v>2009</v>
      </c>
      <c r="E351" s="105">
        <v>2010</v>
      </c>
      <c r="F351" s="105">
        <v>2011</v>
      </c>
      <c r="G351" s="105">
        <v>2012</v>
      </c>
      <c r="H351" s="105">
        <v>2013</v>
      </c>
      <c r="I351" s="105">
        <v>2014</v>
      </c>
      <c r="J351" s="105">
        <v>2015</v>
      </c>
      <c r="K351" s="105">
        <v>2016</v>
      </c>
      <c r="L351" s="105">
        <v>2017</v>
      </c>
      <c r="M351" s="132">
        <v>2018</v>
      </c>
      <c r="N351" s="105">
        <v>2019</v>
      </c>
      <c r="O351" s="105">
        <v>2020</v>
      </c>
      <c r="P351" s="105">
        <v>2021</v>
      </c>
      <c r="Q351" s="105">
        <v>2022</v>
      </c>
      <c r="R351" s="105">
        <v>2023</v>
      </c>
      <c r="S351" s="105">
        <v>2024</v>
      </c>
      <c r="T351" s="105">
        <v>2025</v>
      </c>
      <c r="U351" s="106" t="s">
        <v>546</v>
      </c>
      <c r="V351" s="106" t="s">
        <v>547</v>
      </c>
      <c r="W351" s="106" t="s">
        <v>548</v>
      </c>
      <c r="X351" s="106" t="s">
        <v>549</v>
      </c>
      <c r="Y351" s="216" t="s">
        <v>563</v>
      </c>
    </row>
    <row r="352" spans="1:25" x14ac:dyDescent="0.25">
      <c r="A352" s="151" t="s">
        <v>42</v>
      </c>
      <c r="B352" s="123">
        <v>3966</v>
      </c>
      <c r="C352" s="123">
        <v>5142</v>
      </c>
      <c r="D352" s="123">
        <v>7127</v>
      </c>
      <c r="E352" s="123">
        <v>8738</v>
      </c>
      <c r="F352" s="123">
        <v>10341</v>
      </c>
      <c r="G352" s="123">
        <v>11432</v>
      </c>
      <c r="H352" s="123">
        <v>13082</v>
      </c>
      <c r="I352" s="123">
        <v>14638</v>
      </c>
      <c r="J352" s="123">
        <v>17255</v>
      </c>
      <c r="K352" s="123">
        <v>18579</v>
      </c>
      <c r="L352" s="123">
        <v>19543</v>
      </c>
      <c r="M352" s="123">
        <v>20475</v>
      </c>
      <c r="N352" s="123">
        <v>21493</v>
      </c>
      <c r="O352" s="123">
        <v>20854</v>
      </c>
      <c r="P352" s="123">
        <v>22636</v>
      </c>
      <c r="Q352" s="123">
        <v>24237</v>
      </c>
      <c r="R352" s="123">
        <v>24766</v>
      </c>
      <c r="S352" s="123">
        <v>25123</v>
      </c>
      <c r="T352" s="123">
        <v>26672</v>
      </c>
      <c r="U352" s="149">
        <f t="shared" ref="U352:U371" si="127">(T352-K352)/K352</f>
        <v>0.43559933257979438</v>
      </c>
      <c r="V352" s="149">
        <f t="shared" ref="V352:V371" si="128">(T352-P352)/P352</f>
        <v>0.17830005301289981</v>
      </c>
      <c r="W352" s="149">
        <f t="shared" ref="W352:W371" si="129">(T352-S352)/S352</f>
        <v>6.1656649285515265E-2</v>
      </c>
      <c r="X352" s="218">
        <f>T352/T$7</f>
        <v>6.0218005797834394E-2</v>
      </c>
      <c r="Y352" s="219">
        <f t="shared" ref="Y352:Y371" si="130">T352-S352</f>
        <v>1549</v>
      </c>
    </row>
    <row r="353" spans="1:25" x14ac:dyDescent="0.25">
      <c r="A353" s="151" t="s">
        <v>16</v>
      </c>
      <c r="B353" s="123">
        <v>5896</v>
      </c>
      <c r="C353" s="123">
        <v>5647</v>
      </c>
      <c r="D353" s="123">
        <v>6755</v>
      </c>
      <c r="E353" s="123">
        <v>7748</v>
      </c>
      <c r="F353" s="123">
        <v>8217</v>
      </c>
      <c r="G353" s="123">
        <v>8054</v>
      </c>
      <c r="H353" s="123">
        <v>8066</v>
      </c>
      <c r="I353" s="123">
        <v>7806</v>
      </c>
      <c r="J353" s="123">
        <v>7907</v>
      </c>
      <c r="K353" s="123">
        <v>8157</v>
      </c>
      <c r="L353" s="123">
        <v>8609</v>
      </c>
      <c r="M353" s="123">
        <v>9391</v>
      </c>
      <c r="N353" s="123">
        <v>10871</v>
      </c>
      <c r="O353" s="123">
        <v>11308</v>
      </c>
      <c r="P353" s="123">
        <v>14214</v>
      </c>
      <c r="Q353" s="123">
        <v>16575</v>
      </c>
      <c r="R353" s="123">
        <v>20270</v>
      </c>
      <c r="S353" s="123">
        <v>23671</v>
      </c>
      <c r="T353" s="123">
        <v>26545</v>
      </c>
      <c r="U353" s="149">
        <f t="shared" si="127"/>
        <v>2.2542601446610275</v>
      </c>
      <c r="V353" s="149">
        <f t="shared" si="128"/>
        <v>0.86752497537638951</v>
      </c>
      <c r="W353" s="149">
        <f t="shared" si="129"/>
        <v>0.12141438891470575</v>
      </c>
      <c r="X353" s="218">
        <f t="shared" ref="X353:X371" si="131">T353/T$7</f>
        <v>5.9931274891403492E-2</v>
      </c>
      <c r="Y353" s="219">
        <f t="shared" si="130"/>
        <v>2874</v>
      </c>
    </row>
    <row r="354" spans="1:25" x14ac:dyDescent="0.25">
      <c r="A354" s="151" t="s">
        <v>29</v>
      </c>
      <c r="B354" s="123">
        <v>7073</v>
      </c>
      <c r="C354" s="123">
        <v>7444</v>
      </c>
      <c r="D354" s="123">
        <v>7327</v>
      </c>
      <c r="E354" s="123">
        <v>8012</v>
      </c>
      <c r="F354" s="123">
        <v>8875</v>
      </c>
      <c r="G354" s="123">
        <v>9096</v>
      </c>
      <c r="H354" s="123">
        <v>9428</v>
      </c>
      <c r="I354" s="123">
        <v>9963</v>
      </c>
      <c r="J354" s="123">
        <v>10711</v>
      </c>
      <c r="K354" s="123">
        <v>11924</v>
      </c>
      <c r="L354" s="123">
        <v>13450</v>
      </c>
      <c r="M354" s="123">
        <v>14952</v>
      </c>
      <c r="N354" s="123">
        <v>16417</v>
      </c>
      <c r="O354" s="123">
        <v>16606</v>
      </c>
      <c r="P354" s="123">
        <v>15895</v>
      </c>
      <c r="Q354" s="123">
        <v>16381</v>
      </c>
      <c r="R354" s="123">
        <v>17835</v>
      </c>
      <c r="S354" s="123">
        <v>20081</v>
      </c>
      <c r="T354" s="123">
        <v>22070</v>
      </c>
      <c r="U354" s="149">
        <f t="shared" si="127"/>
        <v>0.85088896343508891</v>
      </c>
      <c r="V354" s="149">
        <f t="shared" si="128"/>
        <v>0.38848694558037117</v>
      </c>
      <c r="W354" s="149">
        <f t="shared" si="129"/>
        <v>9.904885214879737E-2</v>
      </c>
      <c r="X354" s="218">
        <f t="shared" si="131"/>
        <v>4.9827961456141462E-2</v>
      </c>
      <c r="Y354" s="219">
        <f t="shared" si="130"/>
        <v>1989</v>
      </c>
    </row>
    <row r="355" spans="1:25" x14ac:dyDescent="0.25">
      <c r="A355" s="151" t="s">
        <v>12</v>
      </c>
      <c r="B355" s="123">
        <v>4239</v>
      </c>
      <c r="C355" s="123">
        <v>5141</v>
      </c>
      <c r="D355" s="123">
        <v>6337</v>
      </c>
      <c r="E355" s="123">
        <v>8050</v>
      </c>
      <c r="F355" s="123">
        <v>8784</v>
      </c>
      <c r="G355" s="123">
        <v>9409</v>
      </c>
      <c r="H355" s="123">
        <v>11617</v>
      </c>
      <c r="I355" s="123">
        <v>12592</v>
      </c>
      <c r="J355" s="123">
        <v>11376</v>
      </c>
      <c r="K355" s="123">
        <v>12351</v>
      </c>
      <c r="L355" s="123">
        <v>11352</v>
      </c>
      <c r="M355" s="123">
        <v>10883</v>
      </c>
      <c r="N355" s="123">
        <v>10975</v>
      </c>
      <c r="O355" s="123">
        <v>12552</v>
      </c>
      <c r="P355" s="123">
        <v>15777</v>
      </c>
      <c r="Q355" s="123">
        <v>18010</v>
      </c>
      <c r="R355" s="123">
        <v>19081</v>
      </c>
      <c r="S355" s="123">
        <v>19984</v>
      </c>
      <c r="T355" s="123">
        <v>20144</v>
      </c>
      <c r="U355" s="149">
        <f t="shared" si="127"/>
        <v>0.63096105578495665</v>
      </c>
      <c r="V355" s="149">
        <f t="shared" si="128"/>
        <v>0.27679533498130188</v>
      </c>
      <c r="W355" s="149">
        <f t="shared" si="129"/>
        <v>8.0064051240992789E-3</v>
      </c>
      <c r="X355" s="218">
        <f t="shared" si="131"/>
        <v>4.5479585662551586E-2</v>
      </c>
      <c r="Y355" s="219">
        <f t="shared" si="130"/>
        <v>160</v>
      </c>
    </row>
    <row r="356" spans="1:25" x14ac:dyDescent="0.25">
      <c r="A356" s="151" t="s">
        <v>17</v>
      </c>
      <c r="B356" s="123">
        <v>6718</v>
      </c>
      <c r="C356" s="123">
        <v>9811</v>
      </c>
      <c r="D356" s="123">
        <v>12040</v>
      </c>
      <c r="E356" s="123">
        <v>15641</v>
      </c>
      <c r="F356" s="123">
        <v>19863</v>
      </c>
      <c r="G356" s="123">
        <v>23800</v>
      </c>
      <c r="H356" s="123">
        <v>24361</v>
      </c>
      <c r="I356" s="123">
        <v>25311</v>
      </c>
      <c r="J356" s="123">
        <v>26367</v>
      </c>
      <c r="K356" s="123">
        <v>26567</v>
      </c>
      <c r="L356" s="123">
        <v>25434</v>
      </c>
      <c r="M356" s="123">
        <v>25004</v>
      </c>
      <c r="N356" s="123">
        <v>24422</v>
      </c>
      <c r="O356" s="123">
        <v>22300</v>
      </c>
      <c r="P356" s="123">
        <v>24787</v>
      </c>
      <c r="Q356" s="123">
        <v>25534</v>
      </c>
      <c r="R356" s="123">
        <v>24374</v>
      </c>
      <c r="S356" s="123">
        <v>21550</v>
      </c>
      <c r="T356" s="123">
        <v>18104</v>
      </c>
      <c r="U356" s="149">
        <f t="shared" si="127"/>
        <v>-0.31855309218203032</v>
      </c>
      <c r="V356" s="149">
        <f t="shared" si="128"/>
        <v>-0.26961713801589543</v>
      </c>
      <c r="W356" s="149">
        <f t="shared" si="129"/>
        <v>-0.15990719257540603</v>
      </c>
      <c r="X356" s="218">
        <f t="shared" si="131"/>
        <v>4.0873829370275713E-2</v>
      </c>
      <c r="Y356" s="219">
        <f t="shared" si="130"/>
        <v>-3446</v>
      </c>
    </row>
    <row r="357" spans="1:25" x14ac:dyDescent="0.25">
      <c r="A357" s="151" t="s">
        <v>333</v>
      </c>
      <c r="B357" s="123">
        <v>852</v>
      </c>
      <c r="C357" s="123">
        <v>795</v>
      </c>
      <c r="D357" s="123">
        <v>833</v>
      </c>
      <c r="E357" s="123">
        <v>969</v>
      </c>
      <c r="F357" s="123">
        <v>1101</v>
      </c>
      <c r="G357" s="123">
        <v>1362</v>
      </c>
      <c r="H357" s="123">
        <v>1655</v>
      </c>
      <c r="I357" s="123">
        <v>1914</v>
      </c>
      <c r="J357" s="123">
        <v>2332</v>
      </c>
      <c r="K357" s="123">
        <v>2846</v>
      </c>
      <c r="L357" s="123">
        <v>3358</v>
      </c>
      <c r="M357" s="123">
        <v>3888</v>
      </c>
      <c r="N357" s="123">
        <v>4433</v>
      </c>
      <c r="O357" s="123">
        <v>4929</v>
      </c>
      <c r="P357" s="123">
        <v>6137</v>
      </c>
      <c r="Q357" s="123">
        <v>7606</v>
      </c>
      <c r="R357" s="123">
        <v>10160</v>
      </c>
      <c r="S357" s="123">
        <v>13043</v>
      </c>
      <c r="T357" s="123">
        <v>15834</v>
      </c>
      <c r="U357" s="149">
        <f t="shared" si="127"/>
        <v>4.5635980323260714</v>
      </c>
      <c r="V357" s="149">
        <f t="shared" si="128"/>
        <v>1.5800879908750203</v>
      </c>
      <c r="W357" s="149">
        <f t="shared" si="129"/>
        <v>0.21398451276546807</v>
      </c>
      <c r="X357" s="218">
        <f t="shared" si="131"/>
        <v>3.5748796633282461E-2</v>
      </c>
      <c r="Y357" s="219">
        <f t="shared" si="130"/>
        <v>2791</v>
      </c>
    </row>
    <row r="358" spans="1:25" x14ac:dyDescent="0.25">
      <c r="A358" s="151" t="s">
        <v>10</v>
      </c>
      <c r="B358" s="123">
        <v>6540</v>
      </c>
      <c r="C358" s="123">
        <v>7528</v>
      </c>
      <c r="D358" s="123">
        <v>8375</v>
      </c>
      <c r="E358" s="123">
        <v>8806</v>
      </c>
      <c r="F358" s="123">
        <v>9395</v>
      </c>
      <c r="G358" s="123">
        <v>9486</v>
      </c>
      <c r="H358" s="123">
        <v>9859</v>
      </c>
      <c r="I358" s="123">
        <v>9885</v>
      </c>
      <c r="J358" s="123">
        <v>10324</v>
      </c>
      <c r="K358" s="123">
        <v>10839</v>
      </c>
      <c r="L358" s="123">
        <v>10933</v>
      </c>
      <c r="M358" s="123">
        <v>11490</v>
      </c>
      <c r="N358" s="123">
        <v>12139</v>
      </c>
      <c r="O358" s="123">
        <v>12066</v>
      </c>
      <c r="P358" s="123">
        <v>13180</v>
      </c>
      <c r="Q358" s="123">
        <v>12708</v>
      </c>
      <c r="R358" s="123">
        <v>12495</v>
      </c>
      <c r="S358" s="123">
        <v>12707</v>
      </c>
      <c r="T358" s="123">
        <v>12936</v>
      </c>
      <c r="U358" s="149">
        <f t="shared" si="127"/>
        <v>0.19346803210628286</v>
      </c>
      <c r="V358" s="149">
        <f t="shared" si="128"/>
        <v>-1.8512898330804248E-2</v>
      </c>
      <c r="W358" s="149">
        <f t="shared" si="129"/>
        <v>1.8021562918076651E-2</v>
      </c>
      <c r="X358" s="218">
        <f t="shared" si="131"/>
        <v>2.9205913429843494E-2</v>
      </c>
      <c r="Y358" s="219">
        <f t="shared" si="130"/>
        <v>229</v>
      </c>
    </row>
    <row r="359" spans="1:25" x14ac:dyDescent="0.25">
      <c r="A359" s="151" t="s">
        <v>346</v>
      </c>
      <c r="B359" s="123">
        <v>802</v>
      </c>
      <c r="C359" s="123">
        <v>629</v>
      </c>
      <c r="D359" s="123">
        <v>773</v>
      </c>
      <c r="E359" s="123">
        <v>925</v>
      </c>
      <c r="F359" s="123">
        <v>1048</v>
      </c>
      <c r="G359" s="123">
        <v>1059</v>
      </c>
      <c r="H359" s="123">
        <v>1177</v>
      </c>
      <c r="I359" s="123">
        <v>1102</v>
      </c>
      <c r="J359" s="123">
        <v>1115</v>
      </c>
      <c r="K359" s="123">
        <v>1306</v>
      </c>
      <c r="L359" s="123">
        <v>1561</v>
      </c>
      <c r="M359" s="123">
        <v>1902</v>
      </c>
      <c r="N359" s="123">
        <v>2469</v>
      </c>
      <c r="O359" s="123">
        <v>2770</v>
      </c>
      <c r="P359" s="123">
        <v>3851</v>
      </c>
      <c r="Q359" s="123">
        <v>5590</v>
      </c>
      <c r="R359" s="123">
        <v>8233</v>
      </c>
      <c r="S359" s="123">
        <v>10108</v>
      </c>
      <c r="T359" s="123">
        <v>12870</v>
      </c>
      <c r="U359" s="149">
        <f t="shared" si="127"/>
        <v>8.8545176110260329</v>
      </c>
      <c r="V359" s="149">
        <f t="shared" si="128"/>
        <v>2.3419890937418852</v>
      </c>
      <c r="W359" s="149">
        <f t="shared" si="129"/>
        <v>0.27324891175306687</v>
      </c>
      <c r="X359" s="218">
        <f t="shared" si="131"/>
        <v>2.9056903667446333E-2</v>
      </c>
      <c r="Y359" s="219">
        <f t="shared" si="130"/>
        <v>2762</v>
      </c>
    </row>
    <row r="360" spans="1:25" x14ac:dyDescent="0.25">
      <c r="A360" s="151" t="s">
        <v>20</v>
      </c>
      <c r="B360" s="123">
        <v>3104</v>
      </c>
      <c r="C360" s="123">
        <v>3673</v>
      </c>
      <c r="D360" s="123">
        <v>5938</v>
      </c>
      <c r="E360" s="123">
        <v>8202</v>
      </c>
      <c r="F360" s="123">
        <v>10788</v>
      </c>
      <c r="G360" s="123">
        <v>14096</v>
      </c>
      <c r="H360" s="123">
        <v>15603</v>
      </c>
      <c r="I360" s="123">
        <v>17960</v>
      </c>
      <c r="J360" s="123">
        <v>20983</v>
      </c>
      <c r="K360" s="123">
        <v>23148</v>
      </c>
      <c r="L360" s="123">
        <v>21797</v>
      </c>
      <c r="M360" s="123">
        <v>21134</v>
      </c>
      <c r="N360" s="123">
        <v>19397</v>
      </c>
      <c r="O360" s="123">
        <v>16007</v>
      </c>
      <c r="P360" s="123">
        <v>14769</v>
      </c>
      <c r="Q360" s="123">
        <v>15063</v>
      </c>
      <c r="R360" s="123">
        <v>15044</v>
      </c>
      <c r="S360" s="123">
        <v>13198</v>
      </c>
      <c r="T360" s="123">
        <v>12346</v>
      </c>
      <c r="U360" s="149">
        <f t="shared" si="127"/>
        <v>-0.46664938655607396</v>
      </c>
      <c r="V360" s="149">
        <f t="shared" si="128"/>
        <v>-0.16405985510190263</v>
      </c>
      <c r="W360" s="149">
        <f t="shared" si="129"/>
        <v>-6.4555235641763908E-2</v>
      </c>
      <c r="X360" s="218">
        <f t="shared" si="131"/>
        <v>2.7873856462959784E-2</v>
      </c>
      <c r="Y360" s="219">
        <f t="shared" si="130"/>
        <v>-852</v>
      </c>
    </row>
    <row r="361" spans="1:25" x14ac:dyDescent="0.25">
      <c r="A361" s="151" t="s">
        <v>345</v>
      </c>
      <c r="B361" s="123">
        <v>184</v>
      </c>
      <c r="C361" s="123">
        <v>233</v>
      </c>
      <c r="D361" s="123">
        <v>233</v>
      </c>
      <c r="E361" s="123">
        <v>264</v>
      </c>
      <c r="F361" s="123">
        <v>283</v>
      </c>
      <c r="G361" s="123">
        <v>354</v>
      </c>
      <c r="H361" s="123">
        <v>440</v>
      </c>
      <c r="I361" s="123">
        <v>520</v>
      </c>
      <c r="J361" s="123">
        <v>627</v>
      </c>
      <c r="K361" s="123">
        <v>809</v>
      </c>
      <c r="L361" s="123">
        <v>1028</v>
      </c>
      <c r="M361" s="123">
        <v>1306</v>
      </c>
      <c r="N361" s="123">
        <v>2124</v>
      </c>
      <c r="O361" s="123">
        <v>2853</v>
      </c>
      <c r="P361" s="123">
        <v>4576</v>
      </c>
      <c r="Q361" s="123">
        <v>6128</v>
      </c>
      <c r="R361" s="123">
        <v>7925</v>
      </c>
      <c r="S361" s="123">
        <v>10090</v>
      </c>
      <c r="T361" s="123">
        <v>12261</v>
      </c>
      <c r="U361" s="149">
        <f t="shared" si="127"/>
        <v>14.1557478368356</v>
      </c>
      <c r="V361" s="149">
        <f t="shared" si="128"/>
        <v>1.6794143356643356</v>
      </c>
      <c r="W361" s="149">
        <f t="shared" si="129"/>
        <v>0.21516352824578791</v>
      </c>
      <c r="X361" s="218">
        <f t="shared" si="131"/>
        <v>2.7681949950781624E-2</v>
      </c>
      <c r="Y361" s="219">
        <f t="shared" si="130"/>
        <v>2171</v>
      </c>
    </row>
    <row r="362" spans="1:25" x14ac:dyDescent="0.25">
      <c r="A362" s="151" t="s">
        <v>18</v>
      </c>
      <c r="B362" s="123">
        <v>4150</v>
      </c>
      <c r="C362" s="123">
        <v>5343</v>
      </c>
      <c r="D362" s="123">
        <v>7234</v>
      </c>
      <c r="E362" s="123">
        <v>6831</v>
      </c>
      <c r="F362" s="123">
        <v>7235</v>
      </c>
      <c r="G362" s="123">
        <v>8077</v>
      </c>
      <c r="H362" s="123">
        <v>8908</v>
      </c>
      <c r="I362" s="123">
        <v>9603</v>
      </c>
      <c r="J362" s="123">
        <v>10454</v>
      </c>
      <c r="K362" s="123">
        <v>10288</v>
      </c>
      <c r="L362" s="123">
        <v>9946</v>
      </c>
      <c r="M362" s="123">
        <v>8951</v>
      </c>
      <c r="N362" s="123">
        <v>8885</v>
      </c>
      <c r="O362" s="123">
        <v>8658</v>
      </c>
      <c r="P362" s="123">
        <v>9557</v>
      </c>
      <c r="Q362" s="123">
        <v>10373</v>
      </c>
      <c r="R362" s="123">
        <v>10671</v>
      </c>
      <c r="S362" s="123">
        <v>10385</v>
      </c>
      <c r="T362" s="123">
        <v>10502</v>
      </c>
      <c r="U362" s="149">
        <f t="shared" si="127"/>
        <v>2.0800933125972008E-2</v>
      </c>
      <c r="V362" s="149">
        <f t="shared" si="128"/>
        <v>9.8880401799727943E-2</v>
      </c>
      <c r="W362" s="149">
        <f t="shared" si="129"/>
        <v>1.1266249398170438E-2</v>
      </c>
      <c r="X362" s="218">
        <f t="shared" si="131"/>
        <v>2.3710614010530023E-2</v>
      </c>
      <c r="Y362" s="219">
        <f t="shared" si="130"/>
        <v>117</v>
      </c>
    </row>
    <row r="363" spans="1:25" x14ac:dyDescent="0.25">
      <c r="A363" s="151" t="s">
        <v>23</v>
      </c>
      <c r="B363" s="123">
        <v>592</v>
      </c>
      <c r="C363" s="123">
        <v>868</v>
      </c>
      <c r="D363" s="123">
        <v>2018</v>
      </c>
      <c r="E363" s="123">
        <v>3390</v>
      </c>
      <c r="F363" s="123">
        <v>4745</v>
      </c>
      <c r="G363" s="123">
        <v>4979</v>
      </c>
      <c r="H363" s="123">
        <v>4878</v>
      </c>
      <c r="I363" s="123">
        <v>5736</v>
      </c>
      <c r="J363" s="123">
        <v>6945</v>
      </c>
      <c r="K363" s="123">
        <v>9418</v>
      </c>
      <c r="L363" s="123">
        <v>11994</v>
      </c>
      <c r="M363" s="123">
        <v>14378</v>
      </c>
      <c r="N363" s="123">
        <v>15676</v>
      </c>
      <c r="O363" s="123">
        <v>14531</v>
      </c>
      <c r="P363" s="123">
        <v>12086</v>
      </c>
      <c r="Q363" s="123">
        <v>10710</v>
      </c>
      <c r="R363" s="123">
        <v>10459</v>
      </c>
      <c r="S363" s="123">
        <v>10219</v>
      </c>
      <c r="T363" s="123">
        <v>9954</v>
      </c>
      <c r="U363" s="149">
        <f t="shared" si="127"/>
        <v>5.6912295604162243E-2</v>
      </c>
      <c r="V363" s="149">
        <f t="shared" si="128"/>
        <v>-0.17640244911467814</v>
      </c>
      <c r="W363" s="149">
        <f t="shared" si="129"/>
        <v>-2.5932087288384382E-2</v>
      </c>
      <c r="X363" s="218">
        <f t="shared" si="131"/>
        <v>2.2473381437899051E-2</v>
      </c>
      <c r="Y363" s="219">
        <f t="shared" si="130"/>
        <v>-265</v>
      </c>
    </row>
    <row r="364" spans="1:25" x14ac:dyDescent="0.25">
      <c r="A364" s="151" t="s">
        <v>21</v>
      </c>
      <c r="B364" s="123">
        <v>2121</v>
      </c>
      <c r="C364" s="123">
        <v>2592</v>
      </c>
      <c r="D364" s="123">
        <v>3412</v>
      </c>
      <c r="E364" s="123">
        <v>4002</v>
      </c>
      <c r="F364" s="123">
        <v>4413</v>
      </c>
      <c r="G364" s="123">
        <v>4927</v>
      </c>
      <c r="H364" s="123">
        <v>6020</v>
      </c>
      <c r="I364" s="123">
        <v>6843</v>
      </c>
      <c r="J364" s="123">
        <v>8106</v>
      </c>
      <c r="K364" s="123">
        <v>8737</v>
      </c>
      <c r="L364" s="123">
        <v>9661</v>
      </c>
      <c r="M364" s="123">
        <v>10444</v>
      </c>
      <c r="N364" s="123">
        <v>11028</v>
      </c>
      <c r="O364" s="123">
        <v>10780</v>
      </c>
      <c r="P364" s="123">
        <v>10935</v>
      </c>
      <c r="Q364" s="123">
        <v>10616</v>
      </c>
      <c r="R364" s="123">
        <v>10200</v>
      </c>
      <c r="S364" s="123">
        <v>9176</v>
      </c>
      <c r="T364" s="123">
        <v>9138</v>
      </c>
      <c r="U364" s="149">
        <f t="shared" si="127"/>
        <v>4.5896760901911408E-2</v>
      </c>
      <c r="V364" s="149">
        <f t="shared" si="128"/>
        <v>-0.16433470507544581</v>
      </c>
      <c r="W364" s="149">
        <f t="shared" si="129"/>
        <v>-4.141238012205754E-3</v>
      </c>
      <c r="X364" s="218">
        <f t="shared" si="131"/>
        <v>2.0631078920988703E-2</v>
      </c>
      <c r="Y364" s="219">
        <f t="shared" si="130"/>
        <v>-38</v>
      </c>
    </row>
    <row r="365" spans="1:25" x14ac:dyDescent="0.25">
      <c r="A365" s="151" t="s">
        <v>19</v>
      </c>
      <c r="B365" s="123">
        <v>7098</v>
      </c>
      <c r="C365" s="123">
        <v>8923</v>
      </c>
      <c r="D365" s="123">
        <v>11767</v>
      </c>
      <c r="E365" s="123">
        <v>14639</v>
      </c>
      <c r="F365" s="123">
        <v>18388</v>
      </c>
      <c r="G365" s="123">
        <v>21467</v>
      </c>
      <c r="H365" s="123">
        <v>25804</v>
      </c>
      <c r="I365" s="123">
        <v>28059</v>
      </c>
      <c r="J365" s="123">
        <v>29669</v>
      </c>
      <c r="K365" s="123">
        <v>27310</v>
      </c>
      <c r="L365" s="123">
        <v>21561</v>
      </c>
      <c r="M365" s="123">
        <v>16217</v>
      </c>
      <c r="N365" s="123">
        <v>11781</v>
      </c>
      <c r="O365" s="123">
        <v>8216</v>
      </c>
      <c r="P365" s="123">
        <v>7644</v>
      </c>
      <c r="Q365" s="123">
        <v>7455</v>
      </c>
      <c r="R365" s="123">
        <v>7608</v>
      </c>
      <c r="S365" s="123">
        <v>7708</v>
      </c>
      <c r="T365" s="123">
        <v>8789</v>
      </c>
      <c r="U365" s="149">
        <f t="shared" si="127"/>
        <v>-0.67817649212742581</v>
      </c>
      <c r="V365" s="149">
        <f t="shared" si="128"/>
        <v>0.14979068550497121</v>
      </c>
      <c r="W365" s="149">
        <f t="shared" si="129"/>
        <v>0.1402439024390244</v>
      </c>
      <c r="X365" s="218">
        <f t="shared" si="131"/>
        <v>1.9843133359221898E-2</v>
      </c>
      <c r="Y365" s="219">
        <f t="shared" si="130"/>
        <v>1081</v>
      </c>
    </row>
    <row r="366" spans="1:25" x14ac:dyDescent="0.25">
      <c r="A366" s="151" t="s">
        <v>131</v>
      </c>
      <c r="B366" s="123">
        <v>3650</v>
      </c>
      <c r="C366" s="123">
        <v>3326</v>
      </c>
      <c r="D366" s="123">
        <v>3964</v>
      </c>
      <c r="E366" s="123">
        <v>5075</v>
      </c>
      <c r="F366" s="123">
        <v>5758</v>
      </c>
      <c r="G366" s="123">
        <v>6184</v>
      </c>
      <c r="H366" s="123">
        <v>6284</v>
      </c>
      <c r="I366" s="123">
        <v>6479</v>
      </c>
      <c r="J366" s="123">
        <v>6687</v>
      </c>
      <c r="K366" s="123">
        <v>7079</v>
      </c>
      <c r="L366" s="123">
        <v>6851</v>
      </c>
      <c r="M366" s="123">
        <v>6550</v>
      </c>
      <c r="N366" s="123">
        <v>6574</v>
      </c>
      <c r="O366" s="123">
        <v>6334</v>
      </c>
      <c r="P366" s="123">
        <v>6738</v>
      </c>
      <c r="Q366" s="123">
        <v>7649</v>
      </c>
      <c r="R366" s="123">
        <v>8863</v>
      </c>
      <c r="S366" s="123">
        <v>8853</v>
      </c>
      <c r="T366" s="123">
        <v>8380</v>
      </c>
      <c r="U366" s="149">
        <f t="shared" si="127"/>
        <v>0.18378302020059331</v>
      </c>
      <c r="V366" s="149">
        <f t="shared" si="128"/>
        <v>0.24369249035322055</v>
      </c>
      <c r="W366" s="149">
        <f t="shared" si="129"/>
        <v>-5.342821642381114E-2</v>
      </c>
      <c r="X366" s="218">
        <f t="shared" si="131"/>
        <v>1.8919724377094039E-2</v>
      </c>
      <c r="Y366" s="219">
        <f t="shared" si="130"/>
        <v>-473</v>
      </c>
    </row>
    <row r="367" spans="1:25" x14ac:dyDescent="0.25">
      <c r="A367" s="151" t="s">
        <v>281</v>
      </c>
      <c r="B367" s="123">
        <v>2519</v>
      </c>
      <c r="C367" s="123">
        <v>2956</v>
      </c>
      <c r="D367" s="123">
        <v>3367</v>
      </c>
      <c r="E367" s="123">
        <v>3739</v>
      </c>
      <c r="F367" s="123">
        <v>3815</v>
      </c>
      <c r="G367" s="123">
        <v>3980</v>
      </c>
      <c r="H367" s="123">
        <v>4204</v>
      </c>
      <c r="I367" s="123">
        <v>4034</v>
      </c>
      <c r="J367" s="123">
        <v>4111</v>
      </c>
      <c r="K367" s="123">
        <v>4423</v>
      </c>
      <c r="L367" s="123">
        <v>5099</v>
      </c>
      <c r="M367" s="123">
        <v>5618</v>
      </c>
      <c r="N367" s="123">
        <v>6359</v>
      </c>
      <c r="O367" s="123">
        <v>6394</v>
      </c>
      <c r="P367" s="123">
        <v>6383</v>
      </c>
      <c r="Q367" s="123">
        <v>6525</v>
      </c>
      <c r="R367" s="123">
        <v>6940</v>
      </c>
      <c r="S367" s="123">
        <v>7572</v>
      </c>
      <c r="T367" s="123">
        <v>8140</v>
      </c>
      <c r="U367" s="149">
        <f t="shared" si="127"/>
        <v>0.84037983269274252</v>
      </c>
      <c r="V367" s="149">
        <f t="shared" si="128"/>
        <v>0.27526241579194738</v>
      </c>
      <c r="W367" s="149">
        <f t="shared" si="129"/>
        <v>7.5013206550449019E-2</v>
      </c>
      <c r="X367" s="218">
        <f t="shared" si="131"/>
        <v>1.8377870695649817E-2</v>
      </c>
      <c r="Y367" s="219">
        <f t="shared" si="130"/>
        <v>568</v>
      </c>
    </row>
    <row r="368" spans="1:25" x14ac:dyDescent="0.25">
      <c r="A368" s="151" t="s">
        <v>137</v>
      </c>
      <c r="B368" s="123">
        <v>610</v>
      </c>
      <c r="C368" s="123">
        <v>791</v>
      </c>
      <c r="D368" s="123">
        <v>1090</v>
      </c>
      <c r="E368" s="123">
        <v>1402</v>
      </c>
      <c r="F368" s="123">
        <v>1413</v>
      </c>
      <c r="G368" s="123">
        <v>2468</v>
      </c>
      <c r="H368" s="123">
        <v>3130</v>
      </c>
      <c r="I368" s="123">
        <v>3989</v>
      </c>
      <c r="J368" s="123">
        <v>4729</v>
      </c>
      <c r="K368" s="123">
        <v>5667</v>
      </c>
      <c r="L368" s="123">
        <v>6120</v>
      </c>
      <c r="M368" s="123">
        <v>6342</v>
      </c>
      <c r="N368" s="123">
        <v>6764</v>
      </c>
      <c r="O368" s="123">
        <v>6471</v>
      </c>
      <c r="P368" s="123">
        <v>6910</v>
      </c>
      <c r="Q368" s="123">
        <v>6725</v>
      </c>
      <c r="R368" s="123">
        <v>6890</v>
      </c>
      <c r="S368" s="123">
        <v>7361</v>
      </c>
      <c r="T368" s="123">
        <v>8061</v>
      </c>
      <c r="U368" s="149">
        <f t="shared" si="127"/>
        <v>0.42244573848597139</v>
      </c>
      <c r="V368" s="149">
        <f t="shared" si="128"/>
        <v>0.16657018813314037</v>
      </c>
      <c r="W368" s="149">
        <f t="shared" si="129"/>
        <v>9.5095775030566501E-2</v>
      </c>
      <c r="X368" s="218">
        <f t="shared" si="131"/>
        <v>1.8199510525507761E-2</v>
      </c>
      <c r="Y368" s="219">
        <f t="shared" si="130"/>
        <v>700</v>
      </c>
    </row>
    <row r="369" spans="1:25" x14ac:dyDescent="0.25">
      <c r="A369" s="151" t="s">
        <v>579</v>
      </c>
      <c r="B369" s="123">
        <v>3423</v>
      </c>
      <c r="C369" s="123">
        <v>3618</v>
      </c>
      <c r="D369" s="123">
        <v>3505</v>
      </c>
      <c r="E369" s="123">
        <v>3590</v>
      </c>
      <c r="F369" s="123">
        <v>4028</v>
      </c>
      <c r="G369" s="123">
        <v>4304</v>
      </c>
      <c r="H369" s="123">
        <v>4888</v>
      </c>
      <c r="I369" s="123">
        <v>4967</v>
      </c>
      <c r="J369" s="123">
        <v>5319</v>
      </c>
      <c r="K369" s="123">
        <v>5600</v>
      </c>
      <c r="L369" s="123">
        <v>5811</v>
      </c>
      <c r="M369" s="123">
        <v>6186</v>
      </c>
      <c r="N369" s="123">
        <v>6659</v>
      </c>
      <c r="O369" s="123">
        <v>6833</v>
      </c>
      <c r="P369" s="123">
        <v>6503</v>
      </c>
      <c r="Q369" s="123">
        <v>6129</v>
      </c>
      <c r="R369" s="123">
        <v>6062</v>
      </c>
      <c r="S369" s="123">
        <v>6514</v>
      </c>
      <c r="T369" s="123">
        <v>7533</v>
      </c>
      <c r="U369" s="149">
        <f t="shared" si="127"/>
        <v>0.34517857142857145</v>
      </c>
      <c r="V369" s="149">
        <f t="shared" si="128"/>
        <v>0.15838843610641243</v>
      </c>
      <c r="W369" s="149">
        <f t="shared" si="129"/>
        <v>0.15643229966226588</v>
      </c>
      <c r="X369" s="218">
        <f t="shared" si="131"/>
        <v>1.7007432426330477E-2</v>
      </c>
      <c r="Y369" s="219">
        <f t="shared" si="130"/>
        <v>1019</v>
      </c>
    </row>
    <row r="370" spans="1:25" x14ac:dyDescent="0.25">
      <c r="A370" s="151" t="s">
        <v>25</v>
      </c>
      <c r="B370" s="123">
        <v>680</v>
      </c>
      <c r="C370" s="123">
        <v>879</v>
      </c>
      <c r="D370" s="123">
        <v>1215</v>
      </c>
      <c r="E370" s="123">
        <v>1691</v>
      </c>
      <c r="F370" s="123">
        <v>2241</v>
      </c>
      <c r="G370" s="123">
        <v>2605</v>
      </c>
      <c r="H370" s="123">
        <v>3461</v>
      </c>
      <c r="I370" s="123">
        <v>4078</v>
      </c>
      <c r="J370" s="123">
        <v>4716</v>
      </c>
      <c r="K370" s="123">
        <v>5217</v>
      </c>
      <c r="L370" s="123">
        <v>5254</v>
      </c>
      <c r="M370" s="123">
        <v>5436</v>
      </c>
      <c r="N370" s="123">
        <v>5399</v>
      </c>
      <c r="O370" s="123">
        <v>5119</v>
      </c>
      <c r="P370" s="123">
        <v>4900</v>
      </c>
      <c r="Q370" s="123">
        <v>5250</v>
      </c>
      <c r="R370" s="123">
        <v>6023</v>
      </c>
      <c r="S370" s="123">
        <v>6539</v>
      </c>
      <c r="T370" s="123">
        <v>7105</v>
      </c>
      <c r="U370" s="149">
        <f t="shared" si="127"/>
        <v>0.36189380870231935</v>
      </c>
      <c r="V370" s="149">
        <f t="shared" si="128"/>
        <v>0.45</v>
      </c>
      <c r="W370" s="149">
        <f t="shared" si="129"/>
        <v>8.6557577611255543E-2</v>
      </c>
      <c r="X370" s="218">
        <f t="shared" si="131"/>
        <v>1.6041126694421617E-2</v>
      </c>
      <c r="Y370" s="219">
        <f t="shared" si="130"/>
        <v>566</v>
      </c>
    </row>
    <row r="371" spans="1:25" x14ac:dyDescent="0.25">
      <c r="A371" s="151" t="s">
        <v>132</v>
      </c>
      <c r="B371" s="123">
        <v>105</v>
      </c>
      <c r="C371" s="123">
        <v>129</v>
      </c>
      <c r="D371" s="123">
        <v>155</v>
      </c>
      <c r="E371" s="123">
        <v>259</v>
      </c>
      <c r="F371" s="123">
        <v>357</v>
      </c>
      <c r="G371" s="123">
        <v>410</v>
      </c>
      <c r="H371" s="123">
        <v>545</v>
      </c>
      <c r="I371" s="123">
        <v>897</v>
      </c>
      <c r="J371" s="123">
        <v>1815</v>
      </c>
      <c r="K371" s="123">
        <v>2444</v>
      </c>
      <c r="L371" s="123">
        <v>2618</v>
      </c>
      <c r="M371" s="123">
        <v>2982</v>
      </c>
      <c r="N371" s="123">
        <v>4094</v>
      </c>
      <c r="O371" s="123">
        <v>4513</v>
      </c>
      <c r="P371" s="123">
        <v>5530</v>
      </c>
      <c r="Q371" s="123">
        <v>6410</v>
      </c>
      <c r="R371" s="123">
        <v>6885</v>
      </c>
      <c r="S371" s="123">
        <v>6765</v>
      </c>
      <c r="T371" s="123">
        <v>7047</v>
      </c>
      <c r="U371" s="149">
        <f t="shared" si="127"/>
        <v>1.8833878887070377</v>
      </c>
      <c r="V371" s="149">
        <f t="shared" si="128"/>
        <v>0.27432188065099455</v>
      </c>
      <c r="W371" s="149">
        <f t="shared" si="129"/>
        <v>4.1685144124168516E-2</v>
      </c>
      <c r="X371" s="218">
        <f t="shared" si="131"/>
        <v>1.5910178721405929E-2</v>
      </c>
      <c r="Y371" s="219">
        <f t="shared" si="130"/>
        <v>282</v>
      </c>
    </row>
    <row r="372" spans="1:25" x14ac:dyDescent="0.25">
      <c r="A372" s="3"/>
      <c r="B372" s="3"/>
      <c r="C372" s="3"/>
      <c r="D372" s="3"/>
      <c r="E372" s="3"/>
      <c r="F372" s="3"/>
      <c r="G372" s="3"/>
      <c r="H372" s="3"/>
      <c r="I372" s="3"/>
      <c r="J372" s="3"/>
      <c r="K372" s="3"/>
      <c r="L372" s="3"/>
      <c r="N372" s="3"/>
      <c r="O372" s="3"/>
      <c r="P372" s="3"/>
      <c r="Q372" s="3"/>
      <c r="R372" s="3"/>
      <c r="S372" s="3"/>
      <c r="T372" s="3"/>
      <c r="U372" s="27"/>
      <c r="V372" s="27"/>
      <c r="W372" s="27"/>
      <c r="X372" s="27"/>
      <c r="Y372" s="27"/>
    </row>
    <row r="373" spans="1:25" ht="15.75" x14ac:dyDescent="0.25">
      <c r="A373" s="22" t="s">
        <v>617</v>
      </c>
      <c r="B373" s="22"/>
      <c r="C373" s="22"/>
      <c r="D373" s="22"/>
      <c r="E373" s="22"/>
      <c r="F373" s="22"/>
      <c r="G373" s="22"/>
      <c r="H373" s="22"/>
      <c r="I373" s="3"/>
      <c r="J373" s="3"/>
      <c r="K373" s="3"/>
      <c r="L373" s="3"/>
      <c r="N373" s="3"/>
      <c r="O373" s="3"/>
      <c r="P373" s="3"/>
      <c r="Q373" s="3"/>
      <c r="R373" s="3"/>
      <c r="S373" s="3"/>
      <c r="T373" s="3"/>
      <c r="U373" s="27"/>
      <c r="V373" s="27"/>
      <c r="W373" s="27"/>
      <c r="X373" s="27"/>
      <c r="Y373" s="27"/>
    </row>
    <row r="374" spans="1:25" ht="25.5" x14ac:dyDescent="0.25">
      <c r="A374" s="120" t="s">
        <v>3</v>
      </c>
      <c r="B374" s="105">
        <v>2007</v>
      </c>
      <c r="C374" s="105">
        <v>2008</v>
      </c>
      <c r="D374" s="105">
        <v>2009</v>
      </c>
      <c r="E374" s="105">
        <v>2010</v>
      </c>
      <c r="F374" s="105">
        <v>2011</v>
      </c>
      <c r="G374" s="105">
        <v>2012</v>
      </c>
      <c r="H374" s="105">
        <v>2013</v>
      </c>
      <c r="I374" s="105">
        <v>2014</v>
      </c>
      <c r="J374" s="105">
        <v>2015</v>
      </c>
      <c r="K374" s="105">
        <v>2016</v>
      </c>
      <c r="L374" s="105">
        <v>2017</v>
      </c>
      <c r="M374" s="132">
        <v>2018</v>
      </c>
      <c r="N374" s="105">
        <v>2019</v>
      </c>
      <c r="O374" s="105">
        <v>2020</v>
      </c>
      <c r="P374" s="105">
        <v>2021</v>
      </c>
      <c r="Q374" s="105">
        <v>2022</v>
      </c>
      <c r="R374" s="105">
        <v>2023</v>
      </c>
      <c r="S374" s="105">
        <v>2024</v>
      </c>
      <c r="T374" s="105">
        <v>2025</v>
      </c>
      <c r="U374" s="106" t="s">
        <v>546</v>
      </c>
      <c r="V374" s="106" t="s">
        <v>547</v>
      </c>
      <c r="W374" s="106" t="s">
        <v>548</v>
      </c>
      <c r="X374" s="106" t="s">
        <v>549</v>
      </c>
      <c r="Y374" s="216" t="s">
        <v>563</v>
      </c>
    </row>
    <row r="375" spans="1:25" x14ac:dyDescent="0.25">
      <c r="A375" s="151" t="s">
        <v>16</v>
      </c>
      <c r="B375" s="138">
        <v>2110</v>
      </c>
      <c r="C375" s="138">
        <v>2100</v>
      </c>
      <c r="D375" s="138">
        <v>2647</v>
      </c>
      <c r="E375" s="138">
        <v>3035</v>
      </c>
      <c r="F375" s="138">
        <v>2526</v>
      </c>
      <c r="G375" s="138">
        <v>2097</v>
      </c>
      <c r="H375" s="138">
        <v>2252</v>
      </c>
      <c r="I375" s="138">
        <v>2039</v>
      </c>
      <c r="J375" s="138">
        <v>1871</v>
      </c>
      <c r="K375" s="138">
        <v>1956</v>
      </c>
      <c r="L375" s="138">
        <v>2434</v>
      </c>
      <c r="M375" s="138">
        <v>2637</v>
      </c>
      <c r="N375" s="138">
        <v>3220</v>
      </c>
      <c r="O375" s="138">
        <v>3158</v>
      </c>
      <c r="P375" s="138">
        <v>5330</v>
      </c>
      <c r="Q375" s="138">
        <v>6027</v>
      </c>
      <c r="R375" s="138">
        <v>6621</v>
      </c>
      <c r="S375" s="138">
        <v>7094</v>
      </c>
      <c r="T375" s="138">
        <v>7298</v>
      </c>
      <c r="U375" s="149">
        <f t="shared" ref="U375:U394" si="132">(T375-K375)/K375</f>
        <v>2.7310838445807772</v>
      </c>
      <c r="V375" s="149">
        <f t="shared" ref="V375:V394" si="133">(T375-P375)/P375</f>
        <v>0.36923076923076925</v>
      </c>
      <c r="W375" s="149">
        <f t="shared" ref="W375:W394" si="134">(T375-S375)/S375</f>
        <v>2.8756695799266985E-2</v>
      </c>
      <c r="X375" s="218">
        <f>T375/T$14</f>
        <v>5.4200984797284753E-2</v>
      </c>
      <c r="Y375" s="219">
        <f t="shared" ref="Y375:Y394" si="135">T375-S375</f>
        <v>204</v>
      </c>
    </row>
    <row r="376" spans="1:25" x14ac:dyDescent="0.25">
      <c r="A376" s="151" t="s">
        <v>42</v>
      </c>
      <c r="B376" s="138">
        <v>2067</v>
      </c>
      <c r="C376" s="138">
        <v>2632</v>
      </c>
      <c r="D376" s="138">
        <v>3442</v>
      </c>
      <c r="E376" s="138">
        <v>3544</v>
      </c>
      <c r="F376" s="138">
        <v>3959</v>
      </c>
      <c r="G376" s="138">
        <v>3544</v>
      </c>
      <c r="H376" s="138">
        <v>4109</v>
      </c>
      <c r="I376" s="138">
        <v>4072</v>
      </c>
      <c r="J376" s="138">
        <v>4271</v>
      </c>
      <c r="K376" s="138">
        <v>4097</v>
      </c>
      <c r="L376" s="138">
        <v>4268</v>
      </c>
      <c r="M376" s="138">
        <v>4721</v>
      </c>
      <c r="N376" s="138">
        <v>4875</v>
      </c>
      <c r="O376" s="138">
        <v>4426</v>
      </c>
      <c r="P376" s="138">
        <v>4898</v>
      </c>
      <c r="Q376" s="138">
        <v>5547</v>
      </c>
      <c r="R376" s="138">
        <v>5608</v>
      </c>
      <c r="S376" s="138">
        <v>6040</v>
      </c>
      <c r="T376" s="138">
        <v>6814</v>
      </c>
      <c r="U376" s="149">
        <f t="shared" si="132"/>
        <v>0.66316817183304855</v>
      </c>
      <c r="V376" s="149">
        <f t="shared" si="133"/>
        <v>0.39118007349938749</v>
      </c>
      <c r="W376" s="149">
        <f t="shared" si="134"/>
        <v>0.12814569536423842</v>
      </c>
      <c r="X376" s="218">
        <f t="shared" ref="X376:X394" si="136">T376/T$14</f>
        <v>5.0606400439668173E-2</v>
      </c>
      <c r="Y376" s="219">
        <f t="shared" si="135"/>
        <v>774</v>
      </c>
    </row>
    <row r="377" spans="1:25" x14ac:dyDescent="0.25">
      <c r="A377" s="151" t="s">
        <v>17</v>
      </c>
      <c r="B377" s="138">
        <v>4188</v>
      </c>
      <c r="C377" s="138">
        <v>5797</v>
      </c>
      <c r="D377" s="138">
        <v>6347</v>
      </c>
      <c r="E377" s="138">
        <v>8259</v>
      </c>
      <c r="F377" s="138">
        <v>9759</v>
      </c>
      <c r="G377" s="138">
        <v>11169</v>
      </c>
      <c r="H377" s="138">
        <v>10051</v>
      </c>
      <c r="I377" s="138">
        <v>10209</v>
      </c>
      <c r="J377" s="138">
        <v>10528</v>
      </c>
      <c r="K377" s="138">
        <v>10405</v>
      </c>
      <c r="L377" s="138">
        <v>9827</v>
      </c>
      <c r="M377" s="138">
        <v>9885</v>
      </c>
      <c r="N377" s="138">
        <v>9093</v>
      </c>
      <c r="O377" s="138">
        <v>8095</v>
      </c>
      <c r="P377" s="138">
        <v>10638</v>
      </c>
      <c r="Q377" s="138">
        <v>10594</v>
      </c>
      <c r="R377" s="138">
        <v>8435</v>
      </c>
      <c r="S377" s="138">
        <v>6676</v>
      </c>
      <c r="T377" s="138">
        <v>5744</v>
      </c>
      <c r="U377" s="149">
        <f t="shared" si="132"/>
        <v>-0.44795771263815476</v>
      </c>
      <c r="V377" s="149">
        <f t="shared" si="133"/>
        <v>-0.46004888136867833</v>
      </c>
      <c r="W377" s="149">
        <f t="shared" si="134"/>
        <v>-0.1396045536249251</v>
      </c>
      <c r="X377" s="218">
        <f t="shared" si="136"/>
        <v>4.2659695351548864E-2</v>
      </c>
      <c r="Y377" s="219">
        <f t="shared" si="135"/>
        <v>-932</v>
      </c>
    </row>
    <row r="378" spans="1:25" x14ac:dyDescent="0.25">
      <c r="A378" s="151" t="s">
        <v>29</v>
      </c>
      <c r="B378" s="138">
        <v>2621</v>
      </c>
      <c r="C378" s="138">
        <v>2069</v>
      </c>
      <c r="D378" s="138">
        <v>1801</v>
      </c>
      <c r="E378" s="138">
        <v>2178</v>
      </c>
      <c r="F378" s="138">
        <v>2247</v>
      </c>
      <c r="G378" s="138">
        <v>1896</v>
      </c>
      <c r="H378" s="138">
        <v>2196</v>
      </c>
      <c r="I378" s="138">
        <v>2305</v>
      </c>
      <c r="J378" s="138">
        <v>2255</v>
      </c>
      <c r="K378" s="138">
        <v>2972</v>
      </c>
      <c r="L378" s="138">
        <v>3355</v>
      </c>
      <c r="M378" s="138">
        <v>3513</v>
      </c>
      <c r="N378" s="138">
        <v>3800</v>
      </c>
      <c r="O378" s="138">
        <v>3913</v>
      </c>
      <c r="P378" s="138">
        <v>3917</v>
      </c>
      <c r="Q378" s="138">
        <v>4372</v>
      </c>
      <c r="R378" s="138">
        <v>4962</v>
      </c>
      <c r="S378" s="138">
        <v>5080</v>
      </c>
      <c r="T378" s="138">
        <v>5674</v>
      </c>
      <c r="U378" s="149">
        <f t="shared" si="132"/>
        <v>0.90915208613728127</v>
      </c>
      <c r="V378" s="149">
        <f t="shared" si="133"/>
        <v>0.44855756956854737</v>
      </c>
      <c r="W378" s="149">
        <f t="shared" si="134"/>
        <v>0.11692913385826771</v>
      </c>
      <c r="X378" s="218">
        <f t="shared" si="136"/>
        <v>4.2139817448587788E-2</v>
      </c>
      <c r="Y378" s="219">
        <f t="shared" si="135"/>
        <v>594</v>
      </c>
    </row>
    <row r="379" spans="1:25" x14ac:dyDescent="0.25">
      <c r="A379" s="151" t="s">
        <v>20</v>
      </c>
      <c r="B379" s="138">
        <v>1427</v>
      </c>
      <c r="C379" s="138">
        <v>2244</v>
      </c>
      <c r="D379" s="138">
        <v>3339</v>
      </c>
      <c r="E379" s="138">
        <v>4518</v>
      </c>
      <c r="F379" s="138">
        <v>6150</v>
      </c>
      <c r="G379" s="138">
        <v>7379</v>
      </c>
      <c r="H379" s="138">
        <v>7550</v>
      </c>
      <c r="I379" s="138">
        <v>8647</v>
      </c>
      <c r="J379" s="138">
        <v>9776</v>
      </c>
      <c r="K379" s="138">
        <v>10126</v>
      </c>
      <c r="L379" s="138">
        <v>9142</v>
      </c>
      <c r="M379" s="138">
        <v>8974</v>
      </c>
      <c r="N379" s="138">
        <v>7126</v>
      </c>
      <c r="O379" s="138">
        <v>5739</v>
      </c>
      <c r="P379" s="138">
        <v>5626</v>
      </c>
      <c r="Q379" s="138">
        <v>6019</v>
      </c>
      <c r="R379" s="138">
        <v>5459</v>
      </c>
      <c r="S379" s="138">
        <v>4764</v>
      </c>
      <c r="T379" s="138">
        <v>4931</v>
      </c>
      <c r="U379" s="149">
        <f t="shared" si="132"/>
        <v>-0.5130357495555995</v>
      </c>
      <c r="V379" s="149">
        <f t="shared" si="133"/>
        <v>-0.1235335940277284</v>
      </c>
      <c r="W379" s="149">
        <f t="shared" si="134"/>
        <v>3.505457598656591E-2</v>
      </c>
      <c r="X379" s="218">
        <f t="shared" si="136"/>
        <v>3.6621684850015226E-2</v>
      </c>
      <c r="Y379" s="219">
        <f t="shared" si="135"/>
        <v>167</v>
      </c>
    </row>
    <row r="380" spans="1:25" x14ac:dyDescent="0.25">
      <c r="A380" s="151" t="s">
        <v>12</v>
      </c>
      <c r="B380" s="138">
        <v>2106</v>
      </c>
      <c r="C380" s="138">
        <v>2516</v>
      </c>
      <c r="D380" s="138">
        <v>2777</v>
      </c>
      <c r="E380" s="138">
        <v>3597</v>
      </c>
      <c r="F380" s="138">
        <v>3156</v>
      </c>
      <c r="G380" s="138">
        <v>2922</v>
      </c>
      <c r="H380" s="138">
        <v>3494</v>
      </c>
      <c r="I380" s="138">
        <v>3224</v>
      </c>
      <c r="J380" s="138">
        <v>622</v>
      </c>
      <c r="K380" s="138">
        <v>2860</v>
      </c>
      <c r="L380" s="138">
        <v>2870</v>
      </c>
      <c r="M380" s="138">
        <v>3067</v>
      </c>
      <c r="N380" s="138">
        <v>2693</v>
      </c>
      <c r="O380" s="138">
        <v>3038</v>
      </c>
      <c r="P380" s="138">
        <v>4321</v>
      </c>
      <c r="Q380" s="138">
        <v>4354</v>
      </c>
      <c r="R380" s="138">
        <v>4523</v>
      </c>
      <c r="S380" s="138">
        <v>4294</v>
      </c>
      <c r="T380" s="138">
        <v>4544</v>
      </c>
      <c r="U380" s="149">
        <f t="shared" si="132"/>
        <v>0.58881118881118877</v>
      </c>
      <c r="V380" s="149">
        <f t="shared" si="133"/>
        <v>5.1608423975931496E-2</v>
      </c>
      <c r="W380" s="149">
        <f t="shared" si="134"/>
        <v>5.8220773171867725E-2</v>
      </c>
      <c r="X380" s="218">
        <f t="shared" si="136"/>
        <v>3.3747502729358989E-2</v>
      </c>
      <c r="Y380" s="219">
        <f t="shared" si="135"/>
        <v>250</v>
      </c>
    </row>
    <row r="381" spans="1:25" x14ac:dyDescent="0.25">
      <c r="A381" s="151" t="s">
        <v>346</v>
      </c>
      <c r="B381" s="138">
        <v>179</v>
      </c>
      <c r="C381" s="138">
        <v>182</v>
      </c>
      <c r="D381" s="138">
        <v>370</v>
      </c>
      <c r="E381" s="138">
        <v>397</v>
      </c>
      <c r="F381" s="138">
        <v>380</v>
      </c>
      <c r="G381" s="138">
        <v>222</v>
      </c>
      <c r="H381" s="138">
        <v>359</v>
      </c>
      <c r="I381" s="138">
        <v>270</v>
      </c>
      <c r="J381" s="138">
        <v>246</v>
      </c>
      <c r="K381" s="138">
        <v>440</v>
      </c>
      <c r="L381" s="138">
        <v>547</v>
      </c>
      <c r="M381" s="138">
        <v>761</v>
      </c>
      <c r="N381" s="138">
        <v>911</v>
      </c>
      <c r="O381" s="138">
        <v>794</v>
      </c>
      <c r="P381" s="138">
        <v>1375</v>
      </c>
      <c r="Q381" s="138">
        <v>2171</v>
      </c>
      <c r="R381" s="138">
        <v>3329</v>
      </c>
      <c r="S381" s="138">
        <v>3650</v>
      </c>
      <c r="T381" s="138">
        <v>4139</v>
      </c>
      <c r="U381" s="149">
        <f t="shared" si="132"/>
        <v>8.4068181818181813</v>
      </c>
      <c r="V381" s="149">
        <f t="shared" si="133"/>
        <v>2.0101818181818181</v>
      </c>
      <c r="W381" s="149">
        <f t="shared" si="134"/>
        <v>0.13397260273972603</v>
      </c>
      <c r="X381" s="218">
        <f t="shared" si="136"/>
        <v>3.0739637719369908E-2</v>
      </c>
      <c r="Y381" s="219">
        <f t="shared" si="135"/>
        <v>489</v>
      </c>
    </row>
    <row r="382" spans="1:25" x14ac:dyDescent="0.25">
      <c r="A382" s="151" t="s">
        <v>23</v>
      </c>
      <c r="B382" s="138">
        <v>294</v>
      </c>
      <c r="C382" s="138">
        <v>586</v>
      </c>
      <c r="D382" s="138">
        <v>1381</v>
      </c>
      <c r="E382" s="138">
        <v>1984</v>
      </c>
      <c r="F382" s="138">
        <v>2607</v>
      </c>
      <c r="G382" s="138">
        <v>2140</v>
      </c>
      <c r="H382" s="138">
        <v>2114</v>
      </c>
      <c r="I382" s="138">
        <v>2389</v>
      </c>
      <c r="J382" s="138">
        <v>3475</v>
      </c>
      <c r="K382" s="138">
        <v>4503</v>
      </c>
      <c r="L382" s="138">
        <v>5989</v>
      </c>
      <c r="M382" s="138">
        <v>7553</v>
      </c>
      <c r="N382" s="138">
        <v>5976</v>
      </c>
      <c r="O382" s="138">
        <v>4870</v>
      </c>
      <c r="P382" s="138">
        <v>3721</v>
      </c>
      <c r="Q382" s="138">
        <v>3719</v>
      </c>
      <c r="R382" s="138">
        <v>4379</v>
      </c>
      <c r="S382" s="138">
        <v>4054</v>
      </c>
      <c r="T382" s="138">
        <v>3964</v>
      </c>
      <c r="U382" s="149">
        <f t="shared" si="132"/>
        <v>-0.11969797912502776</v>
      </c>
      <c r="V382" s="149">
        <f t="shared" si="133"/>
        <v>6.5305025530771305E-2</v>
      </c>
      <c r="W382" s="149">
        <f t="shared" si="134"/>
        <v>-2.2200296003946719E-2</v>
      </c>
      <c r="X382" s="218">
        <f t="shared" si="136"/>
        <v>2.9439942961967218E-2</v>
      </c>
      <c r="Y382" s="219">
        <f t="shared" si="135"/>
        <v>-90</v>
      </c>
    </row>
    <row r="383" spans="1:25" x14ac:dyDescent="0.25">
      <c r="A383" s="151" t="s">
        <v>333</v>
      </c>
      <c r="B383" s="138">
        <v>272</v>
      </c>
      <c r="C383" s="138">
        <v>279</v>
      </c>
      <c r="D383" s="138">
        <v>243</v>
      </c>
      <c r="E383" s="138">
        <v>310</v>
      </c>
      <c r="F383" s="138">
        <v>313</v>
      </c>
      <c r="G383" s="138">
        <v>432</v>
      </c>
      <c r="H383" s="138">
        <v>601</v>
      </c>
      <c r="I383" s="138">
        <v>687</v>
      </c>
      <c r="J383" s="138">
        <v>697</v>
      </c>
      <c r="K383" s="138">
        <v>794</v>
      </c>
      <c r="L383" s="138">
        <v>923</v>
      </c>
      <c r="M383" s="138">
        <v>952</v>
      </c>
      <c r="N383" s="138">
        <v>1012</v>
      </c>
      <c r="O383" s="138">
        <v>1315</v>
      </c>
      <c r="P383" s="138">
        <v>1721</v>
      </c>
      <c r="Q383" s="138">
        <v>2343</v>
      </c>
      <c r="R383" s="138">
        <v>2848</v>
      </c>
      <c r="S383" s="138">
        <v>3294</v>
      </c>
      <c r="T383" s="138">
        <v>3929</v>
      </c>
      <c r="U383" s="149">
        <f t="shared" si="132"/>
        <v>3.9483627204030225</v>
      </c>
      <c r="V383" s="149">
        <f t="shared" si="133"/>
        <v>1.282975014526438</v>
      </c>
      <c r="W383" s="149">
        <f t="shared" si="134"/>
        <v>0.19277474195506983</v>
      </c>
      <c r="X383" s="218">
        <f t="shared" si="136"/>
        <v>2.918000401048668E-2</v>
      </c>
      <c r="Y383" s="219">
        <f t="shared" si="135"/>
        <v>635</v>
      </c>
    </row>
    <row r="384" spans="1:25" x14ac:dyDescent="0.25">
      <c r="A384" s="151" t="s">
        <v>345</v>
      </c>
      <c r="B384" s="138">
        <v>68</v>
      </c>
      <c r="C384" s="138">
        <v>83</v>
      </c>
      <c r="D384" s="138">
        <v>46</v>
      </c>
      <c r="E384" s="138">
        <v>58</v>
      </c>
      <c r="F384" s="138">
        <v>62</v>
      </c>
      <c r="G384" s="138">
        <v>105</v>
      </c>
      <c r="H384" s="138">
        <v>164</v>
      </c>
      <c r="I384" s="138">
        <v>172</v>
      </c>
      <c r="J384" s="138">
        <v>175</v>
      </c>
      <c r="K384" s="138">
        <v>187</v>
      </c>
      <c r="L384" s="138">
        <v>233</v>
      </c>
      <c r="M384" s="138">
        <v>320</v>
      </c>
      <c r="N384" s="138">
        <v>773</v>
      </c>
      <c r="O384" s="138">
        <v>873</v>
      </c>
      <c r="P384" s="138">
        <v>1637</v>
      </c>
      <c r="Q384" s="138">
        <v>1989</v>
      </c>
      <c r="R384" s="138">
        <v>2550</v>
      </c>
      <c r="S384" s="138">
        <v>3047</v>
      </c>
      <c r="T384" s="138">
        <v>3458</v>
      </c>
      <c r="U384" s="149">
        <f t="shared" si="132"/>
        <v>17.491978609625669</v>
      </c>
      <c r="V384" s="149">
        <f t="shared" si="133"/>
        <v>1.112400733048259</v>
      </c>
      <c r="W384" s="149">
        <f t="shared" si="134"/>
        <v>0.13488677387594356</v>
      </c>
      <c r="X384" s="218">
        <f t="shared" si="136"/>
        <v>2.5681968406277154E-2</v>
      </c>
      <c r="Y384" s="219">
        <f t="shared" si="135"/>
        <v>411</v>
      </c>
    </row>
    <row r="385" spans="1:25" x14ac:dyDescent="0.25">
      <c r="A385" s="151" t="s">
        <v>10</v>
      </c>
      <c r="B385" s="138">
        <v>2567</v>
      </c>
      <c r="C385" s="138">
        <v>2948</v>
      </c>
      <c r="D385" s="138">
        <v>3003</v>
      </c>
      <c r="E385" s="138">
        <v>2832</v>
      </c>
      <c r="F385" s="138">
        <v>2922</v>
      </c>
      <c r="G385" s="138">
        <v>2535</v>
      </c>
      <c r="H385" s="138">
        <v>2918</v>
      </c>
      <c r="I385" s="138">
        <v>2625</v>
      </c>
      <c r="J385" s="138">
        <v>2385</v>
      </c>
      <c r="K385" s="138">
        <v>2648</v>
      </c>
      <c r="L385" s="138">
        <v>2520</v>
      </c>
      <c r="M385" s="138">
        <v>2851</v>
      </c>
      <c r="N385" s="138">
        <v>3032</v>
      </c>
      <c r="O385" s="138">
        <v>2952</v>
      </c>
      <c r="P385" s="138">
        <v>3330</v>
      </c>
      <c r="Q385" s="138">
        <v>2959</v>
      </c>
      <c r="R385" s="138">
        <v>3054</v>
      </c>
      <c r="S385" s="138">
        <v>3274</v>
      </c>
      <c r="T385" s="138">
        <v>3145</v>
      </c>
      <c r="U385" s="149">
        <f t="shared" si="132"/>
        <v>0.18768882175226587</v>
      </c>
      <c r="V385" s="149">
        <f t="shared" si="133"/>
        <v>-5.5555555555555552E-2</v>
      </c>
      <c r="W385" s="149">
        <f t="shared" si="134"/>
        <v>-3.9401343921808184E-2</v>
      </c>
      <c r="X385" s="218">
        <f t="shared" si="136"/>
        <v>2.3357371497322629E-2</v>
      </c>
      <c r="Y385" s="219">
        <f t="shared" si="135"/>
        <v>-129</v>
      </c>
    </row>
    <row r="386" spans="1:25" x14ac:dyDescent="0.25">
      <c r="A386" s="151" t="s">
        <v>25</v>
      </c>
      <c r="B386" s="138">
        <v>407</v>
      </c>
      <c r="C386" s="138">
        <v>518</v>
      </c>
      <c r="D386" s="138">
        <v>689</v>
      </c>
      <c r="E386" s="138">
        <v>912</v>
      </c>
      <c r="F386" s="138">
        <v>1221</v>
      </c>
      <c r="G386" s="138">
        <v>1275</v>
      </c>
      <c r="H386" s="138">
        <v>2052</v>
      </c>
      <c r="I386" s="138">
        <v>2227</v>
      </c>
      <c r="J386" s="138">
        <v>2256</v>
      </c>
      <c r="K386" s="138">
        <v>2361</v>
      </c>
      <c r="L386" s="138">
        <v>2294</v>
      </c>
      <c r="M386" s="138">
        <v>2305</v>
      </c>
      <c r="N386" s="138">
        <v>2333</v>
      </c>
      <c r="O386" s="138">
        <v>2205</v>
      </c>
      <c r="P386" s="138">
        <v>2079</v>
      </c>
      <c r="Q386" s="138">
        <v>2468</v>
      </c>
      <c r="R386" s="138">
        <v>2813</v>
      </c>
      <c r="S386" s="138">
        <v>2728</v>
      </c>
      <c r="T386" s="138">
        <v>3110</v>
      </c>
      <c r="U386" s="149">
        <f t="shared" si="132"/>
        <v>0.31723845828038966</v>
      </c>
      <c r="V386" s="149">
        <f t="shared" si="133"/>
        <v>0.49591149591149591</v>
      </c>
      <c r="W386" s="149">
        <f t="shared" si="134"/>
        <v>0.14002932551319647</v>
      </c>
      <c r="X386" s="218">
        <f t="shared" si="136"/>
        <v>2.3097432545842091E-2</v>
      </c>
      <c r="Y386" s="219">
        <f t="shared" si="135"/>
        <v>382</v>
      </c>
    </row>
    <row r="387" spans="1:25" x14ac:dyDescent="0.25">
      <c r="A387" s="151" t="s">
        <v>131</v>
      </c>
      <c r="B387" s="138">
        <v>1472</v>
      </c>
      <c r="C387" s="138">
        <v>1571</v>
      </c>
      <c r="D387" s="138">
        <v>2050</v>
      </c>
      <c r="E387" s="138">
        <v>2575</v>
      </c>
      <c r="F387" s="138">
        <v>2951</v>
      </c>
      <c r="G387" s="138">
        <v>2950</v>
      </c>
      <c r="H387" s="138">
        <v>2901</v>
      </c>
      <c r="I387" s="138">
        <v>2987</v>
      </c>
      <c r="J387" s="138">
        <v>2973</v>
      </c>
      <c r="K387" s="138">
        <v>3148</v>
      </c>
      <c r="L387" s="138">
        <v>2848</v>
      </c>
      <c r="M387" s="138">
        <v>2545</v>
      </c>
      <c r="N387" s="138">
        <v>2763</v>
      </c>
      <c r="O387" s="138">
        <v>2597</v>
      </c>
      <c r="P387" s="138">
        <v>2766</v>
      </c>
      <c r="Q387" s="138">
        <v>3342</v>
      </c>
      <c r="R387" s="138">
        <v>3730</v>
      </c>
      <c r="S387" s="138">
        <v>3426</v>
      </c>
      <c r="T387" s="138">
        <v>2975</v>
      </c>
      <c r="U387" s="149">
        <f t="shared" si="132"/>
        <v>-5.4955527318932655E-2</v>
      </c>
      <c r="V387" s="149">
        <f t="shared" si="133"/>
        <v>7.5560375994215473E-2</v>
      </c>
      <c r="W387" s="149">
        <f t="shared" si="134"/>
        <v>-0.13164039696438995</v>
      </c>
      <c r="X387" s="218">
        <f t="shared" si="136"/>
        <v>2.2094810875845729E-2</v>
      </c>
      <c r="Y387" s="219">
        <f t="shared" si="135"/>
        <v>-451</v>
      </c>
    </row>
    <row r="388" spans="1:25" x14ac:dyDescent="0.25">
      <c r="A388" s="151" t="s">
        <v>132</v>
      </c>
      <c r="B388" s="138">
        <v>53</v>
      </c>
      <c r="C388" s="138">
        <v>78</v>
      </c>
      <c r="D388" s="138">
        <v>83</v>
      </c>
      <c r="E388" s="138">
        <v>169</v>
      </c>
      <c r="F388" s="138">
        <v>205</v>
      </c>
      <c r="G388" s="138">
        <v>209</v>
      </c>
      <c r="H388" s="138">
        <v>273</v>
      </c>
      <c r="I388" s="138">
        <v>569</v>
      </c>
      <c r="J388" s="138">
        <v>1059</v>
      </c>
      <c r="K388" s="138">
        <v>1319</v>
      </c>
      <c r="L388" s="138">
        <v>1202</v>
      </c>
      <c r="M388" s="138">
        <v>1497</v>
      </c>
      <c r="N388" s="138">
        <v>2158</v>
      </c>
      <c r="O388" s="138">
        <v>2011</v>
      </c>
      <c r="P388" s="138">
        <v>2568</v>
      </c>
      <c r="Q388" s="138">
        <v>2881</v>
      </c>
      <c r="R388" s="138">
        <v>2893</v>
      </c>
      <c r="S388" s="138">
        <v>2765</v>
      </c>
      <c r="T388" s="138">
        <v>2957</v>
      </c>
      <c r="U388" s="149">
        <f t="shared" si="132"/>
        <v>1.2418498862774829</v>
      </c>
      <c r="V388" s="149">
        <f t="shared" si="133"/>
        <v>0.1514797507788162</v>
      </c>
      <c r="W388" s="149">
        <f t="shared" si="134"/>
        <v>6.9439421338155519E-2</v>
      </c>
      <c r="X388" s="218">
        <f t="shared" si="136"/>
        <v>2.1961127986512882E-2</v>
      </c>
      <c r="Y388" s="219">
        <f t="shared" si="135"/>
        <v>192</v>
      </c>
    </row>
    <row r="389" spans="1:25" x14ac:dyDescent="0.25">
      <c r="A389" s="151" t="s">
        <v>18</v>
      </c>
      <c r="B389" s="138">
        <v>2080</v>
      </c>
      <c r="C389" s="138">
        <v>2261</v>
      </c>
      <c r="D389" s="138">
        <v>3391</v>
      </c>
      <c r="E389" s="138">
        <v>2715</v>
      </c>
      <c r="F389" s="138">
        <v>2898</v>
      </c>
      <c r="G389" s="138">
        <v>2832</v>
      </c>
      <c r="H389" s="138">
        <v>2992</v>
      </c>
      <c r="I389" s="138">
        <v>2527</v>
      </c>
      <c r="J389" s="138">
        <v>2992</v>
      </c>
      <c r="K389" s="138">
        <v>2461</v>
      </c>
      <c r="L389" s="138">
        <v>2419</v>
      </c>
      <c r="M389" s="138">
        <v>2648</v>
      </c>
      <c r="N389" s="138">
        <v>2376</v>
      </c>
      <c r="O389" s="138">
        <v>2114</v>
      </c>
      <c r="P389" s="138">
        <v>2271</v>
      </c>
      <c r="Q389" s="138">
        <v>2445</v>
      </c>
      <c r="R389" s="138">
        <v>2421</v>
      </c>
      <c r="S389" s="138">
        <v>2427</v>
      </c>
      <c r="T389" s="138">
        <v>2507</v>
      </c>
      <c r="U389" s="149">
        <f t="shared" si="132"/>
        <v>1.8691588785046728E-2</v>
      </c>
      <c r="V389" s="149">
        <f t="shared" si="133"/>
        <v>0.10391897842360194</v>
      </c>
      <c r="W389" s="149">
        <f t="shared" si="134"/>
        <v>3.2962505150391432E-2</v>
      </c>
      <c r="X389" s="218">
        <f t="shared" si="136"/>
        <v>1.8619055753191678E-2</v>
      </c>
      <c r="Y389" s="219">
        <f t="shared" si="135"/>
        <v>80</v>
      </c>
    </row>
    <row r="390" spans="1:25" x14ac:dyDescent="0.25">
      <c r="A390" s="151" t="s">
        <v>19</v>
      </c>
      <c r="B390" s="138">
        <v>2991</v>
      </c>
      <c r="C390" s="138">
        <v>3638</v>
      </c>
      <c r="D390" s="138">
        <v>5242</v>
      </c>
      <c r="E390" s="138">
        <v>5766</v>
      </c>
      <c r="F390" s="138">
        <v>6802</v>
      </c>
      <c r="G390" s="138">
        <v>6814</v>
      </c>
      <c r="H390" s="138">
        <v>8380</v>
      </c>
      <c r="I390" s="138">
        <v>7207</v>
      </c>
      <c r="J390" s="138">
        <v>5212</v>
      </c>
      <c r="K390" s="138">
        <v>3275</v>
      </c>
      <c r="L390" s="138">
        <v>2207</v>
      </c>
      <c r="M390" s="138">
        <v>2041</v>
      </c>
      <c r="N390" s="138">
        <v>1932</v>
      </c>
      <c r="O390" s="138">
        <v>1297</v>
      </c>
      <c r="P390" s="138">
        <v>1788</v>
      </c>
      <c r="Q390" s="138">
        <v>1892</v>
      </c>
      <c r="R390" s="138">
        <v>1916</v>
      </c>
      <c r="S390" s="138">
        <v>1905</v>
      </c>
      <c r="T390" s="138">
        <v>2407</v>
      </c>
      <c r="U390" s="149">
        <f t="shared" si="132"/>
        <v>-0.26503816793893131</v>
      </c>
      <c r="V390" s="149">
        <f t="shared" si="133"/>
        <v>0.34619686800894856</v>
      </c>
      <c r="W390" s="149">
        <f t="shared" si="134"/>
        <v>0.26351706036745409</v>
      </c>
      <c r="X390" s="218">
        <f t="shared" si="136"/>
        <v>1.7876373034675857E-2</v>
      </c>
      <c r="Y390" s="219">
        <f t="shared" si="135"/>
        <v>502</v>
      </c>
    </row>
    <row r="391" spans="1:25" x14ac:dyDescent="0.25">
      <c r="A391" s="151" t="s">
        <v>137</v>
      </c>
      <c r="B391" s="138">
        <v>233</v>
      </c>
      <c r="C391" s="138">
        <v>327</v>
      </c>
      <c r="D391" s="138">
        <v>361</v>
      </c>
      <c r="E391" s="138">
        <v>432</v>
      </c>
      <c r="F391" s="138">
        <v>559</v>
      </c>
      <c r="G391" s="138">
        <v>785</v>
      </c>
      <c r="H391" s="138">
        <v>1274</v>
      </c>
      <c r="I391" s="138">
        <v>1506</v>
      </c>
      <c r="J391" s="138">
        <v>1206</v>
      </c>
      <c r="K391" s="138">
        <v>1275</v>
      </c>
      <c r="L391" s="138">
        <v>1251</v>
      </c>
      <c r="M391" s="138">
        <v>1175</v>
      </c>
      <c r="N391" s="138">
        <v>1411</v>
      </c>
      <c r="O391" s="138">
        <v>1223</v>
      </c>
      <c r="P391" s="138">
        <v>1412</v>
      </c>
      <c r="Q391" s="138">
        <v>1575</v>
      </c>
      <c r="R391" s="138">
        <v>1890</v>
      </c>
      <c r="S391" s="138">
        <v>2086</v>
      </c>
      <c r="T391" s="138">
        <v>2155</v>
      </c>
      <c r="U391" s="149">
        <f t="shared" si="132"/>
        <v>0.69019607843137254</v>
      </c>
      <c r="V391" s="149">
        <f t="shared" si="133"/>
        <v>0.52620396600566577</v>
      </c>
      <c r="W391" s="149">
        <f t="shared" si="134"/>
        <v>3.3077660594439118E-2</v>
      </c>
      <c r="X391" s="218">
        <f t="shared" si="136"/>
        <v>1.6004812584015982E-2</v>
      </c>
      <c r="Y391" s="219">
        <f t="shared" si="135"/>
        <v>69</v>
      </c>
    </row>
    <row r="392" spans="1:25" x14ac:dyDescent="0.25">
      <c r="A392" s="151" t="s">
        <v>580</v>
      </c>
      <c r="B392" s="138">
        <v>0</v>
      </c>
      <c r="C392" s="138">
        <v>0</v>
      </c>
      <c r="D392" s="138">
        <v>0</v>
      </c>
      <c r="E392" s="138">
        <v>0</v>
      </c>
      <c r="F392" s="138">
        <v>65</v>
      </c>
      <c r="G392" s="138">
        <v>536</v>
      </c>
      <c r="H392" s="138">
        <v>2350</v>
      </c>
      <c r="I392" s="138">
        <v>2973</v>
      </c>
      <c r="J392" s="138">
        <v>2936</v>
      </c>
      <c r="K392" s="138">
        <v>1424</v>
      </c>
      <c r="L392" s="138">
        <v>885</v>
      </c>
      <c r="M392" s="138">
        <v>941</v>
      </c>
      <c r="N392" s="138">
        <v>928</v>
      </c>
      <c r="O392" s="138">
        <v>799</v>
      </c>
      <c r="P392" s="138">
        <v>1049</v>
      </c>
      <c r="Q392" s="138">
        <v>1244</v>
      </c>
      <c r="R392" s="138">
        <v>1596</v>
      </c>
      <c r="S392" s="138">
        <v>1641</v>
      </c>
      <c r="T392" s="138">
        <v>2133</v>
      </c>
      <c r="U392" s="149">
        <f t="shared" si="132"/>
        <v>0.4978932584269663</v>
      </c>
      <c r="V392" s="149">
        <f t="shared" si="133"/>
        <v>1.0333651096282173</v>
      </c>
      <c r="W392" s="149">
        <f t="shared" si="134"/>
        <v>0.29981718464351004</v>
      </c>
      <c r="X392" s="218">
        <f t="shared" si="136"/>
        <v>1.5841422385942501E-2</v>
      </c>
      <c r="Y392" s="219">
        <f t="shared" si="135"/>
        <v>492</v>
      </c>
    </row>
    <row r="393" spans="1:25" x14ac:dyDescent="0.25">
      <c r="A393" s="151" t="s">
        <v>27</v>
      </c>
      <c r="B393" s="138">
        <v>1078</v>
      </c>
      <c r="C393" s="138">
        <v>1114</v>
      </c>
      <c r="D393" s="138">
        <v>1260</v>
      </c>
      <c r="E393" s="138">
        <v>1379</v>
      </c>
      <c r="F393" s="138">
        <v>1786</v>
      </c>
      <c r="G393" s="138">
        <v>1926</v>
      </c>
      <c r="H393" s="138">
        <v>2363</v>
      </c>
      <c r="I393" s="138">
        <v>2938</v>
      </c>
      <c r="J393" s="138">
        <v>2972</v>
      </c>
      <c r="K393" s="138">
        <v>3120</v>
      </c>
      <c r="L393" s="138">
        <v>3104</v>
      </c>
      <c r="M393" s="138">
        <v>2908</v>
      </c>
      <c r="N393" s="138">
        <v>2706</v>
      </c>
      <c r="O393" s="138">
        <v>2277</v>
      </c>
      <c r="P393" s="138">
        <v>2047</v>
      </c>
      <c r="Q393" s="138">
        <v>2226</v>
      </c>
      <c r="R393" s="138">
        <v>2360</v>
      </c>
      <c r="S393" s="138">
        <v>2171</v>
      </c>
      <c r="T393" s="138">
        <v>2063</v>
      </c>
      <c r="U393" s="149">
        <f t="shared" si="132"/>
        <v>-0.3387820512820513</v>
      </c>
      <c r="V393" s="149">
        <f t="shared" si="133"/>
        <v>7.816316560820713E-3</v>
      </c>
      <c r="W393" s="149">
        <f t="shared" si="134"/>
        <v>-4.9746660525103639E-2</v>
      </c>
      <c r="X393" s="218">
        <f t="shared" si="136"/>
        <v>1.5321544482981425E-2</v>
      </c>
      <c r="Y393" s="219">
        <f t="shared" si="135"/>
        <v>-108</v>
      </c>
    </row>
    <row r="394" spans="1:25" x14ac:dyDescent="0.25">
      <c r="A394" s="151" t="s">
        <v>581</v>
      </c>
      <c r="B394" s="138">
        <v>237</v>
      </c>
      <c r="C394" s="138">
        <v>228</v>
      </c>
      <c r="D394" s="138">
        <v>345</v>
      </c>
      <c r="E394" s="138">
        <v>455</v>
      </c>
      <c r="F394" s="138">
        <v>559</v>
      </c>
      <c r="G394" s="138">
        <v>670</v>
      </c>
      <c r="H394" s="138">
        <v>1053</v>
      </c>
      <c r="I394" s="138">
        <v>1042</v>
      </c>
      <c r="J394" s="138">
        <v>1131</v>
      </c>
      <c r="K394" s="138">
        <v>945</v>
      </c>
      <c r="L394" s="138">
        <v>772</v>
      </c>
      <c r="M394" s="138">
        <v>753</v>
      </c>
      <c r="N394" s="138">
        <v>753</v>
      </c>
      <c r="O394" s="138">
        <v>673</v>
      </c>
      <c r="P394" s="138">
        <v>749</v>
      </c>
      <c r="Q394" s="138">
        <v>851</v>
      </c>
      <c r="R394" s="138">
        <v>1622</v>
      </c>
      <c r="S394" s="138">
        <v>1873</v>
      </c>
      <c r="T394" s="138">
        <v>2044</v>
      </c>
      <c r="U394" s="149">
        <f t="shared" si="132"/>
        <v>1.162962962962963</v>
      </c>
      <c r="V394" s="149">
        <f t="shared" si="133"/>
        <v>1.7289719626168225</v>
      </c>
      <c r="W394" s="149">
        <f t="shared" si="134"/>
        <v>9.129738387613455E-2</v>
      </c>
      <c r="X394" s="218">
        <f t="shared" si="136"/>
        <v>1.5180434766463418E-2</v>
      </c>
      <c r="Y394" s="219">
        <f t="shared" si="135"/>
        <v>171</v>
      </c>
    </row>
    <row r="395" spans="1:25" x14ac:dyDescent="0.25">
      <c r="A395" s="152"/>
      <c r="B395" s="152"/>
      <c r="C395" s="152"/>
      <c r="D395" s="152"/>
      <c r="E395" s="152"/>
      <c r="F395" s="152"/>
      <c r="G395" s="152"/>
      <c r="H395" s="152"/>
      <c r="I395" s="152"/>
      <c r="J395" s="152"/>
      <c r="K395" s="152"/>
      <c r="L395" s="152"/>
      <c r="M395" s="152"/>
      <c r="N395" s="152"/>
      <c r="O395" s="152"/>
      <c r="P395" s="152"/>
      <c r="Q395" s="152"/>
      <c r="R395" s="152"/>
      <c r="S395" s="198"/>
      <c r="T395" s="198"/>
      <c r="U395" s="153"/>
      <c r="V395" s="153"/>
      <c r="W395" s="153"/>
      <c r="X395" s="153"/>
      <c r="Y395" s="153"/>
    </row>
    <row r="396" spans="1:25" ht="15.75" x14ac:dyDescent="0.25">
      <c r="A396" s="22" t="s">
        <v>618</v>
      </c>
      <c r="B396" s="22"/>
      <c r="C396" s="22"/>
      <c r="D396" s="22"/>
      <c r="E396" s="22"/>
      <c r="F396" s="22"/>
      <c r="G396" s="22"/>
      <c r="H396" s="22"/>
      <c r="I396" s="3"/>
      <c r="J396" s="3"/>
      <c r="K396" s="3"/>
      <c r="L396" s="3"/>
      <c r="N396" s="3"/>
      <c r="O396" s="3"/>
      <c r="P396" s="3"/>
      <c r="Q396" s="3"/>
      <c r="R396" s="3"/>
      <c r="S396" s="3"/>
      <c r="T396" s="3"/>
      <c r="U396" s="27"/>
      <c r="V396" s="27"/>
      <c r="W396" s="27"/>
      <c r="X396" s="27"/>
      <c r="Y396" s="27"/>
    </row>
    <row r="397" spans="1:25" ht="30" customHeight="1" x14ac:dyDescent="0.25">
      <c r="A397" s="120" t="s">
        <v>4</v>
      </c>
      <c r="B397" s="105">
        <v>2007</v>
      </c>
      <c r="C397" s="105">
        <v>2008</v>
      </c>
      <c r="D397" s="105">
        <v>2009</v>
      </c>
      <c r="E397" s="105">
        <v>2010</v>
      </c>
      <c r="F397" s="105">
        <v>2011</v>
      </c>
      <c r="G397" s="105">
        <v>2012</v>
      </c>
      <c r="H397" s="105">
        <v>2013</v>
      </c>
      <c r="I397" s="105">
        <v>2014</v>
      </c>
      <c r="J397" s="105">
        <v>2015</v>
      </c>
      <c r="K397" s="105">
        <v>2016</v>
      </c>
      <c r="L397" s="105">
        <v>2017</v>
      </c>
      <c r="M397" s="132">
        <v>2018</v>
      </c>
      <c r="N397" s="105">
        <v>2019</v>
      </c>
      <c r="O397" s="105">
        <v>2020</v>
      </c>
      <c r="P397" s="105">
        <v>2021</v>
      </c>
      <c r="Q397" s="105">
        <v>2022</v>
      </c>
      <c r="R397" s="105">
        <v>2023</v>
      </c>
      <c r="S397" s="105">
        <v>2024</v>
      </c>
      <c r="T397" s="105">
        <v>2025</v>
      </c>
      <c r="U397" s="106" t="s">
        <v>546</v>
      </c>
      <c r="V397" s="106" t="s">
        <v>547</v>
      </c>
      <c r="W397" s="106" t="s">
        <v>548</v>
      </c>
      <c r="X397" s="106" t="s">
        <v>549</v>
      </c>
      <c r="Y397" s="216" t="s">
        <v>563</v>
      </c>
    </row>
    <row r="398" spans="1:25" x14ac:dyDescent="0.25">
      <c r="A398" s="151" t="s">
        <v>8</v>
      </c>
      <c r="B398" s="123">
        <v>23937</v>
      </c>
      <c r="C398" s="123">
        <v>24309</v>
      </c>
      <c r="D398" s="123">
        <v>23916</v>
      </c>
      <c r="E398" s="123">
        <v>24711</v>
      </c>
      <c r="F398" s="123">
        <v>26116</v>
      </c>
      <c r="G398" s="123">
        <v>27031</v>
      </c>
      <c r="H398" s="123">
        <v>27599</v>
      </c>
      <c r="I398" s="123">
        <v>28710</v>
      </c>
      <c r="J398" s="123">
        <v>30038</v>
      </c>
      <c r="K398" s="123">
        <v>31834</v>
      </c>
      <c r="L398" s="123">
        <v>33331</v>
      </c>
      <c r="M398" s="123">
        <v>34830</v>
      </c>
      <c r="N398" s="123">
        <v>36886</v>
      </c>
      <c r="O398" s="123">
        <v>37638</v>
      </c>
      <c r="P398" s="123">
        <v>41630</v>
      </c>
      <c r="Q398" s="123">
        <v>44901</v>
      </c>
      <c r="R398" s="123">
        <v>48651</v>
      </c>
      <c r="S398" s="123">
        <v>52886</v>
      </c>
      <c r="T398" s="123">
        <v>56549</v>
      </c>
      <c r="U398" s="149">
        <f t="shared" ref="U398:U417" si="137">(T398-K398)/K398</f>
        <v>0.77637117547276502</v>
      </c>
      <c r="V398" s="149">
        <f t="shared" ref="V398:V417" si="138">(T398-P398)/P398</f>
        <v>0.35837136680278647</v>
      </c>
      <c r="W398" s="149">
        <f t="shared" ref="W398:W417" si="139">(T398-S398)/S398</f>
        <v>6.9262186590023825E-2</v>
      </c>
      <c r="X398" s="218">
        <f>T398/T$8</f>
        <v>7.7254737486355515E-2</v>
      </c>
      <c r="Y398" s="219">
        <f t="shared" ref="Y398:Y417" si="140">T398-S398</f>
        <v>3663</v>
      </c>
    </row>
    <row r="399" spans="1:25" x14ac:dyDescent="0.25">
      <c r="A399" s="151" t="s">
        <v>7</v>
      </c>
      <c r="B399" s="123">
        <v>32980</v>
      </c>
      <c r="C399" s="123">
        <v>33986</v>
      </c>
      <c r="D399" s="123">
        <v>35635</v>
      </c>
      <c r="E399" s="123">
        <v>36569</v>
      </c>
      <c r="F399" s="123">
        <v>37188</v>
      </c>
      <c r="G399" s="123">
        <v>37148</v>
      </c>
      <c r="H399" s="123">
        <v>37552</v>
      </c>
      <c r="I399" s="123">
        <v>37484</v>
      </c>
      <c r="J399" s="123">
        <v>37448</v>
      </c>
      <c r="K399" s="123">
        <v>38601</v>
      </c>
      <c r="L399" s="123">
        <v>39424</v>
      </c>
      <c r="M399" s="123">
        <v>40021</v>
      </c>
      <c r="N399" s="123">
        <v>41690</v>
      </c>
      <c r="O399" s="123">
        <v>41935</v>
      </c>
      <c r="P399" s="123">
        <v>45840</v>
      </c>
      <c r="Q399" s="123">
        <v>46021</v>
      </c>
      <c r="R399" s="123">
        <v>47080</v>
      </c>
      <c r="S399" s="123">
        <v>48149</v>
      </c>
      <c r="T399" s="123">
        <v>49807</v>
      </c>
      <c r="U399" s="149">
        <f t="shared" si="137"/>
        <v>0.29030336001657986</v>
      </c>
      <c r="V399" s="149">
        <f t="shared" si="138"/>
        <v>8.6540139616055847E-2</v>
      </c>
      <c r="W399" s="149">
        <f t="shared" si="139"/>
        <v>3.4434775384743196E-2</v>
      </c>
      <c r="X399" s="218">
        <f t="shared" ref="X399:X417" si="141">T399/T$8</f>
        <v>6.8044115899183175E-2</v>
      </c>
      <c r="Y399" s="219">
        <f t="shared" si="140"/>
        <v>1658</v>
      </c>
    </row>
    <row r="400" spans="1:25" x14ac:dyDescent="0.25">
      <c r="A400" s="151" t="s">
        <v>5</v>
      </c>
      <c r="B400" s="123">
        <v>25180</v>
      </c>
      <c r="C400" s="123">
        <v>27769</v>
      </c>
      <c r="D400" s="123">
        <v>28960</v>
      </c>
      <c r="E400" s="123">
        <v>31923</v>
      </c>
      <c r="F400" s="123">
        <v>34797</v>
      </c>
      <c r="G400" s="123">
        <v>37996</v>
      </c>
      <c r="H400" s="123">
        <v>40408</v>
      </c>
      <c r="I400" s="123">
        <v>42017</v>
      </c>
      <c r="J400" s="123">
        <v>42610</v>
      </c>
      <c r="K400" s="123">
        <v>44043</v>
      </c>
      <c r="L400" s="123">
        <v>44662</v>
      </c>
      <c r="M400" s="123">
        <v>46137</v>
      </c>
      <c r="N400" s="123">
        <v>46530</v>
      </c>
      <c r="O400" s="123">
        <v>45174</v>
      </c>
      <c r="P400" s="123">
        <v>46673</v>
      </c>
      <c r="Q400" s="123">
        <v>46505</v>
      </c>
      <c r="R400" s="123">
        <v>46187</v>
      </c>
      <c r="S400" s="123">
        <v>45854</v>
      </c>
      <c r="T400" s="123">
        <v>47107</v>
      </c>
      <c r="U400" s="149">
        <f t="shared" si="137"/>
        <v>6.9568376359466888E-2</v>
      </c>
      <c r="V400" s="149">
        <f t="shared" si="138"/>
        <v>9.2987380284104294E-3</v>
      </c>
      <c r="W400" s="149">
        <f t="shared" si="139"/>
        <v>2.7325860339337898E-2</v>
      </c>
      <c r="X400" s="218">
        <f t="shared" si="141"/>
        <v>6.4355495566141743E-2</v>
      </c>
      <c r="Y400" s="219">
        <f t="shared" si="140"/>
        <v>1253</v>
      </c>
    </row>
    <row r="401" spans="1:25" x14ac:dyDescent="0.25">
      <c r="A401" s="151" t="s">
        <v>6</v>
      </c>
      <c r="B401" s="123">
        <v>15379</v>
      </c>
      <c r="C401" s="123">
        <v>18679</v>
      </c>
      <c r="D401" s="123">
        <v>23295</v>
      </c>
      <c r="E401" s="123">
        <v>28426</v>
      </c>
      <c r="F401" s="123">
        <v>33493</v>
      </c>
      <c r="G401" s="123">
        <v>37498</v>
      </c>
      <c r="H401" s="123">
        <v>39071</v>
      </c>
      <c r="I401" s="123">
        <v>40014</v>
      </c>
      <c r="J401" s="123">
        <v>40906</v>
      </c>
      <c r="K401" s="123">
        <v>41099</v>
      </c>
      <c r="L401" s="123">
        <v>40377</v>
      </c>
      <c r="M401" s="123">
        <v>38953</v>
      </c>
      <c r="N401" s="123">
        <v>37305</v>
      </c>
      <c r="O401" s="123">
        <v>36013</v>
      </c>
      <c r="P401" s="123">
        <v>38826</v>
      </c>
      <c r="Q401" s="123">
        <v>37532</v>
      </c>
      <c r="R401" s="123">
        <v>36998</v>
      </c>
      <c r="S401" s="123">
        <v>36309</v>
      </c>
      <c r="T401" s="123">
        <v>37402</v>
      </c>
      <c r="U401" s="149">
        <f t="shared" si="137"/>
        <v>-8.9953526849801693E-2</v>
      </c>
      <c r="V401" s="149">
        <f t="shared" si="138"/>
        <v>-3.6676453922629165E-2</v>
      </c>
      <c r="W401" s="149">
        <f t="shared" si="139"/>
        <v>3.0102729350849653E-2</v>
      </c>
      <c r="X401" s="218">
        <f t="shared" si="141"/>
        <v>5.1096954702376157E-2</v>
      </c>
      <c r="Y401" s="219">
        <f t="shared" si="140"/>
        <v>1093</v>
      </c>
    </row>
    <row r="402" spans="1:25" x14ac:dyDescent="0.25">
      <c r="A402" s="151" t="s">
        <v>43</v>
      </c>
      <c r="B402" s="123">
        <v>16250</v>
      </c>
      <c r="C402" s="123">
        <v>18089</v>
      </c>
      <c r="D402" s="123">
        <v>18900</v>
      </c>
      <c r="E402" s="123">
        <v>21275</v>
      </c>
      <c r="F402" s="123">
        <v>23051</v>
      </c>
      <c r="G402" s="123">
        <v>25095</v>
      </c>
      <c r="H402" s="123">
        <v>24893</v>
      </c>
      <c r="I402" s="123">
        <v>26094</v>
      </c>
      <c r="J402" s="123">
        <v>26612</v>
      </c>
      <c r="K402" s="123">
        <v>27462</v>
      </c>
      <c r="L402" s="123">
        <v>27600</v>
      </c>
      <c r="M402" s="123">
        <v>27884</v>
      </c>
      <c r="N402" s="123">
        <v>27464</v>
      </c>
      <c r="O402" s="123">
        <v>27814</v>
      </c>
      <c r="P402" s="123">
        <v>30026</v>
      </c>
      <c r="Q402" s="123">
        <v>31506</v>
      </c>
      <c r="R402" s="123">
        <v>32276</v>
      </c>
      <c r="S402" s="123">
        <v>33281</v>
      </c>
      <c r="T402" s="123">
        <v>34904</v>
      </c>
      <c r="U402" s="149">
        <f t="shared" si="137"/>
        <v>0.27099264438132692</v>
      </c>
      <c r="V402" s="149">
        <f t="shared" si="138"/>
        <v>0.16245920202491174</v>
      </c>
      <c r="W402" s="149">
        <f t="shared" si="139"/>
        <v>4.8766563504702383E-2</v>
      </c>
      <c r="X402" s="218">
        <f t="shared" si="141"/>
        <v>4.7684297816473376E-2</v>
      </c>
      <c r="Y402" s="219">
        <f t="shared" si="140"/>
        <v>1623</v>
      </c>
    </row>
    <row r="403" spans="1:25" x14ac:dyDescent="0.25">
      <c r="A403" s="151" t="s">
        <v>9</v>
      </c>
      <c r="B403" s="123">
        <v>14927</v>
      </c>
      <c r="C403" s="123">
        <v>16798</v>
      </c>
      <c r="D403" s="123">
        <v>19815</v>
      </c>
      <c r="E403" s="123">
        <v>21878</v>
      </c>
      <c r="F403" s="123">
        <v>23744</v>
      </c>
      <c r="G403" s="123">
        <v>24440</v>
      </c>
      <c r="H403" s="123">
        <v>23893</v>
      </c>
      <c r="I403" s="123">
        <v>22692</v>
      </c>
      <c r="J403" s="123">
        <v>21779</v>
      </c>
      <c r="K403" s="123">
        <v>20920</v>
      </c>
      <c r="L403" s="123">
        <v>20258</v>
      </c>
      <c r="M403" s="123">
        <v>19604</v>
      </c>
      <c r="N403" s="123">
        <v>19099</v>
      </c>
      <c r="O403" s="123">
        <v>18859</v>
      </c>
      <c r="P403" s="123">
        <v>20603</v>
      </c>
      <c r="Q403" s="123">
        <v>20525</v>
      </c>
      <c r="R403" s="123">
        <v>21316</v>
      </c>
      <c r="S403" s="123">
        <v>22469</v>
      </c>
      <c r="T403" s="123">
        <v>23938</v>
      </c>
      <c r="U403" s="149">
        <f t="shared" si="137"/>
        <v>0.14426386233269597</v>
      </c>
      <c r="V403" s="149">
        <f t="shared" si="138"/>
        <v>0.1618696306363151</v>
      </c>
      <c r="W403" s="149">
        <f t="shared" si="139"/>
        <v>6.5378966576171621E-2</v>
      </c>
      <c r="X403" s="218">
        <f t="shared" si="141"/>
        <v>3.2703034641609549E-2</v>
      </c>
      <c r="Y403" s="219">
        <f t="shared" si="140"/>
        <v>1469</v>
      </c>
    </row>
    <row r="404" spans="1:25" x14ac:dyDescent="0.25">
      <c r="A404" s="151" t="s">
        <v>294</v>
      </c>
      <c r="B404" s="123">
        <v>9101</v>
      </c>
      <c r="C404" s="123">
        <v>9345</v>
      </c>
      <c r="D404" s="123">
        <v>9396</v>
      </c>
      <c r="E404" s="123">
        <v>9298</v>
      </c>
      <c r="F404" s="123">
        <v>9196</v>
      </c>
      <c r="G404" s="123">
        <v>8916</v>
      </c>
      <c r="H404" s="123">
        <v>8711</v>
      </c>
      <c r="I404" s="123">
        <v>8430</v>
      </c>
      <c r="J404" s="123">
        <v>8476</v>
      </c>
      <c r="K404" s="123">
        <v>8676</v>
      </c>
      <c r="L404" s="123">
        <v>9127</v>
      </c>
      <c r="M404" s="123">
        <v>9833</v>
      </c>
      <c r="N404" s="123">
        <v>10971</v>
      </c>
      <c r="O404" s="123">
        <v>12247</v>
      </c>
      <c r="P404" s="123">
        <v>14378</v>
      </c>
      <c r="Q404" s="123">
        <v>15711</v>
      </c>
      <c r="R404" s="123">
        <v>17957</v>
      </c>
      <c r="S404" s="123">
        <v>19634</v>
      </c>
      <c r="T404" s="123">
        <v>21371</v>
      </c>
      <c r="U404" s="149">
        <f t="shared" si="137"/>
        <v>1.4632319041032733</v>
      </c>
      <c r="V404" s="149">
        <f t="shared" si="138"/>
        <v>0.48636806231742941</v>
      </c>
      <c r="W404" s="149">
        <f t="shared" si="139"/>
        <v>8.8468982377508401E-2</v>
      </c>
      <c r="X404" s="218">
        <f t="shared" si="141"/>
        <v>2.9196113013862383E-2</v>
      </c>
      <c r="Y404" s="219">
        <f t="shared" si="140"/>
        <v>1737</v>
      </c>
    </row>
    <row r="405" spans="1:25" x14ac:dyDescent="0.25">
      <c r="A405" s="151" t="s">
        <v>13</v>
      </c>
      <c r="B405" s="123">
        <v>10168</v>
      </c>
      <c r="C405" s="123">
        <v>10829</v>
      </c>
      <c r="D405" s="123">
        <v>11630</v>
      </c>
      <c r="E405" s="123">
        <v>11996</v>
      </c>
      <c r="F405" s="123">
        <v>12450</v>
      </c>
      <c r="G405" s="123">
        <v>12830</v>
      </c>
      <c r="H405" s="123">
        <v>13365</v>
      </c>
      <c r="I405" s="123">
        <v>13740</v>
      </c>
      <c r="J405" s="123">
        <v>14018</v>
      </c>
      <c r="K405" s="123">
        <v>14498</v>
      </c>
      <c r="L405" s="123">
        <v>15025</v>
      </c>
      <c r="M405" s="123">
        <v>15807</v>
      </c>
      <c r="N405" s="123">
        <v>16329</v>
      </c>
      <c r="O405" s="123">
        <v>16929</v>
      </c>
      <c r="P405" s="123">
        <v>17843</v>
      </c>
      <c r="Q405" s="123">
        <v>18774</v>
      </c>
      <c r="R405" s="123">
        <v>19655</v>
      </c>
      <c r="S405" s="123">
        <v>20490</v>
      </c>
      <c r="T405" s="123">
        <v>21230</v>
      </c>
      <c r="U405" s="149">
        <f t="shared" si="137"/>
        <v>0.46433990895295901</v>
      </c>
      <c r="V405" s="149">
        <f t="shared" si="138"/>
        <v>0.18982233929271983</v>
      </c>
      <c r="W405" s="149">
        <f t="shared" si="139"/>
        <v>3.611517813567594E-2</v>
      </c>
      <c r="X405" s="218">
        <f t="shared" si="141"/>
        <v>2.9003485063136884E-2</v>
      </c>
      <c r="Y405" s="219">
        <f t="shared" si="140"/>
        <v>740</v>
      </c>
    </row>
    <row r="406" spans="1:25" x14ac:dyDescent="0.25">
      <c r="A406" s="151" t="s">
        <v>280</v>
      </c>
      <c r="B406" s="123">
        <v>10978</v>
      </c>
      <c r="C406" s="123">
        <v>10718</v>
      </c>
      <c r="D406" s="123">
        <v>11518</v>
      </c>
      <c r="E406" s="123">
        <v>11954</v>
      </c>
      <c r="F406" s="123">
        <v>12367</v>
      </c>
      <c r="G406" s="123">
        <v>12774</v>
      </c>
      <c r="H406" s="123">
        <v>14804</v>
      </c>
      <c r="I406" s="123">
        <v>14134</v>
      </c>
      <c r="J406" s="123">
        <v>15164</v>
      </c>
      <c r="K406" s="123">
        <v>15271</v>
      </c>
      <c r="L406" s="123">
        <v>16234</v>
      </c>
      <c r="M406" s="123">
        <v>16498</v>
      </c>
      <c r="N406" s="123">
        <v>17751</v>
      </c>
      <c r="O406" s="123">
        <v>17314</v>
      </c>
      <c r="P406" s="123">
        <v>18241</v>
      </c>
      <c r="Q406" s="123">
        <v>18177</v>
      </c>
      <c r="R406" s="123">
        <v>18191</v>
      </c>
      <c r="S406" s="123">
        <v>18057</v>
      </c>
      <c r="T406" s="123">
        <v>18821</v>
      </c>
      <c r="U406" s="149">
        <f t="shared" si="137"/>
        <v>0.23246676707484776</v>
      </c>
      <c r="V406" s="149">
        <f t="shared" si="138"/>
        <v>3.1796502384737677E-2</v>
      </c>
      <c r="W406" s="149">
        <f t="shared" si="139"/>
        <v>4.2310461316940801E-2</v>
      </c>
      <c r="X406" s="218">
        <f t="shared" si="141"/>
        <v>2.5712416032656584E-2</v>
      </c>
      <c r="Y406" s="219">
        <f t="shared" si="140"/>
        <v>764</v>
      </c>
    </row>
    <row r="407" spans="1:25" x14ac:dyDescent="0.25">
      <c r="A407" s="151" t="s">
        <v>314</v>
      </c>
      <c r="B407" s="123">
        <v>6435</v>
      </c>
      <c r="C407" s="123">
        <v>6827</v>
      </c>
      <c r="D407" s="123">
        <v>6872</v>
      </c>
      <c r="E407" s="123">
        <v>7055</v>
      </c>
      <c r="F407" s="123">
        <v>7384</v>
      </c>
      <c r="G407" s="123">
        <v>7431</v>
      </c>
      <c r="H407" s="123">
        <v>7519</v>
      </c>
      <c r="I407" s="123">
        <v>7501</v>
      </c>
      <c r="J407" s="123">
        <v>7428</v>
      </c>
      <c r="K407" s="123">
        <v>7830</v>
      </c>
      <c r="L407" s="123">
        <v>8096</v>
      </c>
      <c r="M407" s="123">
        <v>8506</v>
      </c>
      <c r="N407" s="123">
        <v>9069</v>
      </c>
      <c r="O407" s="123">
        <v>10238</v>
      </c>
      <c r="P407" s="123">
        <v>11936</v>
      </c>
      <c r="Q407" s="123">
        <v>13353</v>
      </c>
      <c r="R407" s="123">
        <v>14342</v>
      </c>
      <c r="S407" s="123">
        <v>16063</v>
      </c>
      <c r="T407" s="123">
        <v>17875</v>
      </c>
      <c r="U407" s="149">
        <f t="shared" si="137"/>
        <v>1.2828863346104726</v>
      </c>
      <c r="V407" s="149">
        <f t="shared" si="138"/>
        <v>0.49757037533512066</v>
      </c>
      <c r="W407" s="149">
        <f t="shared" si="139"/>
        <v>0.11280582705596713</v>
      </c>
      <c r="X407" s="218">
        <f t="shared" si="141"/>
        <v>2.4420032760413182E-2</v>
      </c>
      <c r="Y407" s="219">
        <f t="shared" si="140"/>
        <v>1812</v>
      </c>
    </row>
    <row r="408" spans="1:25" x14ac:dyDescent="0.25">
      <c r="A408" s="151" t="s">
        <v>15</v>
      </c>
      <c r="B408" s="123">
        <v>12784</v>
      </c>
      <c r="C408" s="123">
        <v>12507</v>
      </c>
      <c r="D408" s="123">
        <v>12466</v>
      </c>
      <c r="E408" s="123">
        <v>12395</v>
      </c>
      <c r="F408" s="123">
        <v>12194</v>
      </c>
      <c r="G408" s="123">
        <v>12081</v>
      </c>
      <c r="H408" s="123">
        <v>11943</v>
      </c>
      <c r="I408" s="123">
        <v>11838</v>
      </c>
      <c r="J408" s="123">
        <v>12010</v>
      </c>
      <c r="K408" s="123">
        <v>12245</v>
      </c>
      <c r="L408" s="123">
        <v>12511</v>
      </c>
      <c r="M408" s="123">
        <v>12877</v>
      </c>
      <c r="N408" s="123">
        <v>13078</v>
      </c>
      <c r="O408" s="123">
        <v>13251</v>
      </c>
      <c r="P408" s="123">
        <v>14468</v>
      </c>
      <c r="Q408" s="123">
        <v>15114</v>
      </c>
      <c r="R408" s="123">
        <v>16041</v>
      </c>
      <c r="S408" s="123">
        <v>16888</v>
      </c>
      <c r="T408" s="123">
        <v>17704</v>
      </c>
      <c r="U408" s="149">
        <f t="shared" si="137"/>
        <v>0.44581461821151491</v>
      </c>
      <c r="V408" s="149">
        <f t="shared" si="138"/>
        <v>0.22366602156483273</v>
      </c>
      <c r="W408" s="149">
        <f t="shared" si="139"/>
        <v>4.8318332543818093E-2</v>
      </c>
      <c r="X408" s="218">
        <f t="shared" si="141"/>
        <v>2.4186420139320555E-2</v>
      </c>
      <c r="Y408" s="219">
        <f t="shared" si="140"/>
        <v>816</v>
      </c>
    </row>
    <row r="409" spans="1:25" x14ac:dyDescent="0.25">
      <c r="A409" s="151" t="s">
        <v>120</v>
      </c>
      <c r="B409" s="123">
        <v>5107</v>
      </c>
      <c r="C409" s="123">
        <v>5697</v>
      </c>
      <c r="D409" s="123">
        <v>6316</v>
      </c>
      <c r="E409" s="123">
        <v>6975</v>
      </c>
      <c r="F409" s="123">
        <v>7611</v>
      </c>
      <c r="G409" s="123">
        <v>8511</v>
      </c>
      <c r="H409" s="123">
        <v>9430</v>
      </c>
      <c r="I409" s="123">
        <v>10045</v>
      </c>
      <c r="J409" s="123">
        <v>10657</v>
      </c>
      <c r="K409" s="123">
        <v>11278</v>
      </c>
      <c r="L409" s="123">
        <v>12081</v>
      </c>
      <c r="M409" s="123">
        <v>13005</v>
      </c>
      <c r="N409" s="123">
        <v>13833</v>
      </c>
      <c r="O409" s="123">
        <v>14340</v>
      </c>
      <c r="P409" s="123">
        <v>16158</v>
      </c>
      <c r="Q409" s="123">
        <v>15809</v>
      </c>
      <c r="R409" s="123">
        <v>15988</v>
      </c>
      <c r="S409" s="123">
        <v>16135</v>
      </c>
      <c r="T409" s="123">
        <v>16422</v>
      </c>
      <c r="U409" s="149">
        <f t="shared" si="137"/>
        <v>0.45610923922681329</v>
      </c>
      <c r="V409" s="149">
        <f t="shared" si="138"/>
        <v>1.6338655774229483E-2</v>
      </c>
      <c r="W409" s="149">
        <f t="shared" si="139"/>
        <v>1.7787418655097614E-2</v>
      </c>
      <c r="X409" s="218">
        <f t="shared" si="141"/>
        <v>2.2435008558965328E-2</v>
      </c>
      <c r="Y409" s="219">
        <f t="shared" si="140"/>
        <v>287</v>
      </c>
    </row>
    <row r="410" spans="1:25" x14ac:dyDescent="0.25">
      <c r="A410" s="151" t="s">
        <v>11</v>
      </c>
      <c r="B410" s="123">
        <v>8314</v>
      </c>
      <c r="C410" s="123">
        <v>9313</v>
      </c>
      <c r="D410" s="123">
        <v>10336</v>
      </c>
      <c r="E410" s="123">
        <v>11409</v>
      </c>
      <c r="F410" s="123">
        <v>12494</v>
      </c>
      <c r="G410" s="123">
        <v>13495</v>
      </c>
      <c r="H410" s="123">
        <v>14005</v>
      </c>
      <c r="I410" s="123">
        <v>14423</v>
      </c>
      <c r="J410" s="123">
        <v>14519</v>
      </c>
      <c r="K410" s="123">
        <v>14688</v>
      </c>
      <c r="L410" s="123">
        <v>14780</v>
      </c>
      <c r="M410" s="123">
        <v>14485</v>
      </c>
      <c r="N410" s="123">
        <v>14348</v>
      </c>
      <c r="O410" s="123">
        <v>14030</v>
      </c>
      <c r="P410" s="123">
        <v>14480</v>
      </c>
      <c r="Q410" s="123">
        <v>14202</v>
      </c>
      <c r="R410" s="123">
        <v>14368</v>
      </c>
      <c r="S410" s="123">
        <v>14434</v>
      </c>
      <c r="T410" s="123">
        <v>14811</v>
      </c>
      <c r="U410" s="149">
        <f t="shared" si="137"/>
        <v>8.3741830065359475E-3</v>
      </c>
      <c r="V410" s="149">
        <f t="shared" si="138"/>
        <v>2.2859116022099446E-2</v>
      </c>
      <c r="W410" s="149">
        <f t="shared" si="139"/>
        <v>2.6118885963696829E-2</v>
      </c>
      <c r="X410" s="218">
        <f t="shared" si="141"/>
        <v>2.0234131760250608E-2</v>
      </c>
      <c r="Y410" s="219">
        <f t="shared" si="140"/>
        <v>377</v>
      </c>
    </row>
    <row r="411" spans="1:25" x14ac:dyDescent="0.25">
      <c r="A411" s="151" t="s">
        <v>14</v>
      </c>
      <c r="B411" s="123">
        <v>4950</v>
      </c>
      <c r="C411" s="123">
        <v>6163</v>
      </c>
      <c r="D411" s="123">
        <v>7541</v>
      </c>
      <c r="E411" s="123">
        <v>9202</v>
      </c>
      <c r="F411" s="123">
        <v>11118</v>
      </c>
      <c r="G411" s="123">
        <v>12629</v>
      </c>
      <c r="H411" s="123">
        <v>13324</v>
      </c>
      <c r="I411" s="123">
        <v>13714</v>
      </c>
      <c r="J411" s="123">
        <v>14149</v>
      </c>
      <c r="K411" s="123">
        <v>14588</v>
      </c>
      <c r="L411" s="123">
        <v>14982</v>
      </c>
      <c r="M411" s="123">
        <v>15197</v>
      </c>
      <c r="N411" s="123">
        <v>14649</v>
      </c>
      <c r="O411" s="123">
        <v>14009</v>
      </c>
      <c r="P411" s="123">
        <v>14679</v>
      </c>
      <c r="Q411" s="123">
        <v>13876</v>
      </c>
      <c r="R411" s="123">
        <v>13540</v>
      </c>
      <c r="S411" s="123">
        <v>13469</v>
      </c>
      <c r="T411" s="123">
        <v>13528</v>
      </c>
      <c r="U411" s="149">
        <f t="shared" si="137"/>
        <v>-7.2662462297778993E-2</v>
      </c>
      <c r="V411" s="149">
        <f t="shared" si="138"/>
        <v>-7.8411335922065534E-2</v>
      </c>
      <c r="W411" s="149">
        <f t="shared" si="139"/>
        <v>4.3804291335659664E-3</v>
      </c>
      <c r="X411" s="218">
        <f t="shared" si="141"/>
        <v>1.8481354024216474E-2</v>
      </c>
      <c r="Y411" s="219">
        <f t="shared" si="140"/>
        <v>59</v>
      </c>
    </row>
    <row r="412" spans="1:25" x14ac:dyDescent="0.25">
      <c r="A412" s="151" t="s">
        <v>315</v>
      </c>
      <c r="B412" s="123">
        <v>2715</v>
      </c>
      <c r="C412" s="123">
        <v>2657</v>
      </c>
      <c r="D412" s="123">
        <v>2630</v>
      </c>
      <c r="E412" s="123">
        <v>3126</v>
      </c>
      <c r="F412" s="123">
        <v>3644</v>
      </c>
      <c r="G412" s="123">
        <v>4216</v>
      </c>
      <c r="H412" s="123">
        <v>4992</v>
      </c>
      <c r="I412" s="123">
        <v>5770</v>
      </c>
      <c r="J412" s="123">
        <v>6394</v>
      </c>
      <c r="K412" s="123">
        <v>7090</v>
      </c>
      <c r="L412" s="123">
        <v>7938</v>
      </c>
      <c r="M412" s="123">
        <v>8714</v>
      </c>
      <c r="N412" s="123">
        <v>9588</v>
      </c>
      <c r="O412" s="123">
        <v>10251</v>
      </c>
      <c r="P412" s="123">
        <v>11801</v>
      </c>
      <c r="Q412" s="123">
        <v>12425</v>
      </c>
      <c r="R412" s="123">
        <v>12660</v>
      </c>
      <c r="S412" s="123">
        <v>12793</v>
      </c>
      <c r="T412" s="123">
        <v>13119</v>
      </c>
      <c r="U412" s="149">
        <f t="shared" si="137"/>
        <v>0.85035260930888579</v>
      </c>
      <c r="V412" s="149">
        <f t="shared" si="138"/>
        <v>0.11168545038556055</v>
      </c>
      <c r="W412" s="149">
        <f t="shared" si="139"/>
        <v>2.5482685843820841E-2</v>
      </c>
      <c r="X412" s="218">
        <f t="shared" si="141"/>
        <v>1.7922596351544643E-2</v>
      </c>
      <c r="Y412" s="219">
        <f t="shared" si="140"/>
        <v>326</v>
      </c>
    </row>
    <row r="413" spans="1:25" x14ac:dyDescent="0.25">
      <c r="A413" s="151" t="s">
        <v>224</v>
      </c>
      <c r="B413" s="123">
        <v>1575</v>
      </c>
      <c r="C413" s="123">
        <v>1895</v>
      </c>
      <c r="D413" s="123">
        <v>2302</v>
      </c>
      <c r="E413" s="123">
        <v>3079</v>
      </c>
      <c r="F413" s="123">
        <v>4047</v>
      </c>
      <c r="G413" s="123">
        <v>5243</v>
      </c>
      <c r="H413" s="123">
        <v>6222</v>
      </c>
      <c r="I413" s="123">
        <v>7052</v>
      </c>
      <c r="J413" s="123">
        <v>7955</v>
      </c>
      <c r="K413" s="123">
        <v>8835</v>
      </c>
      <c r="L413" s="123">
        <v>9793</v>
      </c>
      <c r="M413" s="123">
        <v>10968</v>
      </c>
      <c r="N413" s="123">
        <v>11858</v>
      </c>
      <c r="O413" s="123">
        <v>12355</v>
      </c>
      <c r="P413" s="123">
        <v>13740</v>
      </c>
      <c r="Q413" s="123">
        <v>13011</v>
      </c>
      <c r="R413" s="123">
        <v>12999</v>
      </c>
      <c r="S413" s="123">
        <v>12891</v>
      </c>
      <c r="T413" s="123">
        <v>12812</v>
      </c>
      <c r="U413" s="149">
        <f t="shared" si="137"/>
        <v>0.45014148273910581</v>
      </c>
      <c r="V413" s="149">
        <f t="shared" si="138"/>
        <v>-6.7540029112081512E-2</v>
      </c>
      <c r="W413" s="149">
        <f t="shared" si="139"/>
        <v>-6.1283065704755254E-3</v>
      </c>
      <c r="X413" s="218">
        <f t="shared" si="141"/>
        <v>1.7503186558121043E-2</v>
      </c>
      <c r="Y413" s="219">
        <f t="shared" si="140"/>
        <v>-79</v>
      </c>
    </row>
    <row r="414" spans="1:25" x14ac:dyDescent="0.25">
      <c r="A414" s="151" t="s">
        <v>12</v>
      </c>
      <c r="B414" s="123">
        <v>11416</v>
      </c>
      <c r="C414" s="123">
        <v>11400</v>
      </c>
      <c r="D414" s="123">
        <v>11686</v>
      </c>
      <c r="E414" s="123">
        <v>12418</v>
      </c>
      <c r="F414" s="123">
        <v>13319</v>
      </c>
      <c r="G414" s="123">
        <v>13296</v>
      </c>
      <c r="H414" s="123">
        <v>13490</v>
      </c>
      <c r="I414" s="123">
        <v>13007</v>
      </c>
      <c r="J414" s="123">
        <v>13202</v>
      </c>
      <c r="K414" s="123">
        <v>13156</v>
      </c>
      <c r="L414" s="123">
        <v>13826</v>
      </c>
      <c r="M414" s="123">
        <v>14089</v>
      </c>
      <c r="N414" s="123">
        <v>14222</v>
      </c>
      <c r="O414" s="123">
        <v>14259</v>
      </c>
      <c r="P414" s="123">
        <v>15422</v>
      </c>
      <c r="Q414" s="123">
        <v>14811</v>
      </c>
      <c r="R414" s="123">
        <v>13844</v>
      </c>
      <c r="S414" s="123">
        <v>12899</v>
      </c>
      <c r="T414" s="123">
        <v>12704</v>
      </c>
      <c r="U414" s="149">
        <f t="shared" si="137"/>
        <v>-3.4356947400425664E-2</v>
      </c>
      <c r="V414" s="149">
        <f t="shared" si="138"/>
        <v>-0.17624173258980677</v>
      </c>
      <c r="W414" s="149">
        <f t="shared" si="139"/>
        <v>-1.51174509651911E-2</v>
      </c>
      <c r="X414" s="218">
        <f t="shared" si="141"/>
        <v>1.7355641744799387E-2</v>
      </c>
      <c r="Y414" s="219">
        <f t="shared" si="140"/>
        <v>-195</v>
      </c>
    </row>
    <row r="415" spans="1:25" x14ac:dyDescent="0.25">
      <c r="A415" s="151" t="s">
        <v>369</v>
      </c>
      <c r="B415" s="123">
        <v>11049</v>
      </c>
      <c r="C415" s="123">
        <v>10355</v>
      </c>
      <c r="D415" s="123">
        <v>9541</v>
      </c>
      <c r="E415" s="123">
        <v>9735</v>
      </c>
      <c r="F415" s="123">
        <v>9604</v>
      </c>
      <c r="G415" s="123">
        <v>9554</v>
      </c>
      <c r="H415" s="123">
        <v>8623</v>
      </c>
      <c r="I415" s="123">
        <v>7923</v>
      </c>
      <c r="J415" s="123">
        <v>8240</v>
      </c>
      <c r="K415" s="123">
        <v>9489</v>
      </c>
      <c r="L415" s="123">
        <v>10522</v>
      </c>
      <c r="M415" s="123">
        <v>11925</v>
      </c>
      <c r="N415" s="123">
        <v>10956</v>
      </c>
      <c r="O415" s="123">
        <v>9400</v>
      </c>
      <c r="P415" s="123">
        <v>8172</v>
      </c>
      <c r="Q415" s="123">
        <v>7996</v>
      </c>
      <c r="R415" s="123">
        <v>9434</v>
      </c>
      <c r="S415" s="123">
        <v>10495</v>
      </c>
      <c r="T415" s="123">
        <v>12101</v>
      </c>
      <c r="U415" s="149">
        <f t="shared" si="137"/>
        <v>0.2752660975866793</v>
      </c>
      <c r="V415" s="149">
        <f t="shared" si="138"/>
        <v>0.48078805677924619</v>
      </c>
      <c r="W415" s="149">
        <f t="shared" si="139"/>
        <v>0.15302525011910434</v>
      </c>
      <c r="X415" s="218">
        <f t="shared" si="141"/>
        <v>1.6531849870420133E-2</v>
      </c>
      <c r="Y415" s="219">
        <f t="shared" si="140"/>
        <v>1606</v>
      </c>
    </row>
    <row r="416" spans="1:25" x14ac:dyDescent="0.25">
      <c r="A416" s="151" t="s">
        <v>370</v>
      </c>
      <c r="B416" s="123">
        <v>3892</v>
      </c>
      <c r="C416" s="123">
        <v>4101</v>
      </c>
      <c r="D416" s="123">
        <v>4265</v>
      </c>
      <c r="E416" s="123">
        <v>4294</v>
      </c>
      <c r="F416" s="123">
        <v>4370</v>
      </c>
      <c r="G416" s="123">
        <v>4394</v>
      </c>
      <c r="H416" s="123">
        <v>4401</v>
      </c>
      <c r="I416" s="123">
        <v>4427</v>
      </c>
      <c r="J416" s="123">
        <v>4461</v>
      </c>
      <c r="K416" s="123">
        <v>4516</v>
      </c>
      <c r="L416" s="123">
        <v>4808</v>
      </c>
      <c r="M416" s="123">
        <v>5428</v>
      </c>
      <c r="N416" s="123">
        <v>6207</v>
      </c>
      <c r="O416" s="123">
        <v>6899</v>
      </c>
      <c r="P416" s="123">
        <v>8052</v>
      </c>
      <c r="Q416" s="123">
        <v>8546</v>
      </c>
      <c r="R416" s="123">
        <v>9403</v>
      </c>
      <c r="S416" s="123">
        <v>10351</v>
      </c>
      <c r="T416" s="123">
        <v>11842</v>
      </c>
      <c r="U416" s="149">
        <f t="shared" si="137"/>
        <v>1.6222320637732506</v>
      </c>
      <c r="V416" s="149">
        <f t="shared" si="138"/>
        <v>0.47069051167411824</v>
      </c>
      <c r="W416" s="149">
        <f t="shared" si="139"/>
        <v>0.14404405371461695</v>
      </c>
      <c r="X416" s="218">
        <f t="shared" si="141"/>
        <v>1.6178015549583938E-2</v>
      </c>
      <c r="Y416" s="219">
        <f t="shared" si="140"/>
        <v>1491</v>
      </c>
    </row>
    <row r="417" spans="1:25" x14ac:dyDescent="0.25">
      <c r="A417" s="151" t="s">
        <v>10</v>
      </c>
      <c r="B417" s="123">
        <v>11067</v>
      </c>
      <c r="C417" s="123">
        <v>10956</v>
      </c>
      <c r="D417" s="123">
        <v>11198</v>
      </c>
      <c r="E417" s="123">
        <v>12209</v>
      </c>
      <c r="F417" s="123">
        <v>13008</v>
      </c>
      <c r="G417" s="123">
        <v>12794</v>
      </c>
      <c r="H417" s="123">
        <v>13006</v>
      </c>
      <c r="I417" s="123">
        <v>12177</v>
      </c>
      <c r="J417" s="123">
        <v>12103</v>
      </c>
      <c r="K417" s="123">
        <v>12587</v>
      </c>
      <c r="L417" s="123">
        <v>13013</v>
      </c>
      <c r="M417" s="123">
        <v>13567</v>
      </c>
      <c r="N417" s="123">
        <v>13432</v>
      </c>
      <c r="O417" s="123">
        <v>12929</v>
      </c>
      <c r="P417" s="123">
        <v>12579</v>
      </c>
      <c r="Q417" s="123">
        <v>11823</v>
      </c>
      <c r="R417" s="123">
        <v>11376</v>
      </c>
      <c r="S417" s="123">
        <v>11399</v>
      </c>
      <c r="T417" s="123">
        <v>11634</v>
      </c>
      <c r="U417" s="149">
        <f t="shared" si="137"/>
        <v>-7.5713037260665764E-2</v>
      </c>
      <c r="V417" s="149">
        <f t="shared" si="138"/>
        <v>-7.512520868113523E-2</v>
      </c>
      <c r="W417" s="149">
        <f t="shared" si="139"/>
        <v>2.0615843495043425E-2</v>
      </c>
      <c r="X417" s="218">
        <f t="shared" si="141"/>
        <v>1.5893855168371857E-2</v>
      </c>
      <c r="Y417" s="219">
        <f t="shared" si="140"/>
        <v>235</v>
      </c>
    </row>
    <row r="418" spans="1:25" x14ac:dyDescent="0.25">
      <c r="A418" s="3"/>
      <c r="B418" s="3"/>
      <c r="C418" s="3"/>
      <c r="D418" s="3"/>
      <c r="E418" s="3"/>
      <c r="F418" s="3"/>
      <c r="G418" s="3"/>
      <c r="H418" s="3"/>
      <c r="I418" s="3"/>
      <c r="J418" s="3"/>
      <c r="K418" s="3"/>
      <c r="L418" s="3"/>
      <c r="N418" s="3"/>
      <c r="O418" s="3"/>
      <c r="P418" s="3"/>
      <c r="Q418" s="3"/>
      <c r="R418" s="3"/>
      <c r="S418" s="3"/>
      <c r="T418" s="3"/>
      <c r="U418" s="27"/>
      <c r="V418" s="27"/>
      <c r="W418" s="27"/>
      <c r="X418" s="27"/>
      <c r="Y418" s="27"/>
    </row>
    <row r="419" spans="1:25" ht="15.75" x14ac:dyDescent="0.25">
      <c r="A419" s="22" t="s">
        <v>619</v>
      </c>
      <c r="B419" s="22"/>
      <c r="C419" s="22"/>
      <c r="D419" s="22"/>
      <c r="E419" s="22"/>
      <c r="F419" s="22"/>
      <c r="G419" s="22"/>
      <c r="H419" s="22"/>
      <c r="I419" s="3"/>
      <c r="J419" s="3"/>
      <c r="K419" s="3"/>
      <c r="L419" s="3"/>
      <c r="N419" s="3"/>
      <c r="O419" s="3"/>
      <c r="P419" s="3"/>
      <c r="Q419" s="3"/>
      <c r="R419" s="3"/>
      <c r="S419" s="3"/>
      <c r="T419" s="3"/>
      <c r="U419" s="27"/>
      <c r="V419" s="27"/>
      <c r="W419" s="27"/>
      <c r="X419" s="27"/>
      <c r="Y419" s="27"/>
    </row>
    <row r="420" spans="1:25" ht="44.1" customHeight="1" x14ac:dyDescent="0.25">
      <c r="A420" s="120" t="s">
        <v>4</v>
      </c>
      <c r="B420" s="105">
        <v>2007</v>
      </c>
      <c r="C420" s="105">
        <v>2008</v>
      </c>
      <c r="D420" s="105">
        <v>2009</v>
      </c>
      <c r="E420" s="105">
        <v>2010</v>
      </c>
      <c r="F420" s="105">
        <v>2011</v>
      </c>
      <c r="G420" s="105">
        <v>2012</v>
      </c>
      <c r="H420" s="105">
        <v>2013</v>
      </c>
      <c r="I420" s="105">
        <v>2014</v>
      </c>
      <c r="J420" s="105">
        <v>2015</v>
      </c>
      <c r="K420" s="105">
        <v>2016</v>
      </c>
      <c r="L420" s="105">
        <v>2017</v>
      </c>
      <c r="M420" s="132">
        <v>2018</v>
      </c>
      <c r="N420" s="105">
        <v>2019</v>
      </c>
      <c r="O420" s="105">
        <v>2020</v>
      </c>
      <c r="P420" s="105">
        <v>2021</v>
      </c>
      <c r="Q420" s="105">
        <v>2022</v>
      </c>
      <c r="R420" s="105">
        <v>2023</v>
      </c>
      <c r="S420" s="105">
        <v>2024</v>
      </c>
      <c r="T420" s="105">
        <v>2025</v>
      </c>
      <c r="U420" s="106" t="s">
        <v>546</v>
      </c>
      <c r="V420" s="106" t="s">
        <v>547</v>
      </c>
      <c r="W420" s="106" t="s">
        <v>548</v>
      </c>
      <c r="X420" s="106" t="s">
        <v>549</v>
      </c>
      <c r="Y420" s="216" t="s">
        <v>563</v>
      </c>
    </row>
    <row r="421" spans="1:25" x14ac:dyDescent="0.25">
      <c r="A421" s="151" t="s">
        <v>8</v>
      </c>
      <c r="B421" s="123">
        <v>4872</v>
      </c>
      <c r="C421" s="123">
        <v>5036</v>
      </c>
      <c r="D421" s="123">
        <v>5333</v>
      </c>
      <c r="E421" s="123">
        <v>5907</v>
      </c>
      <c r="F421" s="123">
        <v>6502</v>
      </c>
      <c r="G421" s="123">
        <v>6719</v>
      </c>
      <c r="H421" s="123">
        <v>6226</v>
      </c>
      <c r="I421" s="123">
        <v>6610</v>
      </c>
      <c r="J421" s="123">
        <v>7390</v>
      </c>
      <c r="K421" s="123">
        <v>7691</v>
      </c>
      <c r="L421" s="123">
        <v>8067</v>
      </c>
      <c r="M421" s="123">
        <v>7834</v>
      </c>
      <c r="N421" s="123">
        <v>8260</v>
      </c>
      <c r="O421" s="123">
        <v>8373</v>
      </c>
      <c r="P421" s="123">
        <v>9349</v>
      </c>
      <c r="Q421" s="123">
        <v>9817</v>
      </c>
      <c r="R421" s="123">
        <v>11255</v>
      </c>
      <c r="S421" s="123">
        <v>11568</v>
      </c>
      <c r="T421" s="123">
        <v>11559</v>
      </c>
      <c r="U421" s="149">
        <f t="shared" ref="U421:U440" si="142">(T421-K421)/K421</f>
        <v>0.50292549733454683</v>
      </c>
      <c r="V421" s="149">
        <f t="shared" ref="V421:V440" si="143">(T421-P421)/P421</f>
        <v>0.23638891860091987</v>
      </c>
      <c r="W421" s="149">
        <f t="shared" ref="W421:W440" si="144">(T421-S421)/S421</f>
        <v>-7.7800829875518667E-4</v>
      </c>
      <c r="X421" s="218">
        <f>T421/T$15</f>
        <v>7.2642375032993547E-2</v>
      </c>
      <c r="Y421" s="219">
        <f t="shared" ref="Y421:Y440" si="145">T421-S421</f>
        <v>-9</v>
      </c>
    </row>
    <row r="422" spans="1:25" x14ac:dyDescent="0.25">
      <c r="A422" s="151" t="s">
        <v>7</v>
      </c>
      <c r="B422" s="123">
        <v>8201</v>
      </c>
      <c r="C422" s="123">
        <v>9053</v>
      </c>
      <c r="D422" s="123">
        <v>8962</v>
      </c>
      <c r="E422" s="123">
        <v>8245</v>
      </c>
      <c r="F422" s="123">
        <v>8310</v>
      </c>
      <c r="G422" s="123">
        <v>8115</v>
      </c>
      <c r="H422" s="123">
        <v>7484</v>
      </c>
      <c r="I422" s="123">
        <v>7802</v>
      </c>
      <c r="J422" s="123">
        <v>7763</v>
      </c>
      <c r="K422" s="123">
        <v>8172</v>
      </c>
      <c r="L422" s="123">
        <v>8690</v>
      </c>
      <c r="M422" s="123">
        <v>9012</v>
      </c>
      <c r="N422" s="123">
        <v>9142</v>
      </c>
      <c r="O422" s="123">
        <v>9005</v>
      </c>
      <c r="P422" s="123">
        <v>9322</v>
      </c>
      <c r="Q422" s="123">
        <v>9026</v>
      </c>
      <c r="R422" s="123">
        <v>10066</v>
      </c>
      <c r="S422" s="123">
        <v>10176</v>
      </c>
      <c r="T422" s="123">
        <v>10202</v>
      </c>
      <c r="U422" s="149">
        <f t="shared" si="142"/>
        <v>0.24840920215369555</v>
      </c>
      <c r="V422" s="149">
        <f t="shared" si="143"/>
        <v>9.4400343273975548E-2</v>
      </c>
      <c r="W422" s="149">
        <f t="shared" si="144"/>
        <v>2.5550314465408804E-3</v>
      </c>
      <c r="X422" s="218">
        <f t="shared" ref="X422:X440" si="146">T422/T$15</f>
        <v>6.4114327371450841E-2</v>
      </c>
      <c r="Y422" s="219">
        <f t="shared" si="145"/>
        <v>26</v>
      </c>
    </row>
    <row r="423" spans="1:25" x14ac:dyDescent="0.25">
      <c r="A423" s="151" t="s">
        <v>5</v>
      </c>
      <c r="B423" s="123">
        <v>6765</v>
      </c>
      <c r="C423" s="123">
        <v>7486</v>
      </c>
      <c r="D423" s="123">
        <v>7877</v>
      </c>
      <c r="E423" s="123">
        <v>8159</v>
      </c>
      <c r="F423" s="123">
        <v>9006</v>
      </c>
      <c r="G423" s="123">
        <v>10010</v>
      </c>
      <c r="H423" s="123">
        <v>9576</v>
      </c>
      <c r="I423" s="123">
        <v>9853</v>
      </c>
      <c r="J423" s="123">
        <v>9853</v>
      </c>
      <c r="K423" s="123">
        <v>10422</v>
      </c>
      <c r="L423" s="123">
        <v>10635</v>
      </c>
      <c r="M423" s="123">
        <v>9746</v>
      </c>
      <c r="N423" s="123">
        <v>9731</v>
      </c>
      <c r="O423" s="123">
        <v>8752</v>
      </c>
      <c r="P423" s="123">
        <v>8752</v>
      </c>
      <c r="Q423" s="123">
        <v>8770</v>
      </c>
      <c r="R423" s="123">
        <v>9250</v>
      </c>
      <c r="S423" s="123">
        <v>9418</v>
      </c>
      <c r="T423" s="123">
        <v>10003</v>
      </c>
      <c r="U423" s="149">
        <f t="shared" si="142"/>
        <v>-4.0203415851084244E-2</v>
      </c>
      <c r="V423" s="149">
        <f t="shared" si="143"/>
        <v>0.14293875685557586</v>
      </c>
      <c r="W423" s="149">
        <f t="shared" si="144"/>
        <v>6.2115098747080058E-2</v>
      </c>
      <c r="X423" s="218">
        <f t="shared" si="146"/>
        <v>6.286371463405438E-2</v>
      </c>
      <c r="Y423" s="219">
        <f t="shared" si="145"/>
        <v>585</v>
      </c>
    </row>
    <row r="424" spans="1:25" x14ac:dyDescent="0.25">
      <c r="A424" s="151" t="s">
        <v>6</v>
      </c>
      <c r="B424" s="123">
        <v>4177</v>
      </c>
      <c r="C424" s="123">
        <v>5971</v>
      </c>
      <c r="D424" s="123">
        <v>7665</v>
      </c>
      <c r="E424" s="123">
        <v>8804</v>
      </c>
      <c r="F424" s="123">
        <v>9365</v>
      </c>
      <c r="G424" s="123">
        <v>9560</v>
      </c>
      <c r="H424" s="123">
        <v>8198</v>
      </c>
      <c r="I424" s="123">
        <v>7720</v>
      </c>
      <c r="J424" s="123">
        <v>7478</v>
      </c>
      <c r="K424" s="123">
        <v>7498</v>
      </c>
      <c r="L424" s="123">
        <v>7308</v>
      </c>
      <c r="M424" s="123">
        <v>6575</v>
      </c>
      <c r="N424" s="123">
        <v>6376</v>
      </c>
      <c r="O424" s="123">
        <v>6145</v>
      </c>
      <c r="P424" s="123">
        <v>7360</v>
      </c>
      <c r="Q424" s="123">
        <v>6958</v>
      </c>
      <c r="R424" s="123">
        <v>7482</v>
      </c>
      <c r="S424" s="123">
        <v>7466</v>
      </c>
      <c r="T424" s="123">
        <v>7588</v>
      </c>
      <c r="U424" s="149">
        <f t="shared" si="142"/>
        <v>1.200320085356095E-2</v>
      </c>
      <c r="V424" s="149">
        <f t="shared" si="143"/>
        <v>3.0978260869565219E-2</v>
      </c>
      <c r="W424" s="149">
        <f t="shared" si="144"/>
        <v>1.6340744709349049E-2</v>
      </c>
      <c r="X424" s="218">
        <f t="shared" si="146"/>
        <v>4.7686680660122424E-2</v>
      </c>
      <c r="Y424" s="219">
        <f t="shared" si="145"/>
        <v>122</v>
      </c>
    </row>
    <row r="425" spans="1:25" x14ac:dyDescent="0.25">
      <c r="A425" s="151" t="s">
        <v>43</v>
      </c>
      <c r="B425" s="123">
        <v>3725</v>
      </c>
      <c r="C425" s="123">
        <v>4338</v>
      </c>
      <c r="D425" s="123">
        <v>4932</v>
      </c>
      <c r="E425" s="123">
        <v>5494</v>
      </c>
      <c r="F425" s="123">
        <v>5901</v>
      </c>
      <c r="G425" s="123">
        <v>6246</v>
      </c>
      <c r="H425" s="123">
        <v>5272</v>
      </c>
      <c r="I425" s="123">
        <v>5041</v>
      </c>
      <c r="J425" s="123">
        <v>5030</v>
      </c>
      <c r="K425" s="123">
        <v>5078</v>
      </c>
      <c r="L425" s="123">
        <v>4975</v>
      </c>
      <c r="M425" s="123">
        <v>4556</v>
      </c>
      <c r="N425" s="123">
        <v>4972</v>
      </c>
      <c r="O425" s="123">
        <v>4709</v>
      </c>
      <c r="P425" s="123">
        <v>4734</v>
      </c>
      <c r="Q425" s="123">
        <v>4008</v>
      </c>
      <c r="R425" s="123">
        <v>4338</v>
      </c>
      <c r="S425" s="123">
        <v>4790</v>
      </c>
      <c r="T425" s="123">
        <v>5634</v>
      </c>
      <c r="U425" s="149">
        <f t="shared" si="142"/>
        <v>0.10949192595510043</v>
      </c>
      <c r="V425" s="149">
        <f t="shared" si="143"/>
        <v>0.19011406844106463</v>
      </c>
      <c r="W425" s="149">
        <f t="shared" si="144"/>
        <v>0.17620041753653445</v>
      </c>
      <c r="X425" s="218">
        <f t="shared" si="146"/>
        <v>3.5406794786390319E-2</v>
      </c>
      <c r="Y425" s="219">
        <f t="shared" si="145"/>
        <v>844</v>
      </c>
    </row>
    <row r="426" spans="1:25" x14ac:dyDescent="0.25">
      <c r="A426" s="151" t="s">
        <v>9</v>
      </c>
      <c r="B426" s="123">
        <v>4439</v>
      </c>
      <c r="C426" s="123">
        <v>4959</v>
      </c>
      <c r="D426" s="123">
        <v>5974</v>
      </c>
      <c r="E426" s="123">
        <v>5976</v>
      </c>
      <c r="F426" s="123">
        <v>5997</v>
      </c>
      <c r="G426" s="123">
        <v>5776</v>
      </c>
      <c r="H426" s="123">
        <v>4753</v>
      </c>
      <c r="I426" s="123">
        <v>4091</v>
      </c>
      <c r="J426" s="123">
        <v>3920</v>
      </c>
      <c r="K426" s="123">
        <v>4172</v>
      </c>
      <c r="L426" s="123">
        <v>4388</v>
      </c>
      <c r="M426" s="123">
        <v>4261</v>
      </c>
      <c r="N426" s="123">
        <v>3900</v>
      </c>
      <c r="O426" s="123">
        <v>3842</v>
      </c>
      <c r="P426" s="123">
        <v>4010</v>
      </c>
      <c r="Q426" s="123">
        <v>4494</v>
      </c>
      <c r="R426" s="123">
        <v>5158</v>
      </c>
      <c r="S426" s="123">
        <v>5438</v>
      </c>
      <c r="T426" s="123">
        <v>5625</v>
      </c>
      <c r="U426" s="149">
        <f t="shared" si="142"/>
        <v>0.34827420901246403</v>
      </c>
      <c r="V426" s="149">
        <f t="shared" si="143"/>
        <v>0.40274314214463841</v>
      </c>
      <c r="W426" s="149">
        <f t="shared" si="144"/>
        <v>3.4387642515630749E-2</v>
      </c>
      <c r="X426" s="218">
        <f t="shared" si="146"/>
        <v>3.5350234411332185E-2</v>
      </c>
      <c r="Y426" s="219">
        <f t="shared" si="145"/>
        <v>187</v>
      </c>
    </row>
    <row r="427" spans="1:25" x14ac:dyDescent="0.25">
      <c r="A427" s="151" t="s">
        <v>280</v>
      </c>
      <c r="B427" s="123">
        <v>3037</v>
      </c>
      <c r="C427" s="123">
        <v>2941</v>
      </c>
      <c r="D427" s="123">
        <v>3104</v>
      </c>
      <c r="E427" s="123">
        <v>3501</v>
      </c>
      <c r="F427" s="123">
        <v>3368</v>
      </c>
      <c r="G427" s="123">
        <v>3456</v>
      </c>
      <c r="H427" s="123">
        <v>4137</v>
      </c>
      <c r="I427" s="123">
        <v>4096</v>
      </c>
      <c r="J427" s="123">
        <v>4203</v>
      </c>
      <c r="K427" s="123">
        <v>4174</v>
      </c>
      <c r="L427" s="123">
        <v>4383</v>
      </c>
      <c r="M427" s="123">
        <v>4416</v>
      </c>
      <c r="N427" s="123">
        <v>4427</v>
      </c>
      <c r="O427" s="123">
        <v>4451</v>
      </c>
      <c r="P427" s="123">
        <v>4266</v>
      </c>
      <c r="Q427" s="123">
        <v>4522</v>
      </c>
      <c r="R427" s="123">
        <v>4578</v>
      </c>
      <c r="S427" s="123">
        <v>4785</v>
      </c>
      <c r="T427" s="123">
        <v>5216</v>
      </c>
      <c r="U427" s="149">
        <f t="shared" si="142"/>
        <v>0.24964063248682319</v>
      </c>
      <c r="V427" s="149">
        <f t="shared" si="143"/>
        <v>0.22269104547585561</v>
      </c>
      <c r="W427" s="149">
        <f t="shared" si="144"/>
        <v>9.0073145245559039E-2</v>
      </c>
      <c r="X427" s="218">
        <f t="shared" si="146"/>
        <v>3.277987958924599E-2</v>
      </c>
      <c r="Y427" s="219">
        <f t="shared" si="145"/>
        <v>431</v>
      </c>
    </row>
    <row r="428" spans="1:25" x14ac:dyDescent="0.25">
      <c r="A428" s="151" t="s">
        <v>294</v>
      </c>
      <c r="B428" s="123">
        <v>1811</v>
      </c>
      <c r="C428" s="123">
        <v>1928</v>
      </c>
      <c r="D428" s="123">
        <v>1857</v>
      </c>
      <c r="E428" s="123">
        <v>1710</v>
      </c>
      <c r="F428" s="123">
        <v>1672</v>
      </c>
      <c r="G428" s="123">
        <v>1642</v>
      </c>
      <c r="H428" s="123">
        <v>1514</v>
      </c>
      <c r="I428" s="123">
        <v>1484</v>
      </c>
      <c r="J428" s="123">
        <v>1643</v>
      </c>
      <c r="K428" s="123">
        <v>1849</v>
      </c>
      <c r="L428" s="123">
        <v>2054</v>
      </c>
      <c r="M428" s="123">
        <v>2215</v>
      </c>
      <c r="N428" s="123">
        <v>2466</v>
      </c>
      <c r="O428" s="123">
        <v>2910</v>
      </c>
      <c r="P428" s="123">
        <v>3256</v>
      </c>
      <c r="Q428" s="123">
        <v>3477</v>
      </c>
      <c r="R428" s="123">
        <v>4176</v>
      </c>
      <c r="S428" s="123">
        <v>4319</v>
      </c>
      <c r="T428" s="123">
        <v>4441</v>
      </c>
      <c r="U428" s="149">
        <f t="shared" si="142"/>
        <v>1.4018388318009736</v>
      </c>
      <c r="V428" s="149">
        <f t="shared" si="143"/>
        <v>0.36394348894348894</v>
      </c>
      <c r="W428" s="149">
        <f t="shared" si="144"/>
        <v>2.8247279462838622E-2</v>
      </c>
      <c r="X428" s="218">
        <f t="shared" si="146"/>
        <v>2.7909402848129108E-2</v>
      </c>
      <c r="Y428" s="219">
        <f t="shared" si="145"/>
        <v>122</v>
      </c>
    </row>
    <row r="429" spans="1:25" x14ac:dyDescent="0.25">
      <c r="A429" s="151" t="s">
        <v>314</v>
      </c>
      <c r="B429" s="123">
        <v>1787</v>
      </c>
      <c r="C429" s="123">
        <v>1647</v>
      </c>
      <c r="D429" s="123">
        <v>1767</v>
      </c>
      <c r="E429" s="123">
        <v>1929</v>
      </c>
      <c r="F429" s="123">
        <v>2081</v>
      </c>
      <c r="G429" s="123">
        <v>1950</v>
      </c>
      <c r="H429" s="123">
        <v>1944</v>
      </c>
      <c r="I429" s="123">
        <v>1955</v>
      </c>
      <c r="J429" s="123">
        <v>2024</v>
      </c>
      <c r="K429" s="123">
        <v>2166</v>
      </c>
      <c r="L429" s="123">
        <v>2143</v>
      </c>
      <c r="M429" s="123">
        <v>2167</v>
      </c>
      <c r="N429" s="123">
        <v>2422</v>
      </c>
      <c r="O429" s="123">
        <v>2500</v>
      </c>
      <c r="P429" s="123">
        <v>2792</v>
      </c>
      <c r="Q429" s="123">
        <v>3094</v>
      </c>
      <c r="R429" s="123">
        <v>3528</v>
      </c>
      <c r="S429" s="123">
        <v>3962</v>
      </c>
      <c r="T429" s="123">
        <v>4223</v>
      </c>
      <c r="U429" s="149">
        <f t="shared" si="142"/>
        <v>0.94967682363804251</v>
      </c>
      <c r="V429" s="149">
        <f t="shared" si="143"/>
        <v>0.51253581661891112</v>
      </c>
      <c r="W429" s="149">
        <f t="shared" si="144"/>
        <v>6.5875820292781426E-2</v>
      </c>
      <c r="X429" s="218">
        <f t="shared" si="146"/>
        <v>2.6539384874498813E-2</v>
      </c>
      <c r="Y429" s="219">
        <f t="shared" si="145"/>
        <v>261</v>
      </c>
    </row>
    <row r="430" spans="1:25" x14ac:dyDescent="0.25">
      <c r="A430" s="151" t="s">
        <v>15</v>
      </c>
      <c r="B430" s="123">
        <v>2364</v>
      </c>
      <c r="C430" s="123">
        <v>2428</v>
      </c>
      <c r="D430" s="123">
        <v>2413</v>
      </c>
      <c r="E430" s="123">
        <v>2443</v>
      </c>
      <c r="F430" s="123">
        <v>2399</v>
      </c>
      <c r="G430" s="123">
        <v>2450</v>
      </c>
      <c r="H430" s="123">
        <v>2309</v>
      </c>
      <c r="I430" s="123">
        <v>2311</v>
      </c>
      <c r="J430" s="123">
        <v>2433</v>
      </c>
      <c r="K430" s="123">
        <v>2558</v>
      </c>
      <c r="L430" s="123">
        <v>2731</v>
      </c>
      <c r="M430" s="123">
        <v>2722</v>
      </c>
      <c r="N430" s="123">
        <v>2739</v>
      </c>
      <c r="O430" s="123">
        <v>2792</v>
      </c>
      <c r="P430" s="123">
        <v>3033</v>
      </c>
      <c r="Q430" s="123">
        <v>3187</v>
      </c>
      <c r="R430" s="123">
        <v>3593</v>
      </c>
      <c r="S430" s="123">
        <v>3463</v>
      </c>
      <c r="T430" s="123">
        <v>3472</v>
      </c>
      <c r="U430" s="149">
        <f t="shared" si="142"/>
        <v>0.35731039874902265</v>
      </c>
      <c r="V430" s="149">
        <f t="shared" si="143"/>
        <v>0.14474118034948896</v>
      </c>
      <c r="W430" s="149">
        <f t="shared" si="144"/>
        <v>2.5989026855327752E-3</v>
      </c>
      <c r="X430" s="218">
        <f t="shared" si="146"/>
        <v>2.1819735800203618E-2</v>
      </c>
      <c r="Y430" s="219">
        <f t="shared" si="145"/>
        <v>9</v>
      </c>
    </row>
    <row r="431" spans="1:25" x14ac:dyDescent="0.25">
      <c r="A431" s="151" t="s">
        <v>120</v>
      </c>
      <c r="B431" s="123">
        <v>1439</v>
      </c>
      <c r="C431" s="123">
        <v>1601</v>
      </c>
      <c r="D431" s="123">
        <v>1636</v>
      </c>
      <c r="E431" s="123">
        <v>1793</v>
      </c>
      <c r="F431" s="123">
        <v>2020</v>
      </c>
      <c r="G431" s="123">
        <v>2336</v>
      </c>
      <c r="H431" s="123">
        <v>2330</v>
      </c>
      <c r="I431" s="123">
        <v>2288</v>
      </c>
      <c r="J431" s="123">
        <v>2434</v>
      </c>
      <c r="K431" s="123">
        <v>2555</v>
      </c>
      <c r="L431" s="123">
        <v>2642</v>
      </c>
      <c r="M431" s="123">
        <v>2748</v>
      </c>
      <c r="N431" s="123">
        <v>2826</v>
      </c>
      <c r="O431" s="123">
        <v>2786</v>
      </c>
      <c r="P431" s="123">
        <v>2937</v>
      </c>
      <c r="Q431" s="123">
        <v>2889</v>
      </c>
      <c r="R431" s="123">
        <v>3240</v>
      </c>
      <c r="S431" s="123">
        <v>3446</v>
      </c>
      <c r="T431" s="123">
        <v>3383</v>
      </c>
      <c r="U431" s="149">
        <f t="shared" si="142"/>
        <v>0.32407045009784735</v>
      </c>
      <c r="V431" s="149">
        <f t="shared" si="143"/>
        <v>0.1518556350017024</v>
      </c>
      <c r="W431" s="149">
        <f t="shared" si="144"/>
        <v>-1.828206616366802E-2</v>
      </c>
      <c r="X431" s="218">
        <f t="shared" si="146"/>
        <v>2.1260416535739873E-2</v>
      </c>
      <c r="Y431" s="219">
        <f t="shared" si="145"/>
        <v>-63</v>
      </c>
    </row>
    <row r="432" spans="1:25" x14ac:dyDescent="0.25">
      <c r="A432" s="151" t="s">
        <v>13</v>
      </c>
      <c r="B432" s="123">
        <v>1802</v>
      </c>
      <c r="C432" s="123">
        <v>1929</v>
      </c>
      <c r="D432" s="123">
        <v>1983</v>
      </c>
      <c r="E432" s="123">
        <v>1936</v>
      </c>
      <c r="F432" s="123">
        <v>2061</v>
      </c>
      <c r="G432" s="123">
        <v>1987</v>
      </c>
      <c r="H432" s="123">
        <v>2097</v>
      </c>
      <c r="I432" s="123">
        <v>2129</v>
      </c>
      <c r="J432" s="123">
        <v>2119</v>
      </c>
      <c r="K432" s="123">
        <v>2214</v>
      </c>
      <c r="L432" s="123">
        <v>2326</v>
      </c>
      <c r="M432" s="123">
        <v>2450</v>
      </c>
      <c r="N432" s="123">
        <v>2514</v>
      </c>
      <c r="O432" s="123">
        <v>2433</v>
      </c>
      <c r="P432" s="123">
        <v>2798</v>
      </c>
      <c r="Q432" s="123">
        <v>2838</v>
      </c>
      <c r="R432" s="123">
        <v>3058</v>
      </c>
      <c r="S432" s="123">
        <v>3166</v>
      </c>
      <c r="T432" s="123">
        <v>3209</v>
      </c>
      <c r="U432" s="149">
        <f t="shared" si="142"/>
        <v>0.44941282746160793</v>
      </c>
      <c r="V432" s="149">
        <f t="shared" si="143"/>
        <v>0.14689063616869191</v>
      </c>
      <c r="W432" s="149">
        <f t="shared" si="144"/>
        <v>1.3581806696146557E-2</v>
      </c>
      <c r="X432" s="218">
        <f t="shared" si="146"/>
        <v>2.0166915951282664E-2</v>
      </c>
      <c r="Y432" s="219">
        <f t="shared" si="145"/>
        <v>43</v>
      </c>
    </row>
    <row r="433" spans="1:25" x14ac:dyDescent="0.25">
      <c r="A433" s="151" t="s">
        <v>370</v>
      </c>
      <c r="B433" s="123">
        <v>687</v>
      </c>
      <c r="C433" s="123">
        <v>729</v>
      </c>
      <c r="D433" s="123">
        <v>733</v>
      </c>
      <c r="E433" s="123">
        <v>756</v>
      </c>
      <c r="F433" s="123">
        <v>734</v>
      </c>
      <c r="G433" s="123">
        <v>735</v>
      </c>
      <c r="H433" s="123">
        <v>792</v>
      </c>
      <c r="I433" s="123">
        <v>868</v>
      </c>
      <c r="J433" s="123">
        <v>884</v>
      </c>
      <c r="K433" s="123">
        <v>958</v>
      </c>
      <c r="L433" s="123">
        <v>997</v>
      </c>
      <c r="M433" s="123">
        <v>1338</v>
      </c>
      <c r="N433" s="123">
        <v>1539</v>
      </c>
      <c r="O433" s="123">
        <v>1597</v>
      </c>
      <c r="P433" s="123">
        <v>1614</v>
      </c>
      <c r="Q433" s="123">
        <v>1539</v>
      </c>
      <c r="R433" s="123">
        <v>2039</v>
      </c>
      <c r="S433" s="123">
        <v>2435</v>
      </c>
      <c r="T433" s="123">
        <v>2946</v>
      </c>
      <c r="U433" s="149">
        <f t="shared" si="142"/>
        <v>2.0751565762004174</v>
      </c>
      <c r="V433" s="149">
        <f t="shared" si="143"/>
        <v>0.82527881040892193</v>
      </c>
      <c r="W433" s="149">
        <f t="shared" si="144"/>
        <v>0.20985626283367556</v>
      </c>
      <c r="X433" s="218">
        <f t="shared" si="146"/>
        <v>1.851409610236171E-2</v>
      </c>
      <c r="Y433" s="219">
        <f t="shared" si="145"/>
        <v>511</v>
      </c>
    </row>
    <row r="434" spans="1:25" x14ac:dyDescent="0.25">
      <c r="A434" s="151" t="s">
        <v>14</v>
      </c>
      <c r="B434" s="123">
        <v>1587</v>
      </c>
      <c r="C434" s="123">
        <v>2011</v>
      </c>
      <c r="D434" s="123">
        <v>2512</v>
      </c>
      <c r="E434" s="123">
        <v>3022</v>
      </c>
      <c r="F434" s="123">
        <v>3320</v>
      </c>
      <c r="G434" s="123">
        <v>3613</v>
      </c>
      <c r="H434" s="123">
        <v>3118</v>
      </c>
      <c r="I434" s="123">
        <v>3042</v>
      </c>
      <c r="J434" s="123">
        <v>3059</v>
      </c>
      <c r="K434" s="123">
        <v>3170</v>
      </c>
      <c r="L434" s="123">
        <v>3546</v>
      </c>
      <c r="M434" s="123">
        <v>3311</v>
      </c>
      <c r="N434" s="123">
        <v>2824</v>
      </c>
      <c r="O434" s="123">
        <v>2591</v>
      </c>
      <c r="P434" s="123">
        <v>2603</v>
      </c>
      <c r="Q434" s="123">
        <v>2761</v>
      </c>
      <c r="R434" s="123">
        <v>3123</v>
      </c>
      <c r="S434" s="123">
        <v>3204</v>
      </c>
      <c r="T434" s="123">
        <v>2894</v>
      </c>
      <c r="U434" s="149">
        <f t="shared" si="142"/>
        <v>-8.7066246056782329E-2</v>
      </c>
      <c r="V434" s="149">
        <f t="shared" si="143"/>
        <v>0.11179408374951978</v>
      </c>
      <c r="W434" s="149">
        <f t="shared" si="144"/>
        <v>-9.6754057428214732E-2</v>
      </c>
      <c r="X434" s="218">
        <f t="shared" si="146"/>
        <v>1.8187302824248061E-2</v>
      </c>
      <c r="Y434" s="219">
        <f t="shared" si="145"/>
        <v>-310</v>
      </c>
    </row>
    <row r="435" spans="1:25" x14ac:dyDescent="0.25">
      <c r="A435" s="151" t="s">
        <v>224</v>
      </c>
      <c r="B435" s="123">
        <v>436</v>
      </c>
      <c r="C435" s="123">
        <v>555</v>
      </c>
      <c r="D435" s="123">
        <v>722</v>
      </c>
      <c r="E435" s="123">
        <v>1196</v>
      </c>
      <c r="F435" s="123">
        <v>1425</v>
      </c>
      <c r="G435" s="123">
        <v>1753</v>
      </c>
      <c r="H435" s="123">
        <v>1856</v>
      </c>
      <c r="I435" s="123">
        <v>1790</v>
      </c>
      <c r="J435" s="123">
        <v>2022</v>
      </c>
      <c r="K435" s="123">
        <v>2167</v>
      </c>
      <c r="L435" s="123">
        <v>2438</v>
      </c>
      <c r="M435" s="123">
        <v>2675</v>
      </c>
      <c r="N435" s="123">
        <v>2673</v>
      </c>
      <c r="O435" s="123">
        <v>2539</v>
      </c>
      <c r="P435" s="123">
        <v>2323</v>
      </c>
      <c r="Q435" s="123">
        <v>2328</v>
      </c>
      <c r="R435" s="123">
        <v>2772</v>
      </c>
      <c r="S435" s="123">
        <v>2837</v>
      </c>
      <c r="T435" s="123">
        <v>2773</v>
      </c>
      <c r="U435" s="149">
        <f t="shared" si="142"/>
        <v>0.27964928472542688</v>
      </c>
      <c r="V435" s="149">
        <f t="shared" si="143"/>
        <v>0.19371502367628068</v>
      </c>
      <c r="W435" s="149">
        <f t="shared" si="144"/>
        <v>-2.2559041240747268E-2</v>
      </c>
      <c r="X435" s="218">
        <f t="shared" si="146"/>
        <v>1.742688000402207E-2</v>
      </c>
      <c r="Y435" s="219">
        <f t="shared" si="145"/>
        <v>-64</v>
      </c>
    </row>
    <row r="436" spans="1:25" x14ac:dyDescent="0.25">
      <c r="A436" s="151" t="s">
        <v>315</v>
      </c>
      <c r="B436" s="123">
        <v>614</v>
      </c>
      <c r="C436" s="123">
        <v>601</v>
      </c>
      <c r="D436" s="123">
        <v>596</v>
      </c>
      <c r="E436" s="123">
        <v>857</v>
      </c>
      <c r="F436" s="123">
        <v>1054</v>
      </c>
      <c r="G436" s="123">
        <v>1173</v>
      </c>
      <c r="H436" s="123">
        <v>1484</v>
      </c>
      <c r="I436" s="123">
        <v>1456</v>
      </c>
      <c r="J436" s="123">
        <v>1481</v>
      </c>
      <c r="K436" s="123">
        <v>1535</v>
      </c>
      <c r="L436" s="123">
        <v>1795</v>
      </c>
      <c r="M436" s="123">
        <v>2017</v>
      </c>
      <c r="N436" s="123">
        <v>2116</v>
      </c>
      <c r="O436" s="123">
        <v>2210</v>
      </c>
      <c r="P436" s="123">
        <v>2266</v>
      </c>
      <c r="Q436" s="123">
        <v>2198</v>
      </c>
      <c r="R436" s="123">
        <v>2406</v>
      </c>
      <c r="S436" s="123">
        <v>2590</v>
      </c>
      <c r="T436" s="123">
        <v>2700</v>
      </c>
      <c r="U436" s="149">
        <f t="shared" si="142"/>
        <v>0.75895765472312704</v>
      </c>
      <c r="V436" s="149">
        <f t="shared" si="143"/>
        <v>0.19152691968225949</v>
      </c>
      <c r="W436" s="149">
        <f t="shared" si="144"/>
        <v>4.2471042471042469E-2</v>
      </c>
      <c r="X436" s="218">
        <f t="shared" si="146"/>
        <v>1.6968112517439449E-2</v>
      </c>
      <c r="Y436" s="219">
        <f t="shared" si="145"/>
        <v>110</v>
      </c>
    </row>
    <row r="437" spans="1:25" x14ac:dyDescent="0.25">
      <c r="A437" s="151" t="s">
        <v>11</v>
      </c>
      <c r="B437" s="123">
        <v>1946</v>
      </c>
      <c r="C437" s="123">
        <v>2162</v>
      </c>
      <c r="D437" s="123">
        <v>2354</v>
      </c>
      <c r="E437" s="123">
        <v>2478</v>
      </c>
      <c r="F437" s="123">
        <v>2633</v>
      </c>
      <c r="G437" s="123">
        <v>2891</v>
      </c>
      <c r="H437" s="123">
        <v>2460</v>
      </c>
      <c r="I437" s="123">
        <v>2430</v>
      </c>
      <c r="J437" s="123">
        <v>2327</v>
      </c>
      <c r="K437" s="123">
        <v>2348</v>
      </c>
      <c r="L437" s="123">
        <v>2329</v>
      </c>
      <c r="M437" s="123">
        <v>2062</v>
      </c>
      <c r="N437" s="123">
        <v>2093</v>
      </c>
      <c r="O437" s="123">
        <v>2102</v>
      </c>
      <c r="P437" s="123">
        <v>2189</v>
      </c>
      <c r="Q437" s="123">
        <v>2343</v>
      </c>
      <c r="R437" s="123">
        <v>2569</v>
      </c>
      <c r="S437" s="123">
        <v>2488</v>
      </c>
      <c r="T437" s="123">
        <v>2691</v>
      </c>
      <c r="U437" s="149">
        <f t="shared" si="142"/>
        <v>0.14608177172061329</v>
      </c>
      <c r="V437" s="149">
        <f t="shared" si="143"/>
        <v>0.22932846048423938</v>
      </c>
      <c r="W437" s="149">
        <f t="shared" si="144"/>
        <v>8.159163987138264E-2</v>
      </c>
      <c r="X437" s="218">
        <f t="shared" si="146"/>
        <v>1.6911552142381318E-2</v>
      </c>
      <c r="Y437" s="219">
        <f t="shared" si="145"/>
        <v>203</v>
      </c>
    </row>
    <row r="438" spans="1:25" x14ac:dyDescent="0.25">
      <c r="A438" s="151" t="s">
        <v>10</v>
      </c>
      <c r="B438" s="123">
        <v>2807</v>
      </c>
      <c r="C438" s="123">
        <v>2517</v>
      </c>
      <c r="D438" s="123">
        <v>2797</v>
      </c>
      <c r="E438" s="123">
        <v>3036</v>
      </c>
      <c r="F438" s="123">
        <v>2998</v>
      </c>
      <c r="G438" s="123">
        <v>2933</v>
      </c>
      <c r="H438" s="123">
        <v>2869</v>
      </c>
      <c r="I438" s="123">
        <v>2531</v>
      </c>
      <c r="J438" s="123">
        <v>2741</v>
      </c>
      <c r="K438" s="123">
        <v>3344</v>
      </c>
      <c r="L438" s="123">
        <v>3225</v>
      </c>
      <c r="M438" s="123">
        <v>3098</v>
      </c>
      <c r="N438" s="123">
        <v>2881</v>
      </c>
      <c r="O438" s="123">
        <v>2502</v>
      </c>
      <c r="P438" s="123">
        <v>2244</v>
      </c>
      <c r="Q438" s="123">
        <v>1957</v>
      </c>
      <c r="R438" s="123">
        <v>2450</v>
      </c>
      <c r="S438" s="123">
        <v>2469</v>
      </c>
      <c r="T438" s="123">
        <v>2599</v>
      </c>
      <c r="U438" s="149">
        <f t="shared" si="142"/>
        <v>-0.22278708133971292</v>
      </c>
      <c r="V438" s="149">
        <f t="shared" si="143"/>
        <v>0.15819964349376114</v>
      </c>
      <c r="W438" s="149">
        <f t="shared" si="144"/>
        <v>5.2652895909275008E-2</v>
      </c>
      <c r="X438" s="218">
        <f t="shared" si="146"/>
        <v>1.6333379419564861E-2</v>
      </c>
      <c r="Y438" s="219">
        <f t="shared" si="145"/>
        <v>130</v>
      </c>
    </row>
    <row r="439" spans="1:25" x14ac:dyDescent="0.25">
      <c r="A439" s="151" t="s">
        <v>12</v>
      </c>
      <c r="B439" s="123">
        <v>3143</v>
      </c>
      <c r="C439" s="123">
        <v>2982</v>
      </c>
      <c r="D439" s="123">
        <v>3279</v>
      </c>
      <c r="E439" s="123">
        <v>3460</v>
      </c>
      <c r="F439" s="123">
        <v>3447</v>
      </c>
      <c r="G439" s="123">
        <v>3167</v>
      </c>
      <c r="H439" s="123">
        <v>2904</v>
      </c>
      <c r="I439" s="123">
        <v>2647</v>
      </c>
      <c r="J439" s="123">
        <v>3399</v>
      </c>
      <c r="K439" s="123">
        <v>3591</v>
      </c>
      <c r="L439" s="123">
        <v>4109</v>
      </c>
      <c r="M439" s="123">
        <v>3890</v>
      </c>
      <c r="N439" s="123">
        <v>3356</v>
      </c>
      <c r="O439" s="123">
        <v>2945</v>
      </c>
      <c r="P439" s="123">
        <v>2815</v>
      </c>
      <c r="Q439" s="123">
        <v>2320</v>
      </c>
      <c r="R439" s="123">
        <v>2489</v>
      </c>
      <c r="S439" s="123">
        <v>2331</v>
      </c>
      <c r="T439" s="123">
        <v>2167</v>
      </c>
      <c r="U439" s="149">
        <f t="shared" si="142"/>
        <v>-0.39654692286271231</v>
      </c>
      <c r="V439" s="149">
        <f t="shared" si="143"/>
        <v>-0.23019538188277086</v>
      </c>
      <c r="W439" s="149">
        <f t="shared" si="144"/>
        <v>-7.035607035607036E-2</v>
      </c>
      <c r="X439" s="218">
        <f t="shared" si="146"/>
        <v>1.3618481416774551E-2</v>
      </c>
      <c r="Y439" s="219">
        <f t="shared" si="145"/>
        <v>-164</v>
      </c>
    </row>
    <row r="440" spans="1:25" x14ac:dyDescent="0.25">
      <c r="A440" s="151" t="s">
        <v>369</v>
      </c>
      <c r="B440" s="123">
        <v>2516</v>
      </c>
      <c r="C440" s="123">
        <v>2344</v>
      </c>
      <c r="D440" s="123">
        <v>2403</v>
      </c>
      <c r="E440" s="123">
        <v>2672</v>
      </c>
      <c r="F440" s="123">
        <v>2252</v>
      </c>
      <c r="G440" s="123">
        <v>2222</v>
      </c>
      <c r="H440" s="123">
        <v>1847</v>
      </c>
      <c r="I440" s="123">
        <v>1580</v>
      </c>
      <c r="J440" s="123">
        <v>2156</v>
      </c>
      <c r="K440" s="123">
        <v>2835</v>
      </c>
      <c r="L440" s="123">
        <v>2264</v>
      </c>
      <c r="M440" s="123">
        <v>2546</v>
      </c>
      <c r="N440" s="123">
        <v>1562</v>
      </c>
      <c r="O440" s="123">
        <v>1464</v>
      </c>
      <c r="P440" s="123">
        <v>1284</v>
      </c>
      <c r="Q440" s="123">
        <v>1216</v>
      </c>
      <c r="R440" s="123">
        <v>1796</v>
      </c>
      <c r="S440" s="123">
        <v>2042</v>
      </c>
      <c r="T440" s="123">
        <v>2014</v>
      </c>
      <c r="U440" s="149">
        <f t="shared" si="142"/>
        <v>-0.28959435626102292</v>
      </c>
      <c r="V440" s="149">
        <f t="shared" si="143"/>
        <v>0.56853582554517135</v>
      </c>
      <c r="W440" s="149">
        <f t="shared" si="144"/>
        <v>-1.3712047012732615E-2</v>
      </c>
      <c r="X440" s="218">
        <f t="shared" si="146"/>
        <v>1.2656955040786315E-2</v>
      </c>
      <c r="Y440" s="219">
        <f t="shared" si="145"/>
        <v>-28</v>
      </c>
    </row>
    <row r="441" spans="1:25" x14ac:dyDescent="0.25">
      <c r="A441" s="154"/>
      <c r="B441" s="155"/>
      <c r="C441" s="155"/>
      <c r="D441" s="155"/>
      <c r="E441" s="155"/>
      <c r="F441" s="155"/>
      <c r="G441" s="155"/>
      <c r="H441" s="155"/>
      <c r="I441" s="155"/>
      <c r="J441" s="155"/>
      <c r="K441" s="155"/>
      <c r="L441" s="155"/>
      <c r="M441" s="155"/>
      <c r="N441" s="155"/>
      <c r="O441" s="155"/>
      <c r="P441" s="155"/>
      <c r="Q441" s="155"/>
      <c r="R441" s="155"/>
      <c r="S441" s="155"/>
      <c r="T441" s="155"/>
      <c r="U441" s="153"/>
      <c r="V441" s="153"/>
      <c r="W441" s="153"/>
      <c r="X441" s="153"/>
      <c r="Y441" s="153"/>
    </row>
    <row r="442" spans="1:25" ht="15.75" x14ac:dyDescent="0.25">
      <c r="A442" s="22" t="s">
        <v>467</v>
      </c>
      <c r="B442" s="155"/>
      <c r="C442" s="155"/>
      <c r="D442" s="155"/>
      <c r="E442" s="155"/>
      <c r="F442" s="155"/>
      <c r="G442" s="155"/>
      <c r="H442" s="155"/>
      <c r="I442" s="155"/>
      <c r="J442" s="155"/>
      <c r="K442" s="155"/>
      <c r="L442" s="155"/>
      <c r="M442" s="155"/>
      <c r="N442" s="155"/>
      <c r="O442" s="155"/>
      <c r="P442" s="155"/>
      <c r="Q442" s="155"/>
      <c r="R442" s="155"/>
      <c r="S442" s="155"/>
      <c r="T442" s="155"/>
      <c r="U442" s="153"/>
      <c r="V442" s="153"/>
      <c r="W442" s="153"/>
      <c r="X442" s="153"/>
      <c r="Y442" s="153"/>
    </row>
    <row r="443" spans="1:25" ht="25.5" x14ac:dyDescent="0.25">
      <c r="A443" s="120" t="s">
        <v>4</v>
      </c>
      <c r="B443" s="105">
        <v>2007</v>
      </c>
      <c r="C443" s="105">
        <v>2008</v>
      </c>
      <c r="D443" s="105">
        <v>2009</v>
      </c>
      <c r="E443" s="105">
        <v>2010</v>
      </c>
      <c r="F443" s="105">
        <v>2011</v>
      </c>
      <c r="G443" s="105">
        <v>2012</v>
      </c>
      <c r="H443" s="105">
        <v>2013</v>
      </c>
      <c r="I443" s="105">
        <v>2014</v>
      </c>
      <c r="J443" s="105">
        <v>2015</v>
      </c>
      <c r="K443" s="105">
        <v>2016</v>
      </c>
      <c r="L443" s="105">
        <v>2017</v>
      </c>
      <c r="M443" s="132">
        <v>2018</v>
      </c>
      <c r="N443" s="105">
        <v>2019</v>
      </c>
      <c r="O443" s="105">
        <v>2020</v>
      </c>
      <c r="P443" s="105">
        <v>2021</v>
      </c>
      <c r="Q443" s="105">
        <v>2022</v>
      </c>
      <c r="R443" s="105">
        <v>2023</v>
      </c>
      <c r="S443" s="105">
        <v>2024</v>
      </c>
      <c r="T443" s="105">
        <v>2025</v>
      </c>
      <c r="U443" s="106" t="s">
        <v>546</v>
      </c>
      <c r="V443" s="106" t="s">
        <v>547</v>
      </c>
      <c r="W443" s="106" t="s">
        <v>548</v>
      </c>
      <c r="X443" s="106" t="s">
        <v>549</v>
      </c>
      <c r="Y443" s="216" t="s">
        <v>563</v>
      </c>
    </row>
    <row r="444" spans="1:25" x14ac:dyDescent="0.25">
      <c r="A444" s="151" t="s">
        <v>369</v>
      </c>
      <c r="B444" s="123">
        <v>11049</v>
      </c>
      <c r="C444" s="123">
        <v>10355</v>
      </c>
      <c r="D444" s="123">
        <v>9541</v>
      </c>
      <c r="E444" s="123">
        <v>9735</v>
      </c>
      <c r="F444" s="123">
        <v>9604</v>
      </c>
      <c r="G444" s="123">
        <v>9554</v>
      </c>
      <c r="H444" s="123">
        <v>8623</v>
      </c>
      <c r="I444" s="123">
        <v>7923</v>
      </c>
      <c r="J444" s="123">
        <v>8240</v>
      </c>
      <c r="K444" s="123">
        <v>9489</v>
      </c>
      <c r="L444" s="123">
        <v>10522</v>
      </c>
      <c r="M444" s="123">
        <v>11925</v>
      </c>
      <c r="N444" s="123">
        <v>10956</v>
      </c>
      <c r="O444" s="123">
        <v>9400</v>
      </c>
      <c r="P444" s="123">
        <v>8172</v>
      </c>
      <c r="Q444" s="123">
        <v>7996</v>
      </c>
      <c r="R444" s="123">
        <v>9434</v>
      </c>
      <c r="S444" s="123">
        <v>10495</v>
      </c>
      <c r="T444" s="123">
        <v>12101</v>
      </c>
      <c r="U444" s="149">
        <f t="shared" ref="U444:U459" si="147">(T444-K444)/K444</f>
        <v>0.2752660975866793</v>
      </c>
      <c r="V444" s="149">
        <f t="shared" ref="V444:V459" si="148">(T444-P444)/P444</f>
        <v>0.48078805677924619</v>
      </c>
      <c r="W444" s="149">
        <f t="shared" ref="W444:W459" si="149">(T444-S444)/S444</f>
        <v>0.15302525011910434</v>
      </c>
      <c r="X444" s="218">
        <f>T444/T$8</f>
        <v>1.6531849870420133E-2</v>
      </c>
      <c r="Y444" s="219">
        <f t="shared" ref="Y444:Y459" si="150">T444-S444</f>
        <v>1606</v>
      </c>
    </row>
    <row r="445" spans="1:25" x14ac:dyDescent="0.25">
      <c r="A445" s="151" t="s">
        <v>418</v>
      </c>
      <c r="B445" s="123">
        <v>5454</v>
      </c>
      <c r="C445" s="123">
        <v>5987</v>
      </c>
      <c r="D445" s="123">
        <v>6735</v>
      </c>
      <c r="E445" s="123">
        <v>7636</v>
      </c>
      <c r="F445" s="123">
        <v>8377</v>
      </c>
      <c r="G445" s="123">
        <v>9276</v>
      </c>
      <c r="H445" s="123">
        <v>9970</v>
      </c>
      <c r="I445" s="123">
        <v>12133</v>
      </c>
      <c r="J445" s="123">
        <v>13224</v>
      </c>
      <c r="K445" s="123">
        <v>14917</v>
      </c>
      <c r="L445" s="123">
        <v>15706</v>
      </c>
      <c r="M445" s="123">
        <v>16667</v>
      </c>
      <c r="N445" s="123">
        <v>14199</v>
      </c>
      <c r="O445" s="123">
        <v>10334</v>
      </c>
      <c r="P445" s="123">
        <v>9507</v>
      </c>
      <c r="Q445" s="123">
        <v>8762</v>
      </c>
      <c r="R445" s="123">
        <v>8415</v>
      </c>
      <c r="S445" s="123">
        <v>9449</v>
      </c>
      <c r="T445" s="123">
        <v>10213</v>
      </c>
      <c r="U445" s="149">
        <f t="shared" si="147"/>
        <v>-0.31534490849366492</v>
      </c>
      <c r="V445" s="149">
        <f t="shared" si="148"/>
        <v>7.4261070789944247E-2</v>
      </c>
      <c r="W445" s="149">
        <f t="shared" si="149"/>
        <v>8.0855116943591918E-2</v>
      </c>
      <c r="X445" s="218">
        <f t="shared" ref="X445:X459" si="151">T445/T$8</f>
        <v>1.395254794864894E-2</v>
      </c>
      <c r="Y445" s="219">
        <f t="shared" si="150"/>
        <v>764</v>
      </c>
    </row>
    <row r="446" spans="1:25" x14ac:dyDescent="0.25">
      <c r="A446" s="151" t="s">
        <v>374</v>
      </c>
      <c r="B446" s="123">
        <v>9304</v>
      </c>
      <c r="C446" s="123">
        <v>10350</v>
      </c>
      <c r="D446" s="123">
        <v>11010</v>
      </c>
      <c r="E446" s="123">
        <v>11645</v>
      </c>
      <c r="F446" s="123">
        <v>12021</v>
      </c>
      <c r="G446" s="123">
        <v>11943</v>
      </c>
      <c r="H446" s="123">
        <v>11268</v>
      </c>
      <c r="I446" s="123">
        <v>10456</v>
      </c>
      <c r="J446" s="123">
        <v>9810</v>
      </c>
      <c r="K446" s="123">
        <v>9330</v>
      </c>
      <c r="L446" s="123">
        <v>8588</v>
      </c>
      <c r="M446" s="123">
        <v>8501</v>
      </c>
      <c r="N446" s="123">
        <v>8327</v>
      </c>
      <c r="O446" s="123">
        <v>8168</v>
      </c>
      <c r="P446" s="123">
        <v>7920</v>
      </c>
      <c r="Q446" s="123">
        <v>7628</v>
      </c>
      <c r="R446" s="123">
        <v>7962</v>
      </c>
      <c r="S446" s="123">
        <v>8017</v>
      </c>
      <c r="T446" s="123">
        <v>8091</v>
      </c>
      <c r="U446" s="149">
        <f t="shared" si="147"/>
        <v>-0.13279742765273311</v>
      </c>
      <c r="V446" s="149">
        <f t="shared" si="148"/>
        <v>2.1590909090909091E-2</v>
      </c>
      <c r="W446" s="149">
        <f t="shared" si="149"/>
        <v>9.2303854309592117E-3</v>
      </c>
      <c r="X446" s="218">
        <f t="shared" si="151"/>
        <v>1.1053565598014157E-2</v>
      </c>
      <c r="Y446" s="219">
        <f t="shared" si="150"/>
        <v>74</v>
      </c>
    </row>
    <row r="447" spans="1:25" x14ac:dyDescent="0.25">
      <c r="A447" s="151" t="s">
        <v>419</v>
      </c>
      <c r="B447" s="123">
        <v>16237</v>
      </c>
      <c r="C447" s="123">
        <v>17411</v>
      </c>
      <c r="D447" s="123">
        <v>18601</v>
      </c>
      <c r="E447" s="123">
        <v>19533</v>
      </c>
      <c r="F447" s="123">
        <v>20252</v>
      </c>
      <c r="G447" s="123">
        <v>19633</v>
      </c>
      <c r="H447" s="123">
        <v>18345</v>
      </c>
      <c r="I447" s="123">
        <v>16448</v>
      </c>
      <c r="J447" s="123">
        <v>15277</v>
      </c>
      <c r="K447" s="123">
        <v>14261</v>
      </c>
      <c r="L447" s="123">
        <v>12298</v>
      </c>
      <c r="M447" s="123">
        <v>11466</v>
      </c>
      <c r="N447" s="123">
        <v>10695</v>
      </c>
      <c r="O447" s="123">
        <v>9212</v>
      </c>
      <c r="P447" s="123">
        <v>8016</v>
      </c>
      <c r="Q447" s="123">
        <v>7202</v>
      </c>
      <c r="R447" s="123">
        <v>7253</v>
      </c>
      <c r="S447" s="123">
        <v>7402</v>
      </c>
      <c r="T447" s="123">
        <v>7767</v>
      </c>
      <c r="U447" s="149">
        <f t="shared" si="147"/>
        <v>-0.45536778627024754</v>
      </c>
      <c r="V447" s="149">
        <f t="shared" si="148"/>
        <v>-3.1062874251497005E-2</v>
      </c>
      <c r="W447" s="149">
        <f t="shared" si="149"/>
        <v>4.9310997027830317E-2</v>
      </c>
      <c r="X447" s="218">
        <f t="shared" si="151"/>
        <v>1.0610931158049184E-2</v>
      </c>
      <c r="Y447" s="219">
        <f t="shared" si="150"/>
        <v>365</v>
      </c>
    </row>
    <row r="448" spans="1:25" x14ac:dyDescent="0.25">
      <c r="A448" s="151" t="s">
        <v>417</v>
      </c>
      <c r="B448" s="123">
        <v>26273</v>
      </c>
      <c r="C448" s="123">
        <v>22426</v>
      </c>
      <c r="D448" s="123">
        <v>19488</v>
      </c>
      <c r="E448" s="123">
        <v>18446</v>
      </c>
      <c r="F448" s="123">
        <v>16868</v>
      </c>
      <c r="G448" s="123">
        <v>15168</v>
      </c>
      <c r="H448" s="123">
        <v>13592</v>
      </c>
      <c r="I448" s="123">
        <v>11562</v>
      </c>
      <c r="J448" s="123">
        <v>9947</v>
      </c>
      <c r="K448" s="123">
        <v>9062</v>
      </c>
      <c r="L448" s="123">
        <v>8323</v>
      </c>
      <c r="M448" s="123">
        <v>8321</v>
      </c>
      <c r="N448" s="123">
        <v>8436</v>
      </c>
      <c r="O448" s="123">
        <v>8293</v>
      </c>
      <c r="P448" s="123">
        <v>8079</v>
      </c>
      <c r="Q448" s="123">
        <v>7259</v>
      </c>
      <c r="R448" s="123">
        <v>7313</v>
      </c>
      <c r="S448" s="123">
        <v>7557</v>
      </c>
      <c r="T448" s="123">
        <v>7668</v>
      </c>
      <c r="U448" s="149">
        <f t="shared" si="147"/>
        <v>-0.15382917678216729</v>
      </c>
      <c r="V448" s="149">
        <f t="shared" si="148"/>
        <v>-5.0872632751578169E-2</v>
      </c>
      <c r="W448" s="149">
        <f t="shared" si="149"/>
        <v>1.4688368400158794E-2</v>
      </c>
      <c r="X448" s="218">
        <f t="shared" si="151"/>
        <v>1.0475681745837665E-2</v>
      </c>
      <c r="Y448" s="219">
        <f t="shared" si="150"/>
        <v>111</v>
      </c>
    </row>
    <row r="449" spans="1:25" x14ac:dyDescent="0.25">
      <c r="A449" s="151" t="s">
        <v>425</v>
      </c>
      <c r="B449" s="123">
        <v>4064</v>
      </c>
      <c r="C449" s="123">
        <v>4232</v>
      </c>
      <c r="D449" s="123">
        <v>4333</v>
      </c>
      <c r="E449" s="123">
        <v>4552</v>
      </c>
      <c r="F449" s="123">
        <v>4723</v>
      </c>
      <c r="G449" s="123">
        <v>4701</v>
      </c>
      <c r="H449" s="123">
        <v>4528</v>
      </c>
      <c r="I449" s="123">
        <v>4279</v>
      </c>
      <c r="J449" s="123">
        <v>4081</v>
      </c>
      <c r="K449" s="123">
        <v>3926</v>
      </c>
      <c r="L449" s="123">
        <v>3889</v>
      </c>
      <c r="M449" s="123">
        <v>4069</v>
      </c>
      <c r="N449" s="123">
        <v>4292</v>
      </c>
      <c r="O449" s="123">
        <v>4367</v>
      </c>
      <c r="P449" s="123">
        <v>4469</v>
      </c>
      <c r="Q449" s="123">
        <v>4293</v>
      </c>
      <c r="R449" s="123">
        <v>4422</v>
      </c>
      <c r="S449" s="123">
        <v>4433</v>
      </c>
      <c r="T449" s="123">
        <v>4427</v>
      </c>
      <c r="U449" s="149">
        <f t="shared" si="147"/>
        <v>0.12761079979623027</v>
      </c>
      <c r="V449" s="149">
        <f t="shared" si="148"/>
        <v>-9.3980756321324684E-3</v>
      </c>
      <c r="W449" s="149">
        <f t="shared" si="149"/>
        <v>-1.3534852244529664E-3</v>
      </c>
      <c r="X449" s="218">
        <f t="shared" si="151"/>
        <v>6.0479711905090435E-3</v>
      </c>
      <c r="Y449" s="219">
        <f t="shared" si="150"/>
        <v>-6</v>
      </c>
    </row>
    <row r="450" spans="1:25" x14ac:dyDescent="0.25">
      <c r="A450" s="151" t="s">
        <v>426</v>
      </c>
      <c r="B450" s="123">
        <v>3593</v>
      </c>
      <c r="C450" s="123">
        <v>4107</v>
      </c>
      <c r="D450" s="123">
        <v>4212</v>
      </c>
      <c r="E450" s="123">
        <v>4294</v>
      </c>
      <c r="F450" s="123">
        <v>4501</v>
      </c>
      <c r="G450" s="123">
        <v>4484</v>
      </c>
      <c r="H450" s="123">
        <v>4324</v>
      </c>
      <c r="I450" s="123">
        <v>4092</v>
      </c>
      <c r="J450" s="123">
        <v>3998</v>
      </c>
      <c r="K450" s="123">
        <v>3754</v>
      </c>
      <c r="L450" s="123">
        <v>3620</v>
      </c>
      <c r="M450" s="123">
        <v>3748</v>
      </c>
      <c r="N450" s="123">
        <v>3945</v>
      </c>
      <c r="O450" s="123">
        <v>4128</v>
      </c>
      <c r="P450" s="123">
        <v>4220</v>
      </c>
      <c r="Q450" s="123">
        <v>4031</v>
      </c>
      <c r="R450" s="123">
        <v>3723</v>
      </c>
      <c r="S450" s="123">
        <v>3355</v>
      </c>
      <c r="T450" s="123">
        <v>3124</v>
      </c>
      <c r="U450" s="149">
        <f t="shared" si="147"/>
        <v>-0.16782099094299413</v>
      </c>
      <c r="V450" s="149">
        <f t="shared" si="148"/>
        <v>-0.25971563981042656</v>
      </c>
      <c r="W450" s="149">
        <f t="shared" si="149"/>
        <v>-6.8852459016393447E-2</v>
      </c>
      <c r="X450" s="218">
        <f t="shared" si="151"/>
        <v>4.2678703408968264E-3</v>
      </c>
      <c r="Y450" s="219">
        <f t="shared" si="150"/>
        <v>-231</v>
      </c>
    </row>
    <row r="451" spans="1:25" x14ac:dyDescent="0.25">
      <c r="A451" s="151" t="s">
        <v>424</v>
      </c>
      <c r="B451" s="123">
        <v>5815</v>
      </c>
      <c r="C451" s="123">
        <v>6444</v>
      </c>
      <c r="D451" s="123">
        <v>6582</v>
      </c>
      <c r="E451" s="123">
        <v>6842</v>
      </c>
      <c r="F451" s="123">
        <v>6781</v>
      </c>
      <c r="G451" s="123">
        <v>6804</v>
      </c>
      <c r="H451" s="123">
        <v>6150</v>
      </c>
      <c r="I451" s="123">
        <v>5419</v>
      </c>
      <c r="J451" s="123">
        <v>4717</v>
      </c>
      <c r="K451" s="123">
        <v>4310</v>
      </c>
      <c r="L451" s="123">
        <v>3992</v>
      </c>
      <c r="M451" s="123">
        <v>3983</v>
      </c>
      <c r="N451" s="123">
        <v>3918</v>
      </c>
      <c r="O451" s="123">
        <v>3649</v>
      </c>
      <c r="P451" s="123">
        <v>3667</v>
      </c>
      <c r="Q451" s="123">
        <v>3362</v>
      </c>
      <c r="R451" s="123">
        <v>3323</v>
      </c>
      <c r="S451" s="123">
        <v>3168</v>
      </c>
      <c r="T451" s="123">
        <v>3044</v>
      </c>
      <c r="U451" s="149">
        <f t="shared" si="147"/>
        <v>-0.29373549883990718</v>
      </c>
      <c r="V451" s="149">
        <f t="shared" si="148"/>
        <v>-0.16989364603217888</v>
      </c>
      <c r="W451" s="149">
        <f t="shared" si="149"/>
        <v>-3.9141414141414144E-2</v>
      </c>
      <c r="X451" s="218">
        <f t="shared" si="151"/>
        <v>4.1585778865844882E-3</v>
      </c>
      <c r="Y451" s="219">
        <f t="shared" si="150"/>
        <v>-124</v>
      </c>
    </row>
    <row r="452" spans="1:25" x14ac:dyDescent="0.25">
      <c r="A452" s="151" t="s">
        <v>415</v>
      </c>
      <c r="B452" s="123">
        <v>2923</v>
      </c>
      <c r="C452" s="123">
        <v>3196</v>
      </c>
      <c r="D452" s="123">
        <v>3182</v>
      </c>
      <c r="E452" s="123">
        <v>3381</v>
      </c>
      <c r="F452" s="123">
        <v>3357</v>
      </c>
      <c r="G452" s="123">
        <v>3266</v>
      </c>
      <c r="H452" s="123">
        <v>3229</v>
      </c>
      <c r="I452" s="123">
        <v>3177</v>
      </c>
      <c r="J452" s="123">
        <v>3141</v>
      </c>
      <c r="K452" s="123">
        <v>3068</v>
      </c>
      <c r="L452" s="123">
        <v>3089</v>
      </c>
      <c r="M452" s="123">
        <v>3153</v>
      </c>
      <c r="N452" s="123">
        <v>3139</v>
      </c>
      <c r="O452" s="123">
        <v>3028</v>
      </c>
      <c r="P452" s="123">
        <v>2939</v>
      </c>
      <c r="Q452" s="123">
        <v>2604</v>
      </c>
      <c r="R452" s="123">
        <v>2464</v>
      </c>
      <c r="S452" s="123">
        <v>2349</v>
      </c>
      <c r="T452" s="123">
        <v>2389</v>
      </c>
      <c r="U452" s="149">
        <f t="shared" si="147"/>
        <v>-0.22131681877444589</v>
      </c>
      <c r="V452" s="149">
        <f t="shared" si="148"/>
        <v>-0.18713848247703299</v>
      </c>
      <c r="W452" s="149">
        <f t="shared" si="149"/>
        <v>1.7028522775649212E-2</v>
      </c>
      <c r="X452" s="218">
        <f t="shared" si="151"/>
        <v>3.2637459169022145E-3</v>
      </c>
      <c r="Y452" s="219">
        <f t="shared" si="150"/>
        <v>40</v>
      </c>
    </row>
    <row r="453" spans="1:25" x14ac:dyDescent="0.25">
      <c r="A453" s="151" t="s">
        <v>416</v>
      </c>
      <c r="B453" s="123">
        <v>4097</v>
      </c>
      <c r="C453" s="123">
        <v>4544</v>
      </c>
      <c r="D453" s="123">
        <v>4743</v>
      </c>
      <c r="E453" s="123">
        <v>4827</v>
      </c>
      <c r="F453" s="123">
        <v>4689</v>
      </c>
      <c r="G453" s="123">
        <v>4232</v>
      </c>
      <c r="H453" s="123">
        <v>3723</v>
      </c>
      <c r="I453" s="123">
        <v>3348</v>
      </c>
      <c r="J453" s="123">
        <v>3071</v>
      </c>
      <c r="K453" s="123">
        <v>2900</v>
      </c>
      <c r="L453" s="123">
        <v>2882</v>
      </c>
      <c r="M453" s="123">
        <v>3058</v>
      </c>
      <c r="N453" s="123">
        <v>3159</v>
      </c>
      <c r="O453" s="123">
        <v>3310</v>
      </c>
      <c r="P453" s="123">
        <v>3338</v>
      </c>
      <c r="Q453" s="123">
        <v>2952</v>
      </c>
      <c r="R453" s="123">
        <v>2769</v>
      </c>
      <c r="S453" s="123">
        <v>2551</v>
      </c>
      <c r="T453" s="123">
        <v>2327</v>
      </c>
      <c r="U453" s="149">
        <f t="shared" si="147"/>
        <v>-0.19758620689655174</v>
      </c>
      <c r="V453" s="149">
        <f t="shared" si="148"/>
        <v>-0.30287597363690832</v>
      </c>
      <c r="W453" s="149">
        <f t="shared" si="149"/>
        <v>-8.7808702469619762E-2</v>
      </c>
      <c r="X453" s="218">
        <f t="shared" si="151"/>
        <v>3.1790442648101523E-3</v>
      </c>
      <c r="Y453" s="219">
        <f t="shared" si="150"/>
        <v>-224</v>
      </c>
    </row>
    <row r="454" spans="1:25" x14ac:dyDescent="0.25">
      <c r="A454" s="151" t="s">
        <v>427</v>
      </c>
      <c r="B454" s="123">
        <v>400</v>
      </c>
      <c r="C454" s="123">
        <v>426</v>
      </c>
      <c r="D454" s="123">
        <v>563</v>
      </c>
      <c r="E454" s="123">
        <v>810</v>
      </c>
      <c r="F454" s="123">
        <v>969</v>
      </c>
      <c r="G454" s="123">
        <v>891</v>
      </c>
      <c r="H454" s="123">
        <v>900</v>
      </c>
      <c r="I454" s="123">
        <v>914</v>
      </c>
      <c r="J454" s="123">
        <v>885</v>
      </c>
      <c r="K454" s="123">
        <v>872</v>
      </c>
      <c r="L454" s="123">
        <v>933</v>
      </c>
      <c r="M454" s="123">
        <v>832</v>
      </c>
      <c r="N454" s="123">
        <v>842</v>
      </c>
      <c r="O454" s="123">
        <v>753</v>
      </c>
      <c r="P454" s="123">
        <v>976</v>
      </c>
      <c r="Q454" s="123">
        <v>1007</v>
      </c>
      <c r="R454" s="123">
        <v>656</v>
      </c>
      <c r="S454" s="123">
        <v>811</v>
      </c>
      <c r="T454" s="123">
        <v>932</v>
      </c>
      <c r="U454" s="149">
        <f t="shared" si="147"/>
        <v>6.8807339449541288E-2</v>
      </c>
      <c r="V454" s="149">
        <f t="shared" si="148"/>
        <v>-4.5081967213114756E-2</v>
      </c>
      <c r="W454" s="149">
        <f t="shared" si="149"/>
        <v>0.14919852034525277</v>
      </c>
      <c r="X454" s="218">
        <f t="shared" si="151"/>
        <v>1.273257092738746E-3</v>
      </c>
      <c r="Y454" s="219">
        <f t="shared" si="150"/>
        <v>121</v>
      </c>
    </row>
    <row r="455" spans="1:25" x14ac:dyDescent="0.25">
      <c r="A455" s="151" t="s">
        <v>420</v>
      </c>
      <c r="B455" s="123">
        <v>323</v>
      </c>
      <c r="C455" s="123">
        <v>363</v>
      </c>
      <c r="D455" s="123">
        <v>185</v>
      </c>
      <c r="E455" s="123">
        <v>287</v>
      </c>
      <c r="F455" s="123">
        <v>289</v>
      </c>
      <c r="G455" s="123">
        <v>304</v>
      </c>
      <c r="H455" s="123">
        <v>361</v>
      </c>
      <c r="I455" s="123">
        <v>337</v>
      </c>
      <c r="J455" s="123">
        <v>310</v>
      </c>
      <c r="K455" s="123">
        <v>211</v>
      </c>
      <c r="L455" s="123">
        <v>231</v>
      </c>
      <c r="M455" s="123">
        <v>186</v>
      </c>
      <c r="N455" s="123">
        <v>138</v>
      </c>
      <c r="O455" s="123">
        <v>165</v>
      </c>
      <c r="P455" s="123">
        <v>191</v>
      </c>
      <c r="Q455" s="123">
        <v>198</v>
      </c>
      <c r="R455" s="123">
        <v>380</v>
      </c>
      <c r="S455" s="123">
        <v>578</v>
      </c>
      <c r="T455" s="123">
        <v>606</v>
      </c>
      <c r="U455" s="149">
        <f t="shared" si="147"/>
        <v>1.872037914691943</v>
      </c>
      <c r="V455" s="149">
        <f t="shared" si="148"/>
        <v>2.1727748691099475</v>
      </c>
      <c r="W455" s="149">
        <f t="shared" si="149"/>
        <v>4.8442906574394463E-2</v>
      </c>
      <c r="X455" s="218">
        <f t="shared" si="151"/>
        <v>8.2789034141596567E-4</v>
      </c>
      <c r="Y455" s="219">
        <f t="shared" si="150"/>
        <v>28</v>
      </c>
    </row>
    <row r="456" spans="1:25" x14ac:dyDescent="0.25">
      <c r="A456" s="151" t="s">
        <v>423</v>
      </c>
      <c r="B456" s="123">
        <v>1728</v>
      </c>
      <c r="C456" s="123">
        <v>1623</v>
      </c>
      <c r="D456" s="123">
        <v>1605</v>
      </c>
      <c r="E456" s="123">
        <v>1485</v>
      </c>
      <c r="F456" s="123">
        <v>1276</v>
      </c>
      <c r="G456" s="123">
        <v>1242</v>
      </c>
      <c r="H456" s="123">
        <v>1176</v>
      </c>
      <c r="I456" s="123">
        <v>1037</v>
      </c>
      <c r="J456" s="123">
        <v>1052</v>
      </c>
      <c r="K456" s="123">
        <v>1041</v>
      </c>
      <c r="L456" s="123">
        <v>970</v>
      </c>
      <c r="M456" s="123">
        <v>901</v>
      </c>
      <c r="N456" s="123">
        <v>813</v>
      </c>
      <c r="O456" s="123">
        <v>764</v>
      </c>
      <c r="P456" s="123">
        <v>775</v>
      </c>
      <c r="Q456" s="123">
        <v>679</v>
      </c>
      <c r="R456" s="123">
        <v>609</v>
      </c>
      <c r="S456" s="123">
        <v>581</v>
      </c>
      <c r="T456" s="123">
        <v>536</v>
      </c>
      <c r="U456" s="149">
        <f t="shared" si="147"/>
        <v>-0.4851104707012488</v>
      </c>
      <c r="V456" s="149">
        <f t="shared" si="148"/>
        <v>-0.30838709677419357</v>
      </c>
      <c r="W456" s="149">
        <f t="shared" si="149"/>
        <v>-7.7452667814113599E-2</v>
      </c>
      <c r="X456" s="218">
        <f t="shared" si="151"/>
        <v>7.3225944389266934E-4</v>
      </c>
      <c r="Y456" s="219">
        <f t="shared" si="150"/>
        <v>-45</v>
      </c>
    </row>
    <row r="457" spans="1:25" x14ac:dyDescent="0.25">
      <c r="A457" s="151" t="s">
        <v>421</v>
      </c>
      <c r="B457" s="123">
        <v>253</v>
      </c>
      <c r="C457" s="123">
        <v>238</v>
      </c>
      <c r="D457" s="123">
        <v>320</v>
      </c>
      <c r="E457" s="123">
        <v>363</v>
      </c>
      <c r="F457" s="123">
        <v>284</v>
      </c>
      <c r="G457" s="123">
        <v>157</v>
      </c>
      <c r="H457" s="123">
        <v>106</v>
      </c>
      <c r="I457" s="123">
        <v>58</v>
      </c>
      <c r="J457" s="123">
        <v>116</v>
      </c>
      <c r="K457" s="123">
        <v>150</v>
      </c>
      <c r="L457" s="123">
        <v>170</v>
      </c>
      <c r="M457" s="123">
        <v>234</v>
      </c>
      <c r="N457" s="123">
        <v>198</v>
      </c>
      <c r="O457" s="123">
        <v>207</v>
      </c>
      <c r="P457" s="123">
        <v>248</v>
      </c>
      <c r="Q457" s="123">
        <v>194</v>
      </c>
      <c r="R457" s="123">
        <v>151</v>
      </c>
      <c r="S457" s="123">
        <v>173</v>
      </c>
      <c r="T457" s="123">
        <v>192</v>
      </c>
      <c r="U457" s="149">
        <f t="shared" si="147"/>
        <v>0.28000000000000003</v>
      </c>
      <c r="V457" s="149">
        <f t="shared" si="148"/>
        <v>-0.22580645161290322</v>
      </c>
      <c r="W457" s="149">
        <f t="shared" si="149"/>
        <v>0.10982658959537572</v>
      </c>
      <c r="X457" s="218">
        <f t="shared" si="151"/>
        <v>2.6230189034961288E-4</v>
      </c>
      <c r="Y457" s="219">
        <f t="shared" si="150"/>
        <v>19</v>
      </c>
    </row>
    <row r="458" spans="1:25" x14ac:dyDescent="0.25">
      <c r="A458" s="151" t="s">
        <v>422</v>
      </c>
      <c r="B458" s="123">
        <v>192</v>
      </c>
      <c r="C458" s="123">
        <v>184</v>
      </c>
      <c r="D458" s="123">
        <v>165</v>
      </c>
      <c r="E458" s="123">
        <v>136</v>
      </c>
      <c r="F458" s="123">
        <v>110</v>
      </c>
      <c r="G458" s="123">
        <v>73</v>
      </c>
      <c r="H458" s="123">
        <v>59</v>
      </c>
      <c r="I458" s="123">
        <v>31</v>
      </c>
      <c r="J458" s="123">
        <v>20</v>
      </c>
      <c r="K458" s="123">
        <v>7</v>
      </c>
      <c r="L458" s="123">
        <v>7</v>
      </c>
      <c r="M458" s="123">
        <v>6</v>
      </c>
      <c r="N458" s="123">
        <v>5</v>
      </c>
      <c r="O458" s="123">
        <v>0</v>
      </c>
      <c r="P458" s="123">
        <v>0</v>
      </c>
      <c r="Q458" s="123">
        <v>0</v>
      </c>
      <c r="R458" s="123">
        <v>0</v>
      </c>
      <c r="S458" s="123">
        <v>0</v>
      </c>
      <c r="T458" s="123"/>
      <c r="U458" s="149">
        <f t="shared" si="147"/>
        <v>-1</v>
      </c>
      <c r="V458" s="149" t="s">
        <v>130</v>
      </c>
      <c r="W458" s="149" t="s">
        <v>130</v>
      </c>
      <c r="X458" s="218">
        <f t="shared" si="151"/>
        <v>0</v>
      </c>
      <c r="Y458" s="219">
        <f t="shared" si="150"/>
        <v>0</v>
      </c>
    </row>
    <row r="459" spans="1:25" x14ac:dyDescent="0.25">
      <c r="A459" s="80" t="s">
        <v>0</v>
      </c>
      <c r="B459" s="89">
        <v>100302</v>
      </c>
      <c r="C459" s="89">
        <v>101307</v>
      </c>
      <c r="D459" s="89">
        <v>101002</v>
      </c>
      <c r="E459" s="89">
        <v>105440</v>
      </c>
      <c r="F459" s="89">
        <v>106836</v>
      </c>
      <c r="G459" s="89">
        <v>104836</v>
      </c>
      <c r="H459" s="89">
        <v>99687</v>
      </c>
      <c r="I459" s="89">
        <v>93463</v>
      </c>
      <c r="J459" s="89">
        <v>86144</v>
      </c>
      <c r="K459" s="89">
        <v>82242</v>
      </c>
      <c r="L459" s="89">
        <v>77575</v>
      </c>
      <c r="M459" s="89">
        <v>77434</v>
      </c>
      <c r="N459" s="89">
        <v>73187</v>
      </c>
      <c r="O459" s="89">
        <v>65819</v>
      </c>
      <c r="P459" s="89">
        <v>62523</v>
      </c>
      <c r="Q459" s="89">
        <v>58167</v>
      </c>
      <c r="R459" s="89">
        <v>58874</v>
      </c>
      <c r="S459" s="89">
        <v>60919</v>
      </c>
      <c r="T459" s="89">
        <v>63417</v>
      </c>
      <c r="U459" s="150">
        <f t="shared" si="147"/>
        <v>-0.22889764353979719</v>
      </c>
      <c r="V459" s="150">
        <f t="shared" si="148"/>
        <v>1.4298738064392304E-2</v>
      </c>
      <c r="W459" s="150">
        <f t="shared" si="149"/>
        <v>4.1005269292010704E-2</v>
      </c>
      <c r="X459" s="218">
        <f t="shared" si="151"/>
        <v>8.6637494689069797E-2</v>
      </c>
      <c r="Y459" s="221">
        <f t="shared" si="150"/>
        <v>2498</v>
      </c>
    </row>
    <row r="460" spans="1:25" x14ac:dyDescent="0.25">
      <c r="A460" s="154"/>
      <c r="B460" s="155"/>
      <c r="C460" s="155"/>
      <c r="D460" s="155"/>
      <c r="E460" s="155"/>
      <c r="F460" s="155"/>
      <c r="G460" s="155"/>
      <c r="H460" s="155"/>
      <c r="I460" s="155"/>
      <c r="J460" s="198"/>
      <c r="K460" s="198"/>
      <c r="L460" s="198"/>
      <c r="M460" s="198"/>
      <c r="N460" s="198"/>
      <c r="O460" s="198"/>
      <c r="P460" s="198"/>
      <c r="Q460" s="198"/>
      <c r="R460" s="198"/>
      <c r="S460" s="198"/>
      <c r="T460" s="198"/>
      <c r="U460" s="153"/>
      <c r="V460" s="153"/>
      <c r="W460" s="153"/>
      <c r="X460" s="153"/>
      <c r="Y460" s="153"/>
    </row>
    <row r="461" spans="1:25" ht="18" x14ac:dyDescent="0.25">
      <c r="A461" s="22" t="s">
        <v>468</v>
      </c>
      <c r="B461" s="155"/>
      <c r="C461" s="155"/>
      <c r="D461" s="155"/>
      <c r="E461" s="155"/>
      <c r="F461" s="155"/>
      <c r="G461" s="155"/>
      <c r="H461" s="155"/>
      <c r="I461" s="155"/>
      <c r="J461" s="155"/>
      <c r="K461" s="155"/>
      <c r="L461" s="155"/>
      <c r="M461" s="155"/>
      <c r="N461" s="155"/>
      <c r="O461" s="155"/>
      <c r="P461" s="155"/>
      <c r="Q461" s="155"/>
      <c r="R461" s="155"/>
      <c r="S461" s="155"/>
      <c r="T461" s="155"/>
      <c r="U461" s="153"/>
      <c r="V461" s="153"/>
      <c r="W461" s="153"/>
      <c r="X461" s="153"/>
      <c r="Y461" s="153"/>
    </row>
    <row r="462" spans="1:25" ht="25.5" x14ac:dyDescent="0.25">
      <c r="A462" s="120" t="s">
        <v>4</v>
      </c>
      <c r="B462" s="105">
        <v>2007</v>
      </c>
      <c r="C462" s="105">
        <v>2008</v>
      </c>
      <c r="D462" s="105">
        <v>2009</v>
      </c>
      <c r="E462" s="105">
        <v>2010</v>
      </c>
      <c r="F462" s="105">
        <v>2011</v>
      </c>
      <c r="G462" s="105">
        <v>2012</v>
      </c>
      <c r="H462" s="105">
        <v>2013</v>
      </c>
      <c r="I462" s="105">
        <v>2014</v>
      </c>
      <c r="J462" s="105">
        <v>2015</v>
      </c>
      <c r="K462" s="105">
        <v>2016</v>
      </c>
      <c r="L462" s="105">
        <v>2017</v>
      </c>
      <c r="M462" s="132">
        <v>2018</v>
      </c>
      <c r="N462" s="105">
        <v>2019</v>
      </c>
      <c r="O462" s="105">
        <v>2020</v>
      </c>
      <c r="P462" s="105">
        <v>2021</v>
      </c>
      <c r="Q462" s="105">
        <v>2022</v>
      </c>
      <c r="R462" s="105">
        <v>2023</v>
      </c>
      <c r="S462" s="105">
        <v>2024</v>
      </c>
      <c r="T462" s="105">
        <v>2025</v>
      </c>
      <c r="U462" s="106" t="s">
        <v>546</v>
      </c>
      <c r="V462" s="106" t="s">
        <v>547</v>
      </c>
      <c r="W462" s="106" t="s">
        <v>548</v>
      </c>
      <c r="X462" s="106" t="s">
        <v>549</v>
      </c>
      <c r="Y462" s="216" t="s">
        <v>563</v>
      </c>
    </row>
    <row r="463" spans="1:25" x14ac:dyDescent="0.25">
      <c r="A463" s="151" t="s">
        <v>369</v>
      </c>
      <c r="B463" s="123">
        <v>2516</v>
      </c>
      <c r="C463" s="123">
        <v>2344</v>
      </c>
      <c r="D463" s="123">
        <v>2403</v>
      </c>
      <c r="E463" s="123">
        <v>2672</v>
      </c>
      <c r="F463" s="123">
        <v>2252</v>
      </c>
      <c r="G463" s="123">
        <v>2222</v>
      </c>
      <c r="H463" s="123">
        <v>1847</v>
      </c>
      <c r="I463" s="123">
        <v>1580</v>
      </c>
      <c r="J463" s="123">
        <v>2156</v>
      </c>
      <c r="K463" s="123">
        <v>2835</v>
      </c>
      <c r="L463" s="123">
        <v>2264</v>
      </c>
      <c r="M463" s="123">
        <v>2546</v>
      </c>
      <c r="N463" s="123">
        <v>1562</v>
      </c>
      <c r="O463" s="123">
        <v>1464</v>
      </c>
      <c r="P463" s="123">
        <v>1284</v>
      </c>
      <c r="Q463" s="123">
        <v>1216</v>
      </c>
      <c r="R463" s="123">
        <v>1796</v>
      </c>
      <c r="S463" s="123">
        <v>2042</v>
      </c>
      <c r="T463" s="123">
        <v>2014</v>
      </c>
      <c r="U463" s="149">
        <f t="shared" ref="U463:U478" si="152">(T463-K463)/K463</f>
        <v>-0.28959435626102292</v>
      </c>
      <c r="V463" s="149">
        <f t="shared" ref="V463:V478" si="153">(T463-P463)/P463</f>
        <v>0.56853582554517135</v>
      </c>
      <c r="W463" s="149">
        <f t="shared" ref="W463:W478" si="154">(T463-S463)/S463</f>
        <v>-1.3712047012732615E-2</v>
      </c>
      <c r="X463" s="218">
        <f>T463/T$15</f>
        <v>1.2656955040786315E-2</v>
      </c>
      <c r="Y463" s="219">
        <f t="shared" ref="Y463:Y478" si="155">T463-S463</f>
        <v>-28</v>
      </c>
    </row>
    <row r="464" spans="1:25" x14ac:dyDescent="0.25">
      <c r="A464" s="151" t="s">
        <v>418</v>
      </c>
      <c r="B464" s="123">
        <v>1507</v>
      </c>
      <c r="C464" s="123">
        <v>1759</v>
      </c>
      <c r="D464" s="123">
        <v>2026</v>
      </c>
      <c r="E464" s="123">
        <v>2251</v>
      </c>
      <c r="F464" s="123">
        <v>2145</v>
      </c>
      <c r="G464" s="123">
        <v>2551</v>
      </c>
      <c r="H464" s="123">
        <v>2828</v>
      </c>
      <c r="I464" s="123">
        <v>3114</v>
      </c>
      <c r="J464" s="123">
        <v>3092</v>
      </c>
      <c r="K464" s="123">
        <v>4079</v>
      </c>
      <c r="L464" s="123">
        <v>3567</v>
      </c>
      <c r="M464" s="123">
        <v>4211</v>
      </c>
      <c r="N464" s="123">
        <v>1993</v>
      </c>
      <c r="O464" s="123">
        <v>1607</v>
      </c>
      <c r="P464" s="123">
        <v>1531</v>
      </c>
      <c r="Q464" s="123">
        <v>1320</v>
      </c>
      <c r="R464" s="123">
        <v>1813</v>
      </c>
      <c r="S464" s="123">
        <v>2051</v>
      </c>
      <c r="T464" s="123">
        <v>2005</v>
      </c>
      <c r="U464" s="149">
        <f t="shared" si="152"/>
        <v>-0.50845795538122085</v>
      </c>
      <c r="V464" s="149">
        <f t="shared" si="153"/>
        <v>0.30960156760287394</v>
      </c>
      <c r="W464" s="149">
        <f t="shared" si="154"/>
        <v>-2.2428083861530959E-2</v>
      </c>
      <c r="X464" s="218">
        <f t="shared" ref="X464:X478" si="156">T464/T$15</f>
        <v>1.2600394665728184E-2</v>
      </c>
      <c r="Y464" s="219">
        <f t="shared" si="155"/>
        <v>-46</v>
      </c>
    </row>
    <row r="465" spans="1:25" x14ac:dyDescent="0.25">
      <c r="A465" s="151" t="s">
        <v>419</v>
      </c>
      <c r="B465" s="123">
        <v>4202</v>
      </c>
      <c r="C465" s="123">
        <v>4750</v>
      </c>
      <c r="D465" s="123">
        <v>4875</v>
      </c>
      <c r="E465" s="123">
        <v>5037</v>
      </c>
      <c r="F465" s="123">
        <v>4675</v>
      </c>
      <c r="G465" s="123">
        <v>4239</v>
      </c>
      <c r="H465" s="123">
        <v>3270</v>
      </c>
      <c r="I465" s="123">
        <v>2777</v>
      </c>
      <c r="J465" s="123">
        <v>2869</v>
      </c>
      <c r="K465" s="123">
        <v>2960</v>
      </c>
      <c r="L465" s="123">
        <v>1830</v>
      </c>
      <c r="M465" s="123">
        <v>2032</v>
      </c>
      <c r="N465" s="123">
        <v>1878</v>
      </c>
      <c r="O465" s="123">
        <v>1472</v>
      </c>
      <c r="P465" s="123">
        <v>1080</v>
      </c>
      <c r="Q465" s="123">
        <v>1041</v>
      </c>
      <c r="R465" s="123">
        <v>1748</v>
      </c>
      <c r="S465" s="123">
        <v>1890</v>
      </c>
      <c r="T465" s="123">
        <v>1918</v>
      </c>
      <c r="U465" s="149">
        <f t="shared" si="152"/>
        <v>-0.35202702702702704</v>
      </c>
      <c r="V465" s="149">
        <f t="shared" si="153"/>
        <v>0.77592592592592591</v>
      </c>
      <c r="W465" s="149">
        <f t="shared" si="154"/>
        <v>1.4814814814814815E-2</v>
      </c>
      <c r="X465" s="218">
        <f t="shared" si="156"/>
        <v>1.2053644373499579E-2</v>
      </c>
      <c r="Y465" s="219">
        <f t="shared" si="155"/>
        <v>28</v>
      </c>
    </row>
    <row r="466" spans="1:25" x14ac:dyDescent="0.25">
      <c r="A466" s="151" t="s">
        <v>417</v>
      </c>
      <c r="B466" s="123">
        <v>5330</v>
      </c>
      <c r="C466" s="123">
        <v>4575</v>
      </c>
      <c r="D466" s="123">
        <v>4342</v>
      </c>
      <c r="E466" s="123">
        <v>4344</v>
      </c>
      <c r="F466" s="123">
        <v>3631</v>
      </c>
      <c r="G466" s="123">
        <v>3238</v>
      </c>
      <c r="H466" s="123">
        <v>2426</v>
      </c>
      <c r="I466" s="123">
        <v>1924</v>
      </c>
      <c r="J466" s="123">
        <v>1869</v>
      </c>
      <c r="K466" s="123">
        <v>1965</v>
      </c>
      <c r="L466" s="123">
        <v>1808</v>
      </c>
      <c r="M466" s="123">
        <v>2013</v>
      </c>
      <c r="N466" s="123">
        <v>1919</v>
      </c>
      <c r="O466" s="123">
        <v>1694</v>
      </c>
      <c r="P466" s="123">
        <v>1279</v>
      </c>
      <c r="Q466" s="123">
        <v>1107</v>
      </c>
      <c r="R466" s="123">
        <v>1780</v>
      </c>
      <c r="S466" s="123">
        <v>1921</v>
      </c>
      <c r="T466" s="123">
        <v>1831</v>
      </c>
      <c r="U466" s="149">
        <f t="shared" si="152"/>
        <v>-6.8193384223918574E-2</v>
      </c>
      <c r="V466" s="149">
        <f t="shared" si="153"/>
        <v>0.43158717748240816</v>
      </c>
      <c r="W466" s="149">
        <f t="shared" si="154"/>
        <v>-4.6850598646538261E-2</v>
      </c>
      <c r="X466" s="218">
        <f t="shared" si="156"/>
        <v>1.1506894081270974E-2</v>
      </c>
      <c r="Y466" s="219">
        <f t="shared" si="155"/>
        <v>-90</v>
      </c>
    </row>
    <row r="467" spans="1:25" x14ac:dyDescent="0.25">
      <c r="A467" s="151" t="s">
        <v>374</v>
      </c>
      <c r="B467" s="123">
        <v>2650</v>
      </c>
      <c r="C467" s="123">
        <v>2921</v>
      </c>
      <c r="D467" s="123">
        <v>2960</v>
      </c>
      <c r="E467" s="123">
        <v>2947</v>
      </c>
      <c r="F467" s="123">
        <v>3016</v>
      </c>
      <c r="G467" s="123">
        <v>2803</v>
      </c>
      <c r="H467" s="123">
        <v>2298</v>
      </c>
      <c r="I467" s="123">
        <v>2117</v>
      </c>
      <c r="J467" s="123">
        <v>2053</v>
      </c>
      <c r="K467" s="123">
        <v>2062</v>
      </c>
      <c r="L467" s="123">
        <v>1733</v>
      </c>
      <c r="M467" s="123">
        <v>1957</v>
      </c>
      <c r="N467" s="123">
        <v>1934</v>
      </c>
      <c r="O467" s="123">
        <v>1840</v>
      </c>
      <c r="P467" s="123">
        <v>1502</v>
      </c>
      <c r="Q467" s="123">
        <v>1608</v>
      </c>
      <c r="R467" s="123">
        <v>1985</v>
      </c>
      <c r="S467" s="123">
        <v>1878</v>
      </c>
      <c r="T467" s="123">
        <v>1808</v>
      </c>
      <c r="U467" s="149">
        <f t="shared" si="152"/>
        <v>-0.12318137730358875</v>
      </c>
      <c r="V467" s="149">
        <f t="shared" si="153"/>
        <v>0.20372836218375498</v>
      </c>
      <c r="W467" s="149">
        <f t="shared" si="154"/>
        <v>-3.727369542066028E-2</v>
      </c>
      <c r="X467" s="218">
        <f t="shared" si="156"/>
        <v>1.1362350900566861E-2</v>
      </c>
      <c r="Y467" s="219">
        <f t="shared" si="155"/>
        <v>-70</v>
      </c>
    </row>
    <row r="468" spans="1:25" x14ac:dyDescent="0.25">
      <c r="A468" s="151" t="s">
        <v>425</v>
      </c>
      <c r="B468" s="123">
        <v>968</v>
      </c>
      <c r="C468" s="123">
        <v>1027</v>
      </c>
      <c r="D468" s="123">
        <v>1060</v>
      </c>
      <c r="E468" s="123">
        <v>1083</v>
      </c>
      <c r="F468" s="123">
        <v>1080</v>
      </c>
      <c r="G468" s="123">
        <v>1070</v>
      </c>
      <c r="H468" s="123">
        <v>926</v>
      </c>
      <c r="I468" s="123">
        <v>867</v>
      </c>
      <c r="J468" s="123">
        <v>881</v>
      </c>
      <c r="K468" s="123">
        <v>948</v>
      </c>
      <c r="L468" s="123">
        <v>932</v>
      </c>
      <c r="M468" s="123">
        <v>1044</v>
      </c>
      <c r="N468" s="123">
        <v>1112</v>
      </c>
      <c r="O468" s="123">
        <v>1069</v>
      </c>
      <c r="P468" s="123">
        <v>815</v>
      </c>
      <c r="Q468" s="123">
        <v>744</v>
      </c>
      <c r="R468" s="123">
        <v>1039</v>
      </c>
      <c r="S468" s="123">
        <v>1018</v>
      </c>
      <c r="T468" s="123">
        <v>1085</v>
      </c>
      <c r="U468" s="149">
        <f t="shared" si="152"/>
        <v>0.14451476793248946</v>
      </c>
      <c r="V468" s="149">
        <f t="shared" si="153"/>
        <v>0.33128834355828218</v>
      </c>
      <c r="W468" s="149">
        <f t="shared" si="154"/>
        <v>6.5815324165029471E-2</v>
      </c>
      <c r="X468" s="218">
        <f t="shared" si="156"/>
        <v>6.8186674375636308E-3</v>
      </c>
      <c r="Y468" s="219">
        <f t="shared" si="155"/>
        <v>67</v>
      </c>
    </row>
    <row r="469" spans="1:25" x14ac:dyDescent="0.25">
      <c r="A469" s="151" t="s">
        <v>426</v>
      </c>
      <c r="B469" s="123">
        <v>878</v>
      </c>
      <c r="C469" s="123">
        <v>1030</v>
      </c>
      <c r="D469" s="123">
        <v>1036</v>
      </c>
      <c r="E469" s="123">
        <v>1024</v>
      </c>
      <c r="F469" s="123">
        <v>1241</v>
      </c>
      <c r="G469" s="123">
        <v>1089</v>
      </c>
      <c r="H469" s="123">
        <v>866</v>
      </c>
      <c r="I469" s="123">
        <v>809</v>
      </c>
      <c r="J469" s="123">
        <v>878</v>
      </c>
      <c r="K469" s="123">
        <v>824</v>
      </c>
      <c r="L469" s="123">
        <v>898</v>
      </c>
      <c r="M469" s="123">
        <v>1028</v>
      </c>
      <c r="N469" s="123">
        <v>1057</v>
      </c>
      <c r="O469" s="123">
        <v>1007</v>
      </c>
      <c r="P469" s="123">
        <v>789</v>
      </c>
      <c r="Q469" s="123">
        <v>681</v>
      </c>
      <c r="R469" s="123">
        <v>674</v>
      </c>
      <c r="S469" s="123">
        <v>591</v>
      </c>
      <c r="T469" s="123">
        <v>691</v>
      </c>
      <c r="U469" s="149">
        <f t="shared" si="152"/>
        <v>-0.16140776699029127</v>
      </c>
      <c r="V469" s="149">
        <f t="shared" si="153"/>
        <v>-0.12420785804816223</v>
      </c>
      <c r="W469" s="149">
        <f t="shared" si="154"/>
        <v>0.16920473773265651</v>
      </c>
      <c r="X469" s="218">
        <f t="shared" si="156"/>
        <v>4.3425799072409847E-3</v>
      </c>
      <c r="Y469" s="219">
        <f t="shared" si="155"/>
        <v>100</v>
      </c>
    </row>
    <row r="470" spans="1:25" x14ac:dyDescent="0.25">
      <c r="A470" s="151" t="s">
        <v>424</v>
      </c>
      <c r="B470" s="123">
        <v>1497</v>
      </c>
      <c r="C470" s="123">
        <v>1672</v>
      </c>
      <c r="D470" s="123">
        <v>1660</v>
      </c>
      <c r="E470" s="123">
        <v>1719</v>
      </c>
      <c r="F470" s="123">
        <v>1579</v>
      </c>
      <c r="G470" s="123">
        <v>1475</v>
      </c>
      <c r="H470" s="123">
        <v>1155</v>
      </c>
      <c r="I470" s="123">
        <v>1039</v>
      </c>
      <c r="J470" s="123">
        <v>957</v>
      </c>
      <c r="K470" s="123">
        <v>991</v>
      </c>
      <c r="L470" s="123">
        <v>860</v>
      </c>
      <c r="M470" s="123">
        <v>990</v>
      </c>
      <c r="N470" s="123">
        <v>969</v>
      </c>
      <c r="O470" s="123">
        <v>777</v>
      </c>
      <c r="P470" s="123">
        <v>607</v>
      </c>
      <c r="Q470" s="123">
        <v>568</v>
      </c>
      <c r="R470" s="123">
        <v>784</v>
      </c>
      <c r="S470" s="123">
        <v>648</v>
      </c>
      <c r="T470" s="123">
        <v>672</v>
      </c>
      <c r="U470" s="149">
        <f t="shared" si="152"/>
        <v>-0.32189707366296672</v>
      </c>
      <c r="V470" s="149">
        <f t="shared" si="153"/>
        <v>0.1070840197693575</v>
      </c>
      <c r="W470" s="149">
        <f t="shared" si="154"/>
        <v>3.7037037037037035E-2</v>
      </c>
      <c r="X470" s="218">
        <f t="shared" si="156"/>
        <v>4.2231746710071514E-3</v>
      </c>
      <c r="Y470" s="219">
        <f t="shared" si="155"/>
        <v>24</v>
      </c>
    </row>
    <row r="471" spans="1:25" x14ac:dyDescent="0.25">
      <c r="A471" s="151" t="s">
        <v>416</v>
      </c>
      <c r="B471" s="123">
        <v>1100</v>
      </c>
      <c r="C471" s="123">
        <v>1128</v>
      </c>
      <c r="D471" s="123">
        <v>1110</v>
      </c>
      <c r="E471" s="123">
        <v>1034</v>
      </c>
      <c r="F471" s="123">
        <v>972</v>
      </c>
      <c r="G471" s="123">
        <v>708</v>
      </c>
      <c r="H471" s="123">
        <v>561</v>
      </c>
      <c r="I471" s="123">
        <v>591</v>
      </c>
      <c r="J471" s="123">
        <v>642</v>
      </c>
      <c r="K471" s="123">
        <v>703</v>
      </c>
      <c r="L471" s="123">
        <v>762</v>
      </c>
      <c r="M471" s="123">
        <v>861</v>
      </c>
      <c r="N471" s="123">
        <v>873</v>
      </c>
      <c r="O471" s="123">
        <v>788</v>
      </c>
      <c r="P471" s="123">
        <v>458</v>
      </c>
      <c r="Q471" s="123">
        <v>348</v>
      </c>
      <c r="R471" s="123">
        <v>523</v>
      </c>
      <c r="S471" s="123">
        <v>498</v>
      </c>
      <c r="T471" s="123">
        <v>593</v>
      </c>
      <c r="U471" s="149">
        <f t="shared" si="152"/>
        <v>-0.15647226173541964</v>
      </c>
      <c r="V471" s="149">
        <f t="shared" si="153"/>
        <v>0.29475982532751094</v>
      </c>
      <c r="W471" s="149">
        <f t="shared" si="154"/>
        <v>0.19076305220883535</v>
      </c>
      <c r="X471" s="218">
        <f t="shared" si="156"/>
        <v>3.7267002677191085E-3</v>
      </c>
      <c r="Y471" s="219">
        <f t="shared" si="155"/>
        <v>95</v>
      </c>
    </row>
    <row r="472" spans="1:25" x14ac:dyDescent="0.25">
      <c r="A472" s="151" t="s">
        <v>415</v>
      </c>
      <c r="B472" s="123">
        <v>722</v>
      </c>
      <c r="C472" s="123">
        <v>874</v>
      </c>
      <c r="D472" s="123">
        <v>795</v>
      </c>
      <c r="E472" s="123">
        <v>831</v>
      </c>
      <c r="F472" s="123">
        <v>853</v>
      </c>
      <c r="G472" s="123">
        <v>823</v>
      </c>
      <c r="H472" s="123">
        <v>776</v>
      </c>
      <c r="I472" s="123">
        <v>760</v>
      </c>
      <c r="J472" s="123">
        <v>784</v>
      </c>
      <c r="K472" s="123">
        <v>773</v>
      </c>
      <c r="L472" s="123">
        <v>699</v>
      </c>
      <c r="M472" s="123">
        <v>757</v>
      </c>
      <c r="N472" s="123">
        <v>732</v>
      </c>
      <c r="O472" s="123">
        <v>678</v>
      </c>
      <c r="P472" s="123">
        <v>459</v>
      </c>
      <c r="Q472" s="123">
        <v>410</v>
      </c>
      <c r="R472" s="123">
        <v>506</v>
      </c>
      <c r="S472" s="123">
        <v>516</v>
      </c>
      <c r="T472" s="123">
        <v>552</v>
      </c>
      <c r="U472" s="149">
        <f t="shared" si="152"/>
        <v>-0.28589909443725742</v>
      </c>
      <c r="V472" s="149">
        <f t="shared" si="153"/>
        <v>0.20261437908496732</v>
      </c>
      <c r="W472" s="149">
        <f t="shared" si="154"/>
        <v>6.9767441860465115E-2</v>
      </c>
      <c r="X472" s="218">
        <f t="shared" si="156"/>
        <v>3.469036336898732E-3</v>
      </c>
      <c r="Y472" s="219">
        <f t="shared" si="155"/>
        <v>36</v>
      </c>
    </row>
    <row r="473" spans="1:25" x14ac:dyDescent="0.25">
      <c r="A473" s="151" t="s">
        <v>423</v>
      </c>
      <c r="B473" s="123">
        <v>442</v>
      </c>
      <c r="C473" s="123">
        <v>361</v>
      </c>
      <c r="D473" s="123">
        <v>349</v>
      </c>
      <c r="E473" s="123">
        <v>288</v>
      </c>
      <c r="F473" s="123">
        <v>235</v>
      </c>
      <c r="G473" s="123">
        <v>273</v>
      </c>
      <c r="H473" s="123">
        <v>325</v>
      </c>
      <c r="I473" s="123">
        <v>228</v>
      </c>
      <c r="J473" s="123">
        <v>292</v>
      </c>
      <c r="K473" s="123">
        <v>262</v>
      </c>
      <c r="L473" s="123">
        <v>228</v>
      </c>
      <c r="M473" s="123">
        <v>218</v>
      </c>
      <c r="N473" s="123">
        <v>189</v>
      </c>
      <c r="O473" s="123">
        <v>203</v>
      </c>
      <c r="P473" s="123">
        <v>162</v>
      </c>
      <c r="Q473" s="123">
        <v>109</v>
      </c>
      <c r="R473" s="123">
        <v>143</v>
      </c>
      <c r="S473" s="123">
        <v>117</v>
      </c>
      <c r="T473" s="123">
        <v>115</v>
      </c>
      <c r="U473" s="149">
        <f t="shared" si="152"/>
        <v>-0.56106870229007633</v>
      </c>
      <c r="V473" s="149">
        <f t="shared" si="153"/>
        <v>-0.29012345679012347</v>
      </c>
      <c r="W473" s="149">
        <f t="shared" si="154"/>
        <v>-1.7094017094017096E-2</v>
      </c>
      <c r="X473" s="218">
        <f t="shared" si="156"/>
        <v>7.2271590352056909E-4</v>
      </c>
      <c r="Y473" s="219">
        <f t="shared" si="155"/>
        <v>-2</v>
      </c>
    </row>
    <row r="474" spans="1:25" x14ac:dyDescent="0.25">
      <c r="A474" s="151" t="s">
        <v>421</v>
      </c>
      <c r="B474" s="123">
        <v>93</v>
      </c>
      <c r="C474" s="123">
        <v>88</v>
      </c>
      <c r="D474" s="123">
        <v>96</v>
      </c>
      <c r="E474" s="123">
        <v>44</v>
      </c>
      <c r="F474" s="123">
        <v>60</v>
      </c>
      <c r="G474" s="123">
        <v>26</v>
      </c>
      <c r="H474" s="123">
        <v>11</v>
      </c>
      <c r="I474" s="123">
        <v>15</v>
      </c>
      <c r="J474" s="123">
        <v>51</v>
      </c>
      <c r="K474" s="123">
        <v>36</v>
      </c>
      <c r="L474" s="123">
        <v>47</v>
      </c>
      <c r="M474" s="123">
        <v>75</v>
      </c>
      <c r="N474" s="123">
        <v>70</v>
      </c>
      <c r="O474" s="123">
        <v>82</v>
      </c>
      <c r="P474" s="123">
        <v>105</v>
      </c>
      <c r="Q474" s="123">
        <v>48</v>
      </c>
      <c r="R474" s="123">
        <v>30</v>
      </c>
      <c r="S474" s="123">
        <v>77</v>
      </c>
      <c r="T474" s="123">
        <v>72</v>
      </c>
      <c r="U474" s="149">
        <f t="shared" si="152"/>
        <v>1</v>
      </c>
      <c r="V474" s="149">
        <f t="shared" si="153"/>
        <v>-0.31428571428571428</v>
      </c>
      <c r="W474" s="149">
        <f t="shared" si="154"/>
        <v>-6.4935064935064929E-2</v>
      </c>
      <c r="X474" s="218">
        <f t="shared" si="156"/>
        <v>4.5248300046505199E-4</v>
      </c>
      <c r="Y474" s="219">
        <f t="shared" si="155"/>
        <v>-5</v>
      </c>
    </row>
    <row r="475" spans="1:25" x14ac:dyDescent="0.25">
      <c r="A475" s="151" t="s">
        <v>427</v>
      </c>
      <c r="B475" s="123">
        <v>234</v>
      </c>
      <c r="C475" s="123">
        <v>276</v>
      </c>
      <c r="D475" s="123">
        <v>419</v>
      </c>
      <c r="E475" s="123">
        <v>634</v>
      </c>
      <c r="F475" s="123">
        <v>705</v>
      </c>
      <c r="G475" s="123">
        <v>576</v>
      </c>
      <c r="H475" s="123">
        <v>533</v>
      </c>
      <c r="I475" s="123">
        <v>403</v>
      </c>
      <c r="J475" s="123">
        <v>401</v>
      </c>
      <c r="K475" s="123">
        <v>387</v>
      </c>
      <c r="L475" s="123">
        <v>389</v>
      </c>
      <c r="M475" s="123">
        <v>372</v>
      </c>
      <c r="N475" s="123">
        <v>437</v>
      </c>
      <c r="O475" s="123">
        <v>390</v>
      </c>
      <c r="P475" s="123">
        <v>437</v>
      </c>
      <c r="Q475" s="123">
        <v>132</v>
      </c>
      <c r="R475" s="123">
        <v>30</v>
      </c>
      <c r="S475" s="123">
        <v>31</v>
      </c>
      <c r="T475" s="123">
        <v>24</v>
      </c>
      <c r="U475" s="149">
        <f t="shared" si="152"/>
        <v>-0.93798449612403101</v>
      </c>
      <c r="V475" s="149">
        <f t="shared" si="153"/>
        <v>-0.94508009153318073</v>
      </c>
      <c r="W475" s="149">
        <f t="shared" si="154"/>
        <v>-0.22580645161290322</v>
      </c>
      <c r="X475" s="218">
        <f t="shared" si="156"/>
        <v>1.50827666821684E-4</v>
      </c>
      <c r="Y475" s="219">
        <f t="shared" si="155"/>
        <v>-7</v>
      </c>
    </row>
    <row r="476" spans="1:25" x14ac:dyDescent="0.25">
      <c r="A476" s="151" t="s">
        <v>422</v>
      </c>
      <c r="B476" s="123">
        <v>28</v>
      </c>
      <c r="C476" s="123">
        <v>30</v>
      </c>
      <c r="D476" s="123">
        <v>35</v>
      </c>
      <c r="E476" s="123">
        <v>27</v>
      </c>
      <c r="F476" s="123">
        <v>17</v>
      </c>
      <c r="G476" s="123">
        <v>6</v>
      </c>
      <c r="H476" s="123">
        <v>0</v>
      </c>
      <c r="I476" s="123">
        <v>0</v>
      </c>
      <c r="J476" s="123">
        <v>0</v>
      </c>
      <c r="K476" s="123">
        <v>0</v>
      </c>
      <c r="L476" s="123">
        <v>0</v>
      </c>
      <c r="M476" s="123">
        <v>0</v>
      </c>
      <c r="N476" s="123">
        <v>0</v>
      </c>
      <c r="O476" s="123">
        <v>0</v>
      </c>
      <c r="P476" s="123">
        <v>0</v>
      </c>
      <c r="Q476" s="123">
        <v>0</v>
      </c>
      <c r="R476" s="123">
        <v>0</v>
      </c>
      <c r="S476" s="123">
        <v>0</v>
      </c>
      <c r="T476" s="123">
        <v>0</v>
      </c>
      <c r="U476" s="149" t="s">
        <v>130</v>
      </c>
      <c r="V476" s="149" t="s">
        <v>130</v>
      </c>
      <c r="W476" s="149" t="s">
        <v>130</v>
      </c>
      <c r="X476" s="218">
        <f t="shared" si="156"/>
        <v>0</v>
      </c>
      <c r="Y476" s="219">
        <f t="shared" si="155"/>
        <v>0</v>
      </c>
    </row>
    <row r="477" spans="1:25" x14ac:dyDescent="0.25">
      <c r="A477" s="151" t="s">
        <v>420</v>
      </c>
      <c r="B477" s="123">
        <v>177</v>
      </c>
      <c r="C477" s="123">
        <v>197</v>
      </c>
      <c r="D477" s="123">
        <v>114</v>
      </c>
      <c r="E477" s="123">
        <v>201</v>
      </c>
      <c r="F477" s="123">
        <v>205</v>
      </c>
      <c r="G477" s="123">
        <v>175</v>
      </c>
      <c r="H477" s="123">
        <v>221</v>
      </c>
      <c r="I477" s="123">
        <v>72</v>
      </c>
      <c r="J477" s="123">
        <v>77</v>
      </c>
      <c r="K477" s="123">
        <v>0</v>
      </c>
      <c r="L477" s="123">
        <v>32</v>
      </c>
      <c r="M477" s="123">
        <v>27</v>
      </c>
      <c r="N477" s="123">
        <v>0</v>
      </c>
      <c r="O477" s="123">
        <v>0</v>
      </c>
      <c r="P477" s="123">
        <v>0</v>
      </c>
      <c r="Q477" s="123">
        <v>0</v>
      </c>
      <c r="R477" s="123">
        <v>0</v>
      </c>
      <c r="S477" s="123">
        <v>0</v>
      </c>
      <c r="T477" s="123">
        <v>0</v>
      </c>
      <c r="U477" s="149" t="s">
        <v>130</v>
      </c>
      <c r="V477" s="149" t="s">
        <v>130</v>
      </c>
      <c r="W477" s="149" t="s">
        <v>130</v>
      </c>
      <c r="X477" s="218">
        <f t="shared" si="156"/>
        <v>0</v>
      </c>
      <c r="Y477" s="219">
        <f t="shared" si="155"/>
        <v>0</v>
      </c>
    </row>
    <row r="478" spans="1:25" x14ac:dyDescent="0.25">
      <c r="A478" s="80" t="s">
        <v>0</v>
      </c>
      <c r="B478" s="89">
        <v>25626</v>
      </c>
      <c r="C478" s="89">
        <v>26471</v>
      </c>
      <c r="D478" s="89">
        <v>26831</v>
      </c>
      <c r="E478" s="89">
        <v>29005</v>
      </c>
      <c r="F478" s="89">
        <v>27323</v>
      </c>
      <c r="G478" s="89">
        <v>25318</v>
      </c>
      <c r="H478" s="89">
        <v>21605</v>
      </c>
      <c r="I478" s="89">
        <v>19171</v>
      </c>
      <c r="J478" s="89">
        <v>17043</v>
      </c>
      <c r="K478" s="89">
        <v>18825</v>
      </c>
      <c r="L478" s="89">
        <v>16049</v>
      </c>
      <c r="M478" s="89">
        <v>18131</v>
      </c>
      <c r="N478" s="89">
        <v>14725</v>
      </c>
      <c r="O478" s="89">
        <v>13073</v>
      </c>
      <c r="P478" s="89">
        <v>10508</v>
      </c>
      <c r="Q478" s="89">
        <v>9332</v>
      </c>
      <c r="R478" s="89">
        <v>12851</v>
      </c>
      <c r="S478" s="89">
        <v>13278</v>
      </c>
      <c r="T478" s="89">
        <v>13380</v>
      </c>
      <c r="U478" s="150">
        <f t="shared" si="152"/>
        <v>-0.28924302788844619</v>
      </c>
      <c r="V478" s="150">
        <f t="shared" si="153"/>
        <v>0.27331556909021698</v>
      </c>
      <c r="W478" s="150">
        <f t="shared" si="154"/>
        <v>7.6818798011748755E-3</v>
      </c>
      <c r="X478" s="218">
        <f t="shared" si="156"/>
        <v>8.4086424253088821E-2</v>
      </c>
      <c r="Y478" s="221">
        <f t="shared" si="155"/>
        <v>102</v>
      </c>
    </row>
    <row r="479" spans="1:25" x14ac:dyDescent="0.25">
      <c r="A479" s="154"/>
      <c r="B479" s="155"/>
      <c r="C479" s="155"/>
      <c r="D479" s="155"/>
      <c r="E479" s="198"/>
      <c r="F479" s="198"/>
      <c r="G479" s="198"/>
      <c r="H479" s="198"/>
      <c r="I479" s="198"/>
      <c r="J479" s="198"/>
      <c r="K479" s="198"/>
      <c r="L479" s="198"/>
      <c r="M479" s="198"/>
      <c r="N479" s="198"/>
      <c r="O479" s="198"/>
      <c r="P479" s="198"/>
      <c r="Q479" s="198"/>
      <c r="R479" s="198"/>
      <c r="S479" s="198"/>
      <c r="T479" s="198"/>
      <c r="U479" s="153"/>
      <c r="V479" s="153"/>
      <c r="W479" s="153"/>
      <c r="X479" s="153"/>
      <c r="Y479" s="153"/>
    </row>
    <row r="480" spans="1:25" ht="15.75" x14ac:dyDescent="0.25">
      <c r="A480" s="22" t="s">
        <v>371</v>
      </c>
      <c r="B480" s="22"/>
      <c r="C480" s="22"/>
      <c r="D480" s="22"/>
      <c r="E480" s="22"/>
      <c r="F480" s="22"/>
      <c r="G480" s="22"/>
      <c r="H480" s="22"/>
      <c r="I480" s="3"/>
      <c r="J480" s="3"/>
      <c r="K480" s="3"/>
      <c r="L480" s="3"/>
      <c r="N480" s="3"/>
      <c r="O480" s="3"/>
      <c r="P480" s="3"/>
      <c r="Q480" s="3"/>
      <c r="R480" s="3"/>
      <c r="S480" s="3"/>
      <c r="T480" s="3"/>
      <c r="U480" s="27"/>
      <c r="V480" s="27"/>
      <c r="W480" s="27"/>
      <c r="X480" s="27"/>
      <c r="Y480" s="27"/>
    </row>
    <row r="481" spans="1:25" ht="30" customHeight="1" x14ac:dyDescent="0.25">
      <c r="A481" s="120" t="s">
        <v>372</v>
      </c>
      <c r="B481" s="105">
        <v>2007</v>
      </c>
      <c r="C481" s="105">
        <v>2008</v>
      </c>
      <c r="D481" s="105">
        <v>2009</v>
      </c>
      <c r="E481" s="105">
        <v>2010</v>
      </c>
      <c r="F481" s="105">
        <v>2011</v>
      </c>
      <c r="G481" s="105">
        <v>2012</v>
      </c>
      <c r="H481" s="105">
        <v>2013</v>
      </c>
      <c r="I481" s="105">
        <v>2014</v>
      </c>
      <c r="J481" s="105">
        <v>2015</v>
      </c>
      <c r="K481" s="105">
        <v>2016</v>
      </c>
      <c r="L481" s="105">
        <v>2017</v>
      </c>
      <c r="M481" s="132">
        <v>2018</v>
      </c>
      <c r="N481" s="105">
        <v>2019</v>
      </c>
      <c r="O481" s="105">
        <v>2020</v>
      </c>
      <c r="P481" s="105">
        <v>2021</v>
      </c>
      <c r="Q481" s="105">
        <v>2022</v>
      </c>
      <c r="R481" s="105">
        <v>2023</v>
      </c>
      <c r="S481" s="105">
        <v>2024</v>
      </c>
      <c r="T481" s="105">
        <v>2025</v>
      </c>
      <c r="U481" s="106" t="s">
        <v>546</v>
      </c>
      <c r="V481" s="106" t="s">
        <v>547</v>
      </c>
      <c r="W481" s="106" t="s">
        <v>548</v>
      </c>
      <c r="X481" s="106" t="s">
        <v>549</v>
      </c>
      <c r="Y481" s="216" t="s">
        <v>563</v>
      </c>
    </row>
    <row r="482" spans="1:25" x14ac:dyDescent="0.25">
      <c r="A482" s="88" t="s">
        <v>138</v>
      </c>
      <c r="B482" s="93">
        <v>371125</v>
      </c>
      <c r="C482" s="93">
        <v>391284</v>
      </c>
      <c r="D482" s="93">
        <v>430511</v>
      </c>
      <c r="E482" s="93">
        <v>478401</v>
      </c>
      <c r="F482" s="93">
        <v>521352</v>
      </c>
      <c r="G482" s="93">
        <v>551474</v>
      </c>
      <c r="H482" s="93">
        <v>574903</v>
      </c>
      <c r="I482" s="93">
        <v>592624</v>
      </c>
      <c r="J482" s="93">
        <v>603580</v>
      </c>
      <c r="K482" s="93">
        <v>614703</v>
      </c>
      <c r="L482" s="93">
        <v>618980</v>
      </c>
      <c r="M482" s="93">
        <v>628662</v>
      </c>
      <c r="N482" s="93">
        <v>632706</v>
      </c>
      <c r="O482" s="93">
        <v>614789</v>
      </c>
      <c r="P482" s="93">
        <v>651195</v>
      </c>
      <c r="Q482" s="123">
        <v>652143</v>
      </c>
      <c r="R482" s="123">
        <v>667131</v>
      </c>
      <c r="S482" s="123">
        <v>679197</v>
      </c>
      <c r="T482" s="123">
        <v>704925</v>
      </c>
      <c r="U482" s="149">
        <f t="shared" ref="U482:U485" si="157">(T482-K482)/K482</f>
        <v>0.14677331979834163</v>
      </c>
      <c r="V482" s="149">
        <f t="shared" ref="V482:V485" si="158">(T482-P482)/P482</f>
        <v>8.2509847280768434E-2</v>
      </c>
      <c r="W482" s="149">
        <f t="shared" ref="W482:W485" si="159">(T482-S482)/S482</f>
        <v>3.7880025971846164E-2</v>
      </c>
      <c r="X482" s="218">
        <f>T482/T$9</f>
        <v>0.53107935847828447</v>
      </c>
      <c r="Y482" s="219">
        <f t="shared" ref="Y482:Y485" si="160">T482-S482</f>
        <v>25728</v>
      </c>
    </row>
    <row r="483" spans="1:25" x14ac:dyDescent="0.25">
      <c r="A483" s="88" t="s">
        <v>139</v>
      </c>
      <c r="B483" s="93">
        <v>377219</v>
      </c>
      <c r="C483" s="93">
        <v>392065</v>
      </c>
      <c r="D483" s="93">
        <v>418829</v>
      </c>
      <c r="E483" s="93">
        <v>459857</v>
      </c>
      <c r="F483" s="93">
        <v>493725</v>
      </c>
      <c r="G483" s="93">
        <v>513342</v>
      </c>
      <c r="H483" s="93">
        <v>539374</v>
      </c>
      <c r="I483" s="93">
        <v>551757</v>
      </c>
      <c r="J483" s="93">
        <v>562326</v>
      </c>
      <c r="K483" s="93">
        <v>563777</v>
      </c>
      <c r="L483" s="93">
        <v>558312</v>
      </c>
      <c r="M483" s="93">
        <v>559383</v>
      </c>
      <c r="N483" s="93">
        <v>561753</v>
      </c>
      <c r="O483" s="93">
        <v>537045</v>
      </c>
      <c r="P483" s="93">
        <v>553181</v>
      </c>
      <c r="Q483" s="123">
        <v>561868</v>
      </c>
      <c r="R483" s="123">
        <v>582286</v>
      </c>
      <c r="S483" s="123">
        <v>598402</v>
      </c>
      <c r="T483" s="123">
        <v>622399</v>
      </c>
      <c r="U483" s="149">
        <f t="shared" si="157"/>
        <v>0.10398082929952801</v>
      </c>
      <c r="V483" s="149">
        <f t="shared" si="158"/>
        <v>0.12512721875841723</v>
      </c>
      <c r="W483" s="149">
        <f t="shared" si="159"/>
        <v>4.0101804472578634E-2</v>
      </c>
      <c r="X483" s="218">
        <f t="shared" ref="X483:X485" si="161">T483/T$9</f>
        <v>0.46890557383767884</v>
      </c>
      <c r="Y483" s="219">
        <f t="shared" si="160"/>
        <v>23997</v>
      </c>
    </row>
    <row r="484" spans="1:25" x14ac:dyDescent="0.25">
      <c r="A484" s="88" t="s">
        <v>604</v>
      </c>
      <c r="B484" s="93">
        <v>0</v>
      </c>
      <c r="C484" s="93">
        <v>0</v>
      </c>
      <c r="D484" s="93">
        <v>0</v>
      </c>
      <c r="E484" s="93">
        <v>0</v>
      </c>
      <c r="F484" s="93">
        <v>0</v>
      </c>
      <c r="G484" s="93">
        <v>0</v>
      </c>
      <c r="H484" s="93">
        <v>0</v>
      </c>
      <c r="I484" s="93">
        <v>0</v>
      </c>
      <c r="J484" s="93">
        <v>0</v>
      </c>
      <c r="K484" s="93">
        <v>0</v>
      </c>
      <c r="L484" s="93">
        <v>0</v>
      </c>
      <c r="M484" s="93">
        <v>0</v>
      </c>
      <c r="N484" s="93">
        <v>0</v>
      </c>
      <c r="O484" s="93">
        <v>0</v>
      </c>
      <c r="P484" s="93">
        <v>0</v>
      </c>
      <c r="Q484" s="123">
        <v>0</v>
      </c>
      <c r="R484" s="123">
        <v>2</v>
      </c>
      <c r="S484" s="123">
        <v>12</v>
      </c>
      <c r="T484" s="123">
        <v>20</v>
      </c>
      <c r="U484" s="149" t="s">
        <v>130</v>
      </c>
      <c r="V484" s="149" t="s">
        <v>130</v>
      </c>
      <c r="W484" s="149">
        <f t="shared" si="159"/>
        <v>0.66666666666666663</v>
      </c>
      <c r="X484" s="218">
        <f t="shared" si="161"/>
        <v>1.5067684036692825E-5</v>
      </c>
      <c r="Y484" s="219">
        <f t="shared" si="160"/>
        <v>8</v>
      </c>
    </row>
    <row r="485" spans="1:25" s="42" customFormat="1" x14ac:dyDescent="0.25">
      <c r="A485" s="92" t="s">
        <v>0</v>
      </c>
      <c r="B485" s="2">
        <v>748344</v>
      </c>
      <c r="C485" s="2">
        <v>783349</v>
      </c>
      <c r="D485" s="2">
        <v>849340</v>
      </c>
      <c r="E485" s="2">
        <v>938258</v>
      </c>
      <c r="F485" s="2">
        <v>1015077</v>
      </c>
      <c r="G485" s="2">
        <v>1064816</v>
      </c>
      <c r="H485" s="2">
        <v>1114277</v>
      </c>
      <c r="I485" s="2">
        <v>1144381</v>
      </c>
      <c r="J485" s="2">
        <v>1165906</v>
      </c>
      <c r="K485" s="2">
        <v>1178480</v>
      </c>
      <c r="L485" s="2">
        <v>1177292</v>
      </c>
      <c r="M485" s="2">
        <v>1188045</v>
      </c>
      <c r="N485" s="2">
        <v>1194459</v>
      </c>
      <c r="O485" s="2">
        <v>1151834</v>
      </c>
      <c r="P485" s="2">
        <v>1204376</v>
      </c>
      <c r="Q485" s="89">
        <v>1214011</v>
      </c>
      <c r="R485" s="89">
        <v>1249419</v>
      </c>
      <c r="S485" s="89">
        <v>1277611</v>
      </c>
      <c r="T485" s="89">
        <v>1327344</v>
      </c>
      <c r="U485" s="150">
        <f t="shared" si="157"/>
        <v>0.1263186477496436</v>
      </c>
      <c r="V485" s="150">
        <f t="shared" si="158"/>
        <v>0.10210100500176025</v>
      </c>
      <c r="W485" s="150">
        <f t="shared" si="159"/>
        <v>3.8926559023051616E-2</v>
      </c>
      <c r="X485" s="220">
        <f t="shared" si="161"/>
        <v>1</v>
      </c>
      <c r="Y485" s="221">
        <f t="shared" si="160"/>
        <v>49733</v>
      </c>
    </row>
    <row r="486" spans="1:25" x14ac:dyDescent="0.25">
      <c r="A486" s="3"/>
      <c r="U486" s="31"/>
      <c r="V486" s="27"/>
      <c r="W486" s="27"/>
      <c r="X486" s="27"/>
      <c r="Y486" s="27"/>
    </row>
    <row r="487" spans="1:25" ht="15.75" x14ac:dyDescent="0.25">
      <c r="A487" s="22" t="s">
        <v>447</v>
      </c>
      <c r="B487" s="22"/>
      <c r="C487" s="22"/>
      <c r="D487" s="22"/>
      <c r="E487" s="22"/>
      <c r="F487" s="22"/>
      <c r="G487" s="22"/>
      <c r="H487" s="22"/>
      <c r="I487" s="3"/>
      <c r="J487" s="3"/>
      <c r="K487" s="3"/>
      <c r="L487" s="3"/>
      <c r="N487" s="3"/>
      <c r="O487" s="3"/>
      <c r="P487" s="3"/>
      <c r="Q487" s="3"/>
      <c r="R487" s="3"/>
      <c r="S487" s="3"/>
      <c r="T487" s="3"/>
      <c r="U487" s="27"/>
      <c r="V487" s="27"/>
      <c r="W487" s="27"/>
      <c r="X487" s="27"/>
      <c r="Y487" s="27"/>
    </row>
    <row r="488" spans="1:25" ht="25.5" x14ac:dyDescent="0.25">
      <c r="A488" s="120" t="s">
        <v>372</v>
      </c>
      <c r="B488" s="105">
        <v>2007</v>
      </c>
      <c r="C488" s="105">
        <v>2008</v>
      </c>
      <c r="D488" s="105">
        <v>2009</v>
      </c>
      <c r="E488" s="105">
        <v>2010</v>
      </c>
      <c r="F488" s="105">
        <v>2011</v>
      </c>
      <c r="G488" s="105">
        <v>2012</v>
      </c>
      <c r="H488" s="105">
        <v>2013</v>
      </c>
      <c r="I488" s="105">
        <v>2014</v>
      </c>
      <c r="J488" s="105">
        <v>2015</v>
      </c>
      <c r="K488" s="105">
        <v>2016</v>
      </c>
      <c r="L488" s="105">
        <v>2017</v>
      </c>
      <c r="M488" s="132">
        <v>2018</v>
      </c>
      <c r="N488" s="105">
        <v>2019</v>
      </c>
      <c r="O488" s="105">
        <v>2020</v>
      </c>
      <c r="P488" s="105">
        <v>2021</v>
      </c>
      <c r="Q488" s="105">
        <v>2022</v>
      </c>
      <c r="R488" s="105">
        <v>2023</v>
      </c>
      <c r="S488" s="105">
        <v>2024</v>
      </c>
      <c r="T488" s="105">
        <v>2025</v>
      </c>
      <c r="U488" s="106" t="s">
        <v>546</v>
      </c>
      <c r="V488" s="106" t="s">
        <v>547</v>
      </c>
      <c r="W488" s="106" t="s">
        <v>548</v>
      </c>
      <c r="X488" s="106" t="s">
        <v>549</v>
      </c>
      <c r="Y488" s="216" t="s">
        <v>563</v>
      </c>
    </row>
    <row r="489" spans="1:25" x14ac:dyDescent="0.25">
      <c r="A489" s="88" t="s">
        <v>138</v>
      </c>
      <c r="B489" s="93">
        <v>119926</v>
      </c>
      <c r="C489" s="93">
        <v>126795</v>
      </c>
      <c r="D489" s="93">
        <v>143154</v>
      </c>
      <c r="E489" s="93">
        <v>160589</v>
      </c>
      <c r="F489" s="93">
        <v>167448</v>
      </c>
      <c r="G489" s="93">
        <v>171930</v>
      </c>
      <c r="H489" s="93">
        <v>173936</v>
      </c>
      <c r="I489" s="93">
        <v>172801</v>
      </c>
      <c r="J489" s="93">
        <v>170791</v>
      </c>
      <c r="K489" s="93">
        <v>173672</v>
      </c>
      <c r="L489" s="93">
        <v>175005</v>
      </c>
      <c r="M489" s="93">
        <v>178166</v>
      </c>
      <c r="N489" s="93">
        <v>172870</v>
      </c>
      <c r="O489" s="93">
        <v>160193</v>
      </c>
      <c r="P489" s="93">
        <v>169400</v>
      </c>
      <c r="Q489" s="123">
        <v>167930</v>
      </c>
      <c r="R489" s="123">
        <v>181408</v>
      </c>
      <c r="S489" s="123">
        <v>184563</v>
      </c>
      <c r="T489" s="123">
        <v>191766</v>
      </c>
      <c r="U489" s="149">
        <f>(T489-K489)/K489</f>
        <v>0.10418490027177668</v>
      </c>
      <c r="V489" s="149">
        <f>(T489-P489)/P489</f>
        <v>0.13203069657615113</v>
      </c>
      <c r="W489" s="149">
        <f>(T489-S489)/S489</f>
        <v>3.9027324003185905E-2</v>
      </c>
      <c r="X489" s="218">
        <f>T489/T$492</f>
        <v>0.52876314214890163</v>
      </c>
      <c r="Y489" s="219">
        <f t="shared" ref="Y489:Y492" si="162">T489-S489</f>
        <v>7203</v>
      </c>
    </row>
    <row r="490" spans="1:25" x14ac:dyDescent="0.25">
      <c r="A490" s="88" t="s">
        <v>139</v>
      </c>
      <c r="B490" s="93">
        <v>123453</v>
      </c>
      <c r="C490" s="93">
        <v>126169</v>
      </c>
      <c r="D490" s="93">
        <v>138493</v>
      </c>
      <c r="E490" s="93">
        <v>154469</v>
      </c>
      <c r="F490" s="93">
        <v>160875</v>
      </c>
      <c r="G490" s="93">
        <v>160898</v>
      </c>
      <c r="H490" s="93">
        <v>169064</v>
      </c>
      <c r="I490" s="93">
        <v>168659</v>
      </c>
      <c r="J490" s="93">
        <v>166968</v>
      </c>
      <c r="K490" s="93">
        <v>164234</v>
      </c>
      <c r="L490" s="93">
        <v>160266</v>
      </c>
      <c r="M490" s="93">
        <v>156724</v>
      </c>
      <c r="N490" s="93">
        <v>157783</v>
      </c>
      <c r="O490" s="93">
        <v>143229</v>
      </c>
      <c r="P490" s="93">
        <v>145051</v>
      </c>
      <c r="Q490" s="123">
        <v>150481</v>
      </c>
      <c r="R490" s="123">
        <v>164120</v>
      </c>
      <c r="S490" s="123">
        <v>166117</v>
      </c>
      <c r="T490" s="123">
        <v>170901</v>
      </c>
      <c r="U490" s="149">
        <f t="shared" ref="U490:U492" si="163">(T490-K490)/K490</f>
        <v>4.0594517578576905E-2</v>
      </c>
      <c r="V490" s="149">
        <f t="shared" ref="V490:V492" si="164">(T490-P490)/P490</f>
        <v>0.17821318019179461</v>
      </c>
      <c r="W490" s="149">
        <f t="shared" ref="W490:W492" si="165">(T490-S490)/S490</f>
        <v>2.8798979032850339E-2</v>
      </c>
      <c r="X490" s="218">
        <f t="shared" ref="X490:X492" si="166">T490/T$492</f>
        <v>0.47123134318069643</v>
      </c>
      <c r="Y490" s="219">
        <f t="shared" si="162"/>
        <v>4784</v>
      </c>
    </row>
    <row r="491" spans="1:25" x14ac:dyDescent="0.25">
      <c r="A491" s="88" t="s">
        <v>604</v>
      </c>
      <c r="B491" s="93">
        <v>0</v>
      </c>
      <c r="C491" s="93">
        <v>0</v>
      </c>
      <c r="D491" s="93">
        <v>0</v>
      </c>
      <c r="E491" s="93">
        <v>0</v>
      </c>
      <c r="F491" s="93">
        <v>0</v>
      </c>
      <c r="G491" s="93">
        <v>0</v>
      </c>
      <c r="H491" s="93">
        <v>0</v>
      </c>
      <c r="I491" s="93">
        <v>0</v>
      </c>
      <c r="J491" s="93">
        <v>0</v>
      </c>
      <c r="K491" s="93">
        <v>0</v>
      </c>
      <c r="L491" s="93">
        <v>0</v>
      </c>
      <c r="M491" s="93">
        <v>0</v>
      </c>
      <c r="N491" s="93">
        <v>0</v>
      </c>
      <c r="O491" s="93">
        <v>0</v>
      </c>
      <c r="P491" s="93">
        <v>0</v>
      </c>
      <c r="Q491" s="123">
        <v>0</v>
      </c>
      <c r="R491" s="123">
        <v>1</v>
      </c>
      <c r="S491" s="123">
        <v>3</v>
      </c>
      <c r="T491" s="123">
        <v>2</v>
      </c>
      <c r="U491" s="149" t="s">
        <v>130</v>
      </c>
      <c r="V491" s="149" t="s">
        <v>130</v>
      </c>
      <c r="W491" s="149">
        <f t="shared" si="165"/>
        <v>-0.33333333333333331</v>
      </c>
      <c r="X491" s="218">
        <f t="shared" si="166"/>
        <v>5.5146704019367519E-6</v>
      </c>
      <c r="Y491" s="219">
        <f t="shared" si="162"/>
        <v>-1</v>
      </c>
    </row>
    <row r="492" spans="1:25" x14ac:dyDescent="0.25">
      <c r="A492" s="92" t="s">
        <v>0</v>
      </c>
      <c r="B492" s="2">
        <v>243379</v>
      </c>
      <c r="C492" s="2">
        <v>252964</v>
      </c>
      <c r="D492" s="2">
        <v>281647</v>
      </c>
      <c r="E492" s="2">
        <v>315058</v>
      </c>
      <c r="F492" s="2">
        <v>328323</v>
      </c>
      <c r="G492" s="2">
        <v>332828</v>
      </c>
      <c r="H492" s="2">
        <v>343000</v>
      </c>
      <c r="I492" s="2">
        <v>341460</v>
      </c>
      <c r="J492" s="2">
        <v>337759</v>
      </c>
      <c r="K492" s="2">
        <v>337906</v>
      </c>
      <c r="L492" s="2">
        <v>335271</v>
      </c>
      <c r="M492" s="2">
        <v>334890</v>
      </c>
      <c r="N492" s="2">
        <v>330653</v>
      </c>
      <c r="O492" s="2">
        <v>303422</v>
      </c>
      <c r="P492" s="2">
        <v>314451</v>
      </c>
      <c r="Q492" s="89">
        <v>318411</v>
      </c>
      <c r="R492" s="89">
        <v>345529</v>
      </c>
      <c r="S492" s="89">
        <v>350683</v>
      </c>
      <c r="T492" s="89">
        <v>362669</v>
      </c>
      <c r="U492" s="150">
        <f t="shared" si="163"/>
        <v>7.3283694281841699E-2</v>
      </c>
      <c r="V492" s="150">
        <f t="shared" si="164"/>
        <v>0.15334026605099046</v>
      </c>
      <c r="W492" s="150">
        <f t="shared" si="165"/>
        <v>3.4179016376613636E-2</v>
      </c>
      <c r="X492" s="220">
        <f t="shared" si="166"/>
        <v>1</v>
      </c>
      <c r="Y492" s="221">
        <f t="shared" si="162"/>
        <v>11986</v>
      </c>
    </row>
    <row r="493" spans="1:25" x14ac:dyDescent="0.25">
      <c r="A493" s="3"/>
      <c r="R493" s="177"/>
      <c r="S493" s="177"/>
      <c r="T493" s="177"/>
      <c r="U493" s="15"/>
      <c r="V493" s="27"/>
      <c r="W493" s="27"/>
      <c r="X493" s="27"/>
      <c r="Y493" s="27"/>
    </row>
    <row r="494" spans="1:25" ht="15.75" x14ac:dyDescent="0.25">
      <c r="A494" s="22" t="s">
        <v>448</v>
      </c>
      <c r="B494" s="22"/>
      <c r="C494" s="22"/>
      <c r="D494" s="22"/>
      <c r="E494" s="22"/>
      <c r="F494" s="22"/>
      <c r="G494" s="22"/>
      <c r="H494" s="22"/>
      <c r="I494" s="3"/>
      <c r="J494" s="3"/>
      <c r="K494" s="3"/>
      <c r="L494" s="3"/>
      <c r="N494" s="3"/>
      <c r="O494" s="3"/>
      <c r="P494" s="3"/>
      <c r="Q494" s="3"/>
      <c r="R494" s="3"/>
      <c r="S494" s="3"/>
      <c r="T494" s="3"/>
      <c r="U494" s="27"/>
      <c r="V494" s="27"/>
      <c r="W494" s="27"/>
      <c r="X494" s="27"/>
      <c r="Y494" s="27"/>
    </row>
    <row r="495" spans="1:25" ht="30" customHeight="1" x14ac:dyDescent="0.25">
      <c r="A495" s="120" t="s">
        <v>372</v>
      </c>
      <c r="B495" s="105">
        <v>2007</v>
      </c>
      <c r="C495" s="105">
        <v>2008</v>
      </c>
      <c r="D495" s="105">
        <v>2009</v>
      </c>
      <c r="E495" s="105">
        <v>2010</v>
      </c>
      <c r="F495" s="105">
        <v>2011</v>
      </c>
      <c r="G495" s="105">
        <v>2012</v>
      </c>
      <c r="H495" s="105">
        <v>2013</v>
      </c>
      <c r="I495" s="105">
        <v>2014</v>
      </c>
      <c r="J495" s="105">
        <v>2015</v>
      </c>
      <c r="K495" s="105">
        <v>2016</v>
      </c>
      <c r="L495" s="105">
        <v>2017</v>
      </c>
      <c r="M495" s="105">
        <v>2018</v>
      </c>
      <c r="N495" s="105">
        <v>2019</v>
      </c>
      <c r="O495" s="105">
        <v>2020</v>
      </c>
      <c r="P495" s="105">
        <v>2021</v>
      </c>
      <c r="Q495" s="105">
        <v>2022</v>
      </c>
      <c r="R495" s="105">
        <v>2023</v>
      </c>
      <c r="S495" s="105">
        <v>2024</v>
      </c>
      <c r="T495" s="105">
        <v>2025</v>
      </c>
      <c r="U495" s="106" t="s">
        <v>546</v>
      </c>
      <c r="V495" s="106" t="s">
        <v>547</v>
      </c>
      <c r="W495" s="106" t="s">
        <v>548</v>
      </c>
      <c r="X495" s="106" t="s">
        <v>549</v>
      </c>
      <c r="Y495" s="216" t="s">
        <v>563</v>
      </c>
    </row>
    <row r="496" spans="1:25" x14ac:dyDescent="0.25">
      <c r="A496" s="88" t="s">
        <v>138</v>
      </c>
      <c r="B496" s="93">
        <v>44257</v>
      </c>
      <c r="C496" s="93">
        <v>49204</v>
      </c>
      <c r="D496" s="93">
        <v>58062</v>
      </c>
      <c r="E496" s="93">
        <v>68358</v>
      </c>
      <c r="F496" s="93">
        <v>73482</v>
      </c>
      <c r="G496" s="93">
        <v>74691</v>
      </c>
      <c r="H496" s="93">
        <v>76203</v>
      </c>
      <c r="I496" s="93">
        <v>77533</v>
      </c>
      <c r="J496" s="93">
        <v>75945</v>
      </c>
      <c r="K496" s="93">
        <v>73936</v>
      </c>
      <c r="L496" s="93">
        <v>71873</v>
      </c>
      <c r="M496" s="93">
        <v>72646</v>
      </c>
      <c r="N496" s="93">
        <v>73787</v>
      </c>
      <c r="O496" s="93">
        <v>71491</v>
      </c>
      <c r="P496" s="93">
        <v>77756</v>
      </c>
      <c r="Q496" s="123">
        <v>75863</v>
      </c>
      <c r="R496" s="123">
        <v>78992</v>
      </c>
      <c r="S496" s="123">
        <v>83649</v>
      </c>
      <c r="T496" s="123">
        <v>89357</v>
      </c>
      <c r="U496" s="149">
        <f t="shared" ref="U496:U499" si="167">(T496-K496)/K496</f>
        <v>0.20857227872754816</v>
      </c>
      <c r="V496" s="149">
        <f t="shared" ref="V496:V499" si="168">(T496-P496)/P496</f>
        <v>0.14919748958279747</v>
      </c>
      <c r="W496" s="149">
        <f t="shared" ref="W496:W499" si="169">(T496-S496)/S496</f>
        <v>6.8237516288299924E-2</v>
      </c>
      <c r="X496" s="218">
        <f>T496/T$499</f>
        <v>0.58618201378912216</v>
      </c>
      <c r="Y496" s="219">
        <f t="shared" ref="Y496:Y499" si="170">T496-S496</f>
        <v>5708</v>
      </c>
    </row>
    <row r="497" spans="1:25" x14ac:dyDescent="0.25">
      <c r="A497" s="88" t="s">
        <v>139</v>
      </c>
      <c r="B497" s="93">
        <v>42581</v>
      </c>
      <c r="C497" s="93">
        <v>46687</v>
      </c>
      <c r="D497" s="93">
        <v>51945</v>
      </c>
      <c r="E497" s="93">
        <v>60208</v>
      </c>
      <c r="F497" s="93">
        <v>65092</v>
      </c>
      <c r="G497" s="93">
        <v>65340</v>
      </c>
      <c r="H497" s="93">
        <v>68162</v>
      </c>
      <c r="I497" s="93">
        <v>70477</v>
      </c>
      <c r="J497" s="93">
        <v>70595</v>
      </c>
      <c r="K497" s="93">
        <v>67775</v>
      </c>
      <c r="L497" s="93">
        <v>64904</v>
      </c>
      <c r="M497" s="93">
        <v>64082</v>
      </c>
      <c r="N497" s="93">
        <v>64132</v>
      </c>
      <c r="O497" s="93">
        <v>58847</v>
      </c>
      <c r="P497" s="93">
        <v>56707</v>
      </c>
      <c r="Q497" s="123">
        <v>55884</v>
      </c>
      <c r="R497" s="123">
        <v>57751</v>
      </c>
      <c r="S497" s="123">
        <v>61650</v>
      </c>
      <c r="T497" s="123">
        <v>63081</v>
      </c>
      <c r="U497" s="149">
        <f t="shared" si="167"/>
        <v>-6.9258576171154551E-2</v>
      </c>
      <c r="V497" s="149">
        <f t="shared" si="168"/>
        <v>0.11240234891635953</v>
      </c>
      <c r="W497" s="149">
        <f t="shared" si="169"/>
        <v>2.3211678832116788E-2</v>
      </c>
      <c r="X497" s="218">
        <f t="shared" ref="X497:X499" si="171">T497/T$499</f>
        <v>0.41381142620982819</v>
      </c>
      <c r="Y497" s="219">
        <f t="shared" si="170"/>
        <v>1431</v>
      </c>
    </row>
    <row r="498" spans="1:25" x14ac:dyDescent="0.25">
      <c r="A498" s="88" t="s">
        <v>604</v>
      </c>
      <c r="B498" s="93">
        <v>0</v>
      </c>
      <c r="C498" s="93">
        <v>0</v>
      </c>
      <c r="D498" s="93">
        <v>0</v>
      </c>
      <c r="E498" s="93">
        <v>0</v>
      </c>
      <c r="F498" s="93">
        <v>0</v>
      </c>
      <c r="G498" s="93">
        <v>0</v>
      </c>
      <c r="H498" s="93">
        <v>0</v>
      </c>
      <c r="I498" s="93">
        <v>0</v>
      </c>
      <c r="J498" s="93">
        <v>0</v>
      </c>
      <c r="K498" s="93">
        <v>0</v>
      </c>
      <c r="L498" s="93">
        <v>0</v>
      </c>
      <c r="M498" s="93">
        <v>0</v>
      </c>
      <c r="N498" s="93">
        <v>0</v>
      </c>
      <c r="O498" s="93">
        <v>0</v>
      </c>
      <c r="P498" s="93">
        <v>0</v>
      </c>
      <c r="Q498" s="123">
        <v>0</v>
      </c>
      <c r="R498" s="123">
        <v>0</v>
      </c>
      <c r="S498" s="123">
        <v>0</v>
      </c>
      <c r="T498" s="123">
        <v>1</v>
      </c>
      <c r="U498" s="149" t="s">
        <v>130</v>
      </c>
      <c r="V498" s="149" t="s">
        <v>130</v>
      </c>
      <c r="W498" s="149" t="s">
        <v>130</v>
      </c>
      <c r="X498" s="218">
        <f t="shared" si="171"/>
        <v>6.5600010496001683E-6</v>
      </c>
      <c r="Y498" s="219">
        <f t="shared" si="170"/>
        <v>1</v>
      </c>
    </row>
    <row r="499" spans="1:25" s="42" customFormat="1" x14ac:dyDescent="0.25">
      <c r="A499" s="92" t="s">
        <v>0</v>
      </c>
      <c r="B499" s="2">
        <v>86838</v>
      </c>
      <c r="C499" s="2">
        <v>95891</v>
      </c>
      <c r="D499" s="2">
        <v>110007</v>
      </c>
      <c r="E499" s="2">
        <v>128566</v>
      </c>
      <c r="F499" s="2">
        <v>138574</v>
      </c>
      <c r="G499" s="2">
        <v>140031</v>
      </c>
      <c r="H499" s="2">
        <v>144365</v>
      </c>
      <c r="I499" s="2">
        <v>148010</v>
      </c>
      <c r="J499" s="2">
        <v>146540</v>
      </c>
      <c r="K499" s="2">
        <v>141711</v>
      </c>
      <c r="L499" s="2">
        <v>136777</v>
      </c>
      <c r="M499" s="2">
        <v>136728</v>
      </c>
      <c r="N499" s="2">
        <v>137919</v>
      </c>
      <c r="O499" s="2">
        <v>130338</v>
      </c>
      <c r="P499" s="2">
        <v>134463</v>
      </c>
      <c r="Q499" s="89">
        <v>131747</v>
      </c>
      <c r="R499" s="89">
        <v>136743</v>
      </c>
      <c r="S499" s="89">
        <v>145299</v>
      </c>
      <c r="T499" s="89">
        <v>152439</v>
      </c>
      <c r="U499" s="150">
        <f t="shared" si="167"/>
        <v>7.5703368122446393E-2</v>
      </c>
      <c r="V499" s="150">
        <f t="shared" si="168"/>
        <v>0.13368733406215835</v>
      </c>
      <c r="W499" s="150">
        <f t="shared" si="169"/>
        <v>4.9140049140049137E-2</v>
      </c>
      <c r="X499" s="220">
        <f t="shared" si="171"/>
        <v>1</v>
      </c>
      <c r="Y499" s="221">
        <f t="shared" si="170"/>
        <v>7140</v>
      </c>
    </row>
    <row r="500" spans="1:25" x14ac:dyDescent="0.25">
      <c r="A500" s="3"/>
      <c r="B500" s="3"/>
      <c r="C500" s="3"/>
      <c r="D500" s="3"/>
      <c r="E500" s="3"/>
      <c r="F500" s="3"/>
      <c r="G500" s="3"/>
      <c r="H500" s="3"/>
      <c r="I500" s="3"/>
      <c r="J500" s="3"/>
      <c r="K500" s="3"/>
      <c r="L500" s="3"/>
      <c r="N500" s="3"/>
      <c r="O500" s="3"/>
      <c r="P500" s="3"/>
      <c r="Q500" s="3"/>
      <c r="R500" s="3"/>
      <c r="S500" s="3"/>
      <c r="T500" s="3"/>
      <c r="U500" s="27"/>
      <c r="V500" s="27"/>
      <c r="W500" s="27"/>
      <c r="X500" s="27"/>
      <c r="Y500" s="3"/>
    </row>
    <row r="501" spans="1:25" ht="15.75" x14ac:dyDescent="0.25">
      <c r="A501" s="22" t="s">
        <v>449</v>
      </c>
      <c r="B501" s="22"/>
      <c r="C501" s="22"/>
      <c r="D501" s="22"/>
      <c r="E501" s="22"/>
      <c r="F501" s="22"/>
      <c r="G501" s="22"/>
      <c r="H501" s="22"/>
      <c r="I501" s="3"/>
      <c r="J501" s="3"/>
      <c r="K501" s="3"/>
      <c r="L501" s="3"/>
      <c r="N501" s="3"/>
      <c r="O501" s="3"/>
      <c r="P501" s="3"/>
      <c r="Q501" s="3"/>
      <c r="R501" s="3"/>
      <c r="S501" s="3"/>
      <c r="T501" s="3"/>
      <c r="U501" s="27"/>
      <c r="V501" s="27"/>
      <c r="W501" s="27"/>
      <c r="X501" s="27"/>
      <c r="Y501" s="3"/>
    </row>
    <row r="502" spans="1:25" ht="25.5" x14ac:dyDescent="0.25">
      <c r="A502" s="120" t="s">
        <v>372</v>
      </c>
      <c r="B502" s="105">
        <v>2007</v>
      </c>
      <c r="C502" s="105">
        <v>2008</v>
      </c>
      <c r="D502" s="105">
        <v>2009</v>
      </c>
      <c r="E502" s="105">
        <v>2010</v>
      </c>
      <c r="F502" s="105">
        <v>2011</v>
      </c>
      <c r="G502" s="105">
        <v>2012</v>
      </c>
      <c r="H502" s="105">
        <v>2013</v>
      </c>
      <c r="I502" s="105">
        <v>2014</v>
      </c>
      <c r="J502" s="105">
        <v>2015</v>
      </c>
      <c r="K502" s="105">
        <v>2016</v>
      </c>
      <c r="L502" s="105">
        <v>2017</v>
      </c>
      <c r="M502" s="105">
        <v>2018</v>
      </c>
      <c r="N502" s="105">
        <v>2019</v>
      </c>
      <c r="O502" s="105">
        <v>2020</v>
      </c>
      <c r="P502" s="105">
        <v>2021</v>
      </c>
      <c r="Q502" s="105">
        <v>2022</v>
      </c>
      <c r="R502" s="105">
        <v>2023</v>
      </c>
      <c r="S502" s="105">
        <v>2024</v>
      </c>
      <c r="T502" s="105">
        <v>2025</v>
      </c>
      <c r="U502" s="106" t="s">
        <v>546</v>
      </c>
      <c r="V502" s="106" t="s">
        <v>547</v>
      </c>
      <c r="W502" s="106" t="s">
        <v>548</v>
      </c>
      <c r="X502" s="106" t="s">
        <v>549</v>
      </c>
      <c r="Y502" s="216" t="s">
        <v>563</v>
      </c>
    </row>
    <row r="503" spans="1:25" x14ac:dyDescent="0.25">
      <c r="A503" s="88" t="s">
        <v>138</v>
      </c>
      <c r="B503" s="93">
        <v>22154</v>
      </c>
      <c r="C503" s="93">
        <v>23582</v>
      </c>
      <c r="D503" s="93">
        <v>27657</v>
      </c>
      <c r="E503" s="93">
        <v>32532</v>
      </c>
      <c r="F503" s="93">
        <v>33020</v>
      </c>
      <c r="G503" s="93">
        <v>32493</v>
      </c>
      <c r="H503" s="93">
        <v>32724</v>
      </c>
      <c r="I503" s="93">
        <v>33290</v>
      </c>
      <c r="J503" s="93">
        <v>31760</v>
      </c>
      <c r="K503" s="93">
        <v>29634</v>
      </c>
      <c r="L503" s="93">
        <v>30307</v>
      </c>
      <c r="M503" s="93">
        <v>30547</v>
      </c>
      <c r="N503" s="93">
        <v>31508</v>
      </c>
      <c r="O503" s="93">
        <v>29769</v>
      </c>
      <c r="P503" s="93">
        <v>32923</v>
      </c>
      <c r="Q503" s="123">
        <v>30517</v>
      </c>
      <c r="R503" s="123">
        <v>32996</v>
      </c>
      <c r="S503" s="123">
        <v>36794</v>
      </c>
      <c r="T503" s="123">
        <v>38838</v>
      </c>
      <c r="U503" s="149">
        <f>(T503-K503)/K503</f>
        <v>0.310589188094756</v>
      </c>
      <c r="V503" s="149">
        <f>(T503-P503)/P503</f>
        <v>0.17966163472344562</v>
      </c>
      <c r="W503" s="149">
        <f>(T503-S503)/S503</f>
        <v>5.5552535739522749E-2</v>
      </c>
      <c r="X503" s="218">
        <f>T503/T$506</f>
        <v>0.56368650217706817</v>
      </c>
      <c r="Y503" s="219">
        <f t="shared" ref="Y503:Y506" si="172">T503-S503</f>
        <v>2044</v>
      </c>
    </row>
    <row r="504" spans="1:25" x14ac:dyDescent="0.25">
      <c r="A504" s="88" t="s">
        <v>139</v>
      </c>
      <c r="B504" s="93">
        <v>21758</v>
      </c>
      <c r="C504" s="93">
        <v>23474</v>
      </c>
      <c r="D504" s="93">
        <v>25545</v>
      </c>
      <c r="E504" s="93">
        <v>30583</v>
      </c>
      <c r="F504" s="93">
        <v>31015</v>
      </c>
      <c r="G504" s="93">
        <v>30091</v>
      </c>
      <c r="H504" s="93">
        <v>32000</v>
      </c>
      <c r="I504" s="93">
        <v>32651</v>
      </c>
      <c r="J504" s="93">
        <v>31791</v>
      </c>
      <c r="K504" s="93">
        <v>29789</v>
      </c>
      <c r="L504" s="93">
        <v>29727</v>
      </c>
      <c r="M504" s="93">
        <v>28656</v>
      </c>
      <c r="N504" s="93">
        <v>29398</v>
      </c>
      <c r="O504" s="93">
        <v>26390</v>
      </c>
      <c r="P504" s="93">
        <v>25376</v>
      </c>
      <c r="Q504" s="123">
        <v>25511</v>
      </c>
      <c r="R504" s="123">
        <v>27188</v>
      </c>
      <c r="S504" s="123">
        <v>29977</v>
      </c>
      <c r="T504" s="123">
        <v>30061</v>
      </c>
      <c r="U504" s="149">
        <f t="shared" ref="U504:U506" si="173">(T504-K504)/K504</f>
        <v>9.13088724025647E-3</v>
      </c>
      <c r="V504" s="149">
        <f t="shared" ref="V504:V506" si="174">(T504-P504)/P504</f>
        <v>0.18462326607818411</v>
      </c>
      <c r="W504" s="149">
        <f t="shared" ref="W504:W506" si="175">(T504-S504)/S504</f>
        <v>2.8021483137071757E-3</v>
      </c>
      <c r="X504" s="218">
        <f t="shared" ref="X504:X506" si="176">T504/T$506</f>
        <v>0.43629898403483308</v>
      </c>
      <c r="Y504" s="219">
        <f t="shared" si="172"/>
        <v>84</v>
      </c>
    </row>
    <row r="505" spans="1:25" x14ac:dyDescent="0.25">
      <c r="A505" s="88" t="s">
        <v>604</v>
      </c>
      <c r="B505" s="93">
        <v>0</v>
      </c>
      <c r="C505" s="93">
        <v>0</v>
      </c>
      <c r="D505" s="93">
        <v>0</v>
      </c>
      <c r="E505" s="93">
        <v>0</v>
      </c>
      <c r="F505" s="93">
        <v>0</v>
      </c>
      <c r="G505" s="93">
        <v>0</v>
      </c>
      <c r="H505" s="93">
        <v>0</v>
      </c>
      <c r="I505" s="93">
        <v>0</v>
      </c>
      <c r="J505" s="93">
        <v>0</v>
      </c>
      <c r="K505" s="93">
        <v>0</v>
      </c>
      <c r="L505" s="93">
        <v>0</v>
      </c>
      <c r="M505" s="93">
        <v>0</v>
      </c>
      <c r="N505" s="93">
        <v>0</v>
      </c>
      <c r="O505" s="93">
        <v>0</v>
      </c>
      <c r="P505" s="93">
        <v>0</v>
      </c>
      <c r="Q505" s="123">
        <v>0</v>
      </c>
      <c r="R505" s="123">
        <v>0</v>
      </c>
      <c r="S505" s="123">
        <v>0</v>
      </c>
      <c r="T505" s="123">
        <v>1</v>
      </c>
      <c r="U505" s="149" t="s">
        <v>130</v>
      </c>
      <c r="V505" s="149" t="s">
        <v>130</v>
      </c>
      <c r="W505" s="149" t="s">
        <v>130</v>
      </c>
      <c r="X505" s="218">
        <f t="shared" si="176"/>
        <v>1.4513788098693759E-5</v>
      </c>
      <c r="Y505" s="219">
        <f t="shared" si="172"/>
        <v>1</v>
      </c>
    </row>
    <row r="506" spans="1:25" x14ac:dyDescent="0.25">
      <c r="A506" s="92" t="s">
        <v>0</v>
      </c>
      <c r="B506" s="2">
        <v>43912</v>
      </c>
      <c r="C506" s="2">
        <v>47056</v>
      </c>
      <c r="D506" s="2">
        <v>53202</v>
      </c>
      <c r="E506" s="2">
        <v>63115</v>
      </c>
      <c r="F506" s="2">
        <v>64035</v>
      </c>
      <c r="G506" s="2">
        <v>62584</v>
      </c>
      <c r="H506" s="2">
        <v>64724</v>
      </c>
      <c r="I506" s="2">
        <v>65941</v>
      </c>
      <c r="J506" s="2">
        <v>63551</v>
      </c>
      <c r="K506" s="2">
        <v>59423</v>
      </c>
      <c r="L506" s="2">
        <v>60034</v>
      </c>
      <c r="M506" s="2">
        <v>59203</v>
      </c>
      <c r="N506" s="2">
        <v>60906</v>
      </c>
      <c r="O506" s="2">
        <v>56159</v>
      </c>
      <c r="P506" s="2">
        <v>58299</v>
      </c>
      <c r="Q506" s="89">
        <v>56028</v>
      </c>
      <c r="R506" s="89">
        <v>60184</v>
      </c>
      <c r="S506" s="89">
        <v>66771</v>
      </c>
      <c r="T506" s="89">
        <v>68900</v>
      </c>
      <c r="U506" s="150">
        <f t="shared" si="173"/>
        <v>0.15948370159702471</v>
      </c>
      <c r="V506" s="150">
        <f t="shared" si="174"/>
        <v>0.18183845348976826</v>
      </c>
      <c r="W506" s="150">
        <f t="shared" si="175"/>
        <v>3.1885099818783603E-2</v>
      </c>
      <c r="X506" s="220">
        <f t="shared" si="176"/>
        <v>1</v>
      </c>
      <c r="Y506" s="221">
        <f t="shared" si="172"/>
        <v>2129</v>
      </c>
    </row>
    <row r="507" spans="1:25" x14ac:dyDescent="0.25">
      <c r="A507" s="102"/>
      <c r="B507" s="103"/>
      <c r="C507" s="103"/>
      <c r="D507" s="103"/>
      <c r="E507" s="103"/>
      <c r="F507" s="103"/>
      <c r="G507" s="103"/>
      <c r="H507" s="103"/>
      <c r="I507" s="103"/>
      <c r="J507" s="103"/>
      <c r="K507" s="103"/>
      <c r="L507" s="103"/>
      <c r="M507" s="103"/>
      <c r="N507" s="103"/>
      <c r="O507" s="103"/>
      <c r="P507" s="103"/>
      <c r="Q507" s="10"/>
      <c r="R507" s="10"/>
      <c r="S507" s="10"/>
      <c r="T507" s="10"/>
      <c r="U507" s="210"/>
      <c r="V507" s="210"/>
      <c r="W507" s="210"/>
      <c r="X507" s="223"/>
      <c r="Y507" s="224"/>
    </row>
    <row r="508" spans="1:25" ht="15.75" x14ac:dyDescent="0.25">
      <c r="A508" s="54" t="s">
        <v>450</v>
      </c>
      <c r="B508" s="22"/>
      <c r="C508" s="22"/>
      <c r="D508" s="22"/>
      <c r="E508" s="22"/>
      <c r="F508" s="22"/>
      <c r="G508" s="22"/>
      <c r="H508" s="22"/>
      <c r="I508" s="3"/>
      <c r="J508" s="3"/>
      <c r="K508" s="3"/>
      <c r="L508" s="3"/>
      <c r="N508" s="3"/>
      <c r="O508" s="3"/>
      <c r="P508" s="3"/>
      <c r="Q508" s="3"/>
      <c r="R508" s="3"/>
      <c r="S508" s="3"/>
      <c r="T508" s="3"/>
      <c r="U508" s="27"/>
      <c r="V508" s="27"/>
      <c r="W508" s="27"/>
      <c r="X508" s="27"/>
      <c r="Y508" s="27"/>
    </row>
    <row r="509" spans="1:25" ht="30" customHeight="1" x14ac:dyDescent="0.25">
      <c r="A509" s="120" t="s">
        <v>372</v>
      </c>
      <c r="B509" s="105">
        <v>2007</v>
      </c>
      <c r="C509" s="105">
        <v>2008</v>
      </c>
      <c r="D509" s="105">
        <v>2009</v>
      </c>
      <c r="E509" s="105">
        <v>2010</v>
      </c>
      <c r="F509" s="105">
        <v>2011</v>
      </c>
      <c r="G509" s="105">
        <v>2012</v>
      </c>
      <c r="H509" s="105">
        <v>2013</v>
      </c>
      <c r="I509" s="105">
        <v>2014</v>
      </c>
      <c r="J509" s="105">
        <v>2015</v>
      </c>
      <c r="K509" s="105">
        <v>2016</v>
      </c>
      <c r="L509" s="105">
        <v>2017</v>
      </c>
      <c r="M509" s="105">
        <v>2018</v>
      </c>
      <c r="N509" s="105">
        <v>2019</v>
      </c>
      <c r="O509" s="105">
        <v>2020</v>
      </c>
      <c r="P509" s="105">
        <v>2021</v>
      </c>
      <c r="Q509" s="105">
        <v>2022</v>
      </c>
      <c r="R509" s="105">
        <v>2023</v>
      </c>
      <c r="S509" s="105">
        <v>2024</v>
      </c>
      <c r="T509" s="105">
        <v>2025</v>
      </c>
      <c r="U509" s="106" t="s">
        <v>546</v>
      </c>
      <c r="V509" s="106" t="s">
        <v>547</v>
      </c>
      <c r="W509" s="106" t="s">
        <v>548</v>
      </c>
      <c r="X509" s="106" t="s">
        <v>549</v>
      </c>
      <c r="Y509" s="216" t="s">
        <v>563</v>
      </c>
    </row>
    <row r="510" spans="1:25" x14ac:dyDescent="0.25">
      <c r="A510" s="88" t="s">
        <v>138</v>
      </c>
      <c r="B510" s="93">
        <v>67731</v>
      </c>
      <c r="C510" s="93">
        <v>74347</v>
      </c>
      <c r="D510" s="93">
        <v>90107</v>
      </c>
      <c r="E510" s="93">
        <v>108362</v>
      </c>
      <c r="F510" s="93">
        <v>127935</v>
      </c>
      <c r="G510" s="93">
        <v>146289</v>
      </c>
      <c r="H510" s="93">
        <v>162242</v>
      </c>
      <c r="I510" s="93">
        <v>176433</v>
      </c>
      <c r="J510" s="93">
        <v>186190</v>
      </c>
      <c r="K510" s="93">
        <v>190303</v>
      </c>
      <c r="L510" s="93">
        <v>188028</v>
      </c>
      <c r="M510" s="93">
        <v>187329</v>
      </c>
      <c r="N510" s="93">
        <v>190314</v>
      </c>
      <c r="O510" s="93">
        <v>181999</v>
      </c>
      <c r="P510" s="93">
        <v>192599</v>
      </c>
      <c r="Q510" s="123">
        <v>200296</v>
      </c>
      <c r="R510" s="123">
        <v>206411</v>
      </c>
      <c r="S510" s="123">
        <v>204385</v>
      </c>
      <c r="T510" s="123">
        <v>207040</v>
      </c>
      <c r="U510" s="149">
        <f t="shared" ref="U510:U513" si="177">(T510-K510)/K510</f>
        <v>8.7949217826308573E-2</v>
      </c>
      <c r="V510" s="149">
        <f t="shared" ref="V510:V513" si="178">(T510-P510)/P510</f>
        <v>7.4979620870305658E-2</v>
      </c>
      <c r="W510" s="149">
        <f t="shared" ref="W510:W513" si="179">(T510-S510)/S510</f>
        <v>1.2990190082442449E-2</v>
      </c>
      <c r="X510" s="218">
        <f>T510/T$513</f>
        <v>0.46743910919254772</v>
      </c>
      <c r="Y510" s="219">
        <f t="shared" ref="Y510:Y513" si="180">T510-S510</f>
        <v>2655</v>
      </c>
    </row>
    <row r="511" spans="1:25" x14ac:dyDescent="0.25">
      <c r="A511" s="88" t="s">
        <v>139</v>
      </c>
      <c r="B511" s="93">
        <v>88393</v>
      </c>
      <c r="C511" s="93">
        <v>88501</v>
      </c>
      <c r="D511" s="93">
        <v>99490</v>
      </c>
      <c r="E511" s="93">
        <v>115939</v>
      </c>
      <c r="F511" s="93">
        <v>132757</v>
      </c>
      <c r="G511" s="93">
        <v>147230</v>
      </c>
      <c r="H511" s="93">
        <v>162337</v>
      </c>
      <c r="I511" s="93">
        <v>174571</v>
      </c>
      <c r="J511" s="93">
        <v>186981</v>
      </c>
      <c r="K511" s="93">
        <v>190685</v>
      </c>
      <c r="L511" s="93">
        <v>186681</v>
      </c>
      <c r="M511" s="93">
        <v>185775</v>
      </c>
      <c r="N511" s="93">
        <v>189142</v>
      </c>
      <c r="O511" s="93">
        <v>179388</v>
      </c>
      <c r="P511" s="93">
        <v>185939</v>
      </c>
      <c r="Q511" s="123">
        <v>196533</v>
      </c>
      <c r="R511" s="123">
        <v>212602</v>
      </c>
      <c r="S511" s="123">
        <v>221885</v>
      </c>
      <c r="T511" s="123">
        <v>235882</v>
      </c>
      <c r="U511" s="149">
        <f t="shared" si="177"/>
        <v>0.23702441198835777</v>
      </c>
      <c r="V511" s="149">
        <f t="shared" si="178"/>
        <v>0.26859884155556391</v>
      </c>
      <c r="W511" s="149">
        <f t="shared" si="179"/>
        <v>6.3082227279897249E-2</v>
      </c>
      <c r="X511" s="218">
        <f t="shared" ref="X511:X513" si="181">T511/T$513</f>
        <v>0.53255637536010692</v>
      </c>
      <c r="Y511" s="219">
        <f t="shared" si="180"/>
        <v>13997</v>
      </c>
    </row>
    <row r="512" spans="1:25" x14ac:dyDescent="0.25">
      <c r="A512" s="88" t="s">
        <v>604</v>
      </c>
      <c r="B512" s="93">
        <v>0</v>
      </c>
      <c r="C512" s="93">
        <v>0</v>
      </c>
      <c r="D512" s="93">
        <v>0</v>
      </c>
      <c r="E512" s="93">
        <v>0</v>
      </c>
      <c r="F512" s="93">
        <v>0</v>
      </c>
      <c r="G512" s="93">
        <v>0</v>
      </c>
      <c r="H512" s="93">
        <v>0</v>
      </c>
      <c r="I512" s="93">
        <v>0</v>
      </c>
      <c r="J512" s="93">
        <v>0</v>
      </c>
      <c r="K512" s="93">
        <v>0</v>
      </c>
      <c r="L512" s="93">
        <v>0</v>
      </c>
      <c r="M512" s="93">
        <v>0</v>
      </c>
      <c r="N512" s="93">
        <v>0</v>
      </c>
      <c r="O512" s="93">
        <v>0</v>
      </c>
      <c r="P512" s="93">
        <v>0</v>
      </c>
      <c r="Q512" s="123">
        <v>0</v>
      </c>
      <c r="R512" s="123">
        <v>1</v>
      </c>
      <c r="S512" s="123">
        <v>2</v>
      </c>
      <c r="T512" s="123">
        <v>2</v>
      </c>
      <c r="U512" s="149" t="s">
        <v>130</v>
      </c>
      <c r="V512" s="149" t="s">
        <v>130</v>
      </c>
      <c r="W512" s="149">
        <f t="shared" si="179"/>
        <v>0</v>
      </c>
      <c r="X512" s="218">
        <f t="shared" si="181"/>
        <v>4.515447345368506E-6</v>
      </c>
      <c r="Y512" s="219">
        <f t="shared" si="180"/>
        <v>0</v>
      </c>
    </row>
    <row r="513" spans="1:25" s="42" customFormat="1" x14ac:dyDescent="0.25">
      <c r="A513" s="92" t="s">
        <v>0</v>
      </c>
      <c r="B513" s="2">
        <v>156124</v>
      </c>
      <c r="C513" s="2">
        <v>162848</v>
      </c>
      <c r="D513" s="2">
        <v>189597</v>
      </c>
      <c r="E513" s="2">
        <v>224301</v>
      </c>
      <c r="F513" s="2">
        <v>260692</v>
      </c>
      <c r="G513" s="2">
        <v>293519</v>
      </c>
      <c r="H513" s="2">
        <v>324579</v>
      </c>
      <c r="I513" s="2">
        <v>351004</v>
      </c>
      <c r="J513" s="2">
        <v>373171</v>
      </c>
      <c r="K513" s="2">
        <v>380988</v>
      </c>
      <c r="L513" s="2">
        <v>374709</v>
      </c>
      <c r="M513" s="2">
        <v>373104</v>
      </c>
      <c r="N513" s="2">
        <v>379456</v>
      </c>
      <c r="O513" s="2">
        <v>361387</v>
      </c>
      <c r="P513" s="2">
        <v>378538</v>
      </c>
      <c r="Q513" s="89">
        <v>396829</v>
      </c>
      <c r="R513" s="89">
        <v>419014</v>
      </c>
      <c r="S513" s="89">
        <v>426272</v>
      </c>
      <c r="T513" s="89">
        <v>442924</v>
      </c>
      <c r="U513" s="150">
        <f t="shared" si="177"/>
        <v>0.1625668000041996</v>
      </c>
      <c r="V513" s="150">
        <f t="shared" si="178"/>
        <v>0.17009124579302473</v>
      </c>
      <c r="W513" s="150">
        <f t="shared" si="179"/>
        <v>3.9064259439981985E-2</v>
      </c>
      <c r="X513" s="220">
        <f t="shared" si="181"/>
        <v>1</v>
      </c>
      <c r="Y513" s="221">
        <f t="shared" si="180"/>
        <v>16652</v>
      </c>
    </row>
    <row r="514" spans="1:25" x14ac:dyDescent="0.25">
      <c r="A514" s="3"/>
      <c r="B514" s="3"/>
      <c r="C514" s="3"/>
      <c r="D514" s="3"/>
      <c r="E514" s="3"/>
      <c r="F514" s="3"/>
      <c r="G514" s="3"/>
      <c r="H514" s="3"/>
      <c r="I514" s="3"/>
      <c r="J514" s="3"/>
      <c r="K514" s="3"/>
      <c r="L514" s="3"/>
      <c r="N514" s="3"/>
      <c r="O514" s="3"/>
      <c r="P514" s="3"/>
      <c r="Q514" s="3"/>
      <c r="R514" s="3"/>
      <c r="S514" s="3"/>
      <c r="T514" s="3"/>
      <c r="U514" s="27"/>
      <c r="V514" s="27"/>
      <c r="W514" s="27"/>
      <c r="X514" s="27"/>
      <c r="Y514" s="3"/>
    </row>
    <row r="515" spans="1:25" ht="15.75" x14ac:dyDescent="0.25">
      <c r="A515" s="54" t="s">
        <v>451</v>
      </c>
      <c r="B515" s="22"/>
      <c r="C515" s="22"/>
      <c r="D515" s="22"/>
      <c r="E515" s="22"/>
      <c r="F515" s="22"/>
      <c r="G515" s="22"/>
      <c r="H515" s="22"/>
      <c r="I515" s="3"/>
      <c r="J515" s="3"/>
      <c r="K515" s="3"/>
      <c r="L515" s="3"/>
      <c r="N515" s="3"/>
      <c r="O515" s="3"/>
      <c r="P515" s="3"/>
      <c r="Q515" s="3"/>
      <c r="R515" s="3"/>
      <c r="S515" s="3"/>
      <c r="T515" s="3"/>
      <c r="U515" s="27"/>
      <c r="V515" s="27"/>
      <c r="W515" s="27"/>
      <c r="X515" s="27"/>
      <c r="Y515" s="3"/>
    </row>
    <row r="516" spans="1:25" ht="25.5" x14ac:dyDescent="0.25">
      <c r="A516" s="120" t="s">
        <v>372</v>
      </c>
      <c r="B516" s="105">
        <v>2007</v>
      </c>
      <c r="C516" s="105">
        <v>2008</v>
      </c>
      <c r="D516" s="105">
        <v>2009</v>
      </c>
      <c r="E516" s="105">
        <v>2010</v>
      </c>
      <c r="F516" s="105">
        <v>2011</v>
      </c>
      <c r="G516" s="105">
        <v>2012</v>
      </c>
      <c r="H516" s="105">
        <v>2013</v>
      </c>
      <c r="I516" s="105">
        <v>2014</v>
      </c>
      <c r="J516" s="105">
        <v>2015</v>
      </c>
      <c r="K516" s="105">
        <v>2016</v>
      </c>
      <c r="L516" s="105">
        <v>2017</v>
      </c>
      <c r="M516" s="105">
        <v>2018</v>
      </c>
      <c r="N516" s="105">
        <v>2019</v>
      </c>
      <c r="O516" s="105">
        <v>2020</v>
      </c>
      <c r="P516" s="105">
        <v>2021</v>
      </c>
      <c r="Q516" s="105">
        <v>2022</v>
      </c>
      <c r="R516" s="105">
        <v>2023</v>
      </c>
      <c r="S516" s="105">
        <v>2024</v>
      </c>
      <c r="T516" s="105">
        <v>2025</v>
      </c>
      <c r="U516" s="106" t="s">
        <v>546</v>
      </c>
      <c r="V516" s="106" t="s">
        <v>547</v>
      </c>
      <c r="W516" s="106" t="s">
        <v>548</v>
      </c>
      <c r="X516" s="106" t="s">
        <v>549</v>
      </c>
      <c r="Y516" s="216" t="s">
        <v>563</v>
      </c>
    </row>
    <row r="517" spans="1:25" x14ac:dyDescent="0.25">
      <c r="A517" s="88" t="s">
        <v>138</v>
      </c>
      <c r="B517" s="93">
        <v>31723</v>
      </c>
      <c r="C517" s="93">
        <v>33451</v>
      </c>
      <c r="D517" s="93">
        <v>40158</v>
      </c>
      <c r="E517" s="93">
        <v>47449</v>
      </c>
      <c r="F517" s="93">
        <v>53108</v>
      </c>
      <c r="G517" s="93">
        <v>56870</v>
      </c>
      <c r="H517" s="93">
        <v>62984</v>
      </c>
      <c r="I517" s="93">
        <v>63557</v>
      </c>
      <c r="J517" s="93">
        <v>61145</v>
      </c>
      <c r="K517" s="93">
        <v>61279</v>
      </c>
      <c r="L517" s="93">
        <v>60829</v>
      </c>
      <c r="M517" s="93">
        <v>63585</v>
      </c>
      <c r="N517" s="93">
        <v>62287</v>
      </c>
      <c r="O517" s="93">
        <v>55463</v>
      </c>
      <c r="P517" s="93">
        <v>61501</v>
      </c>
      <c r="Q517" s="123">
        <v>64757</v>
      </c>
      <c r="R517" s="123">
        <v>65960</v>
      </c>
      <c r="S517" s="123">
        <v>62173</v>
      </c>
      <c r="T517" s="123">
        <v>64036</v>
      </c>
      <c r="U517" s="149">
        <f>(T517-K517)/K517</f>
        <v>4.4990943063692293E-2</v>
      </c>
      <c r="V517" s="149">
        <f>(T517-P517)/P517</f>
        <v>4.1218841970049269E-2</v>
      </c>
      <c r="W517" s="149">
        <f>(T517-S517)/S517</f>
        <v>2.9964775706496388E-2</v>
      </c>
      <c r="X517" s="218">
        <f>T517/T$520</f>
        <v>0.47558430562879234</v>
      </c>
      <c r="Y517" s="219">
        <f t="shared" ref="Y517:Y520" si="182">T517-S517</f>
        <v>1863</v>
      </c>
    </row>
    <row r="518" spans="1:25" x14ac:dyDescent="0.25">
      <c r="A518" s="88" t="s">
        <v>139</v>
      </c>
      <c r="B518" s="93">
        <v>36405</v>
      </c>
      <c r="C518" s="93">
        <v>35261</v>
      </c>
      <c r="D518" s="93">
        <v>41024</v>
      </c>
      <c r="E518" s="93">
        <v>47737</v>
      </c>
      <c r="F518" s="93">
        <v>52454</v>
      </c>
      <c r="G518" s="93">
        <v>54913</v>
      </c>
      <c r="H518" s="93">
        <v>63280</v>
      </c>
      <c r="I518" s="93">
        <v>64786</v>
      </c>
      <c r="J518" s="93">
        <v>63235</v>
      </c>
      <c r="K518" s="93">
        <v>61941</v>
      </c>
      <c r="L518" s="93">
        <v>58828</v>
      </c>
      <c r="M518" s="93">
        <v>57921</v>
      </c>
      <c r="N518" s="93">
        <v>59607</v>
      </c>
      <c r="O518" s="93">
        <v>54154</v>
      </c>
      <c r="P518" s="93">
        <v>59434</v>
      </c>
      <c r="Q518" s="123">
        <v>65044</v>
      </c>
      <c r="R518" s="123">
        <v>69750</v>
      </c>
      <c r="S518" s="123">
        <v>68236</v>
      </c>
      <c r="T518" s="123">
        <v>70611</v>
      </c>
      <c r="U518" s="149">
        <f t="shared" ref="U518:U520" si="183">(T518-K518)/K518</f>
        <v>0.13997190875187679</v>
      </c>
      <c r="V518" s="149">
        <f t="shared" ref="V518:V520" si="184">(T518-P518)/P518</f>
        <v>0.18805734091597401</v>
      </c>
      <c r="W518" s="149">
        <f t="shared" ref="W518:W520" si="185">(T518-S518)/S518</f>
        <v>3.480567442405768E-2</v>
      </c>
      <c r="X518" s="218">
        <f t="shared" ref="X518:X520" si="186">T518/T$520</f>
        <v>0.52441569437120772</v>
      </c>
      <c r="Y518" s="219">
        <f t="shared" si="182"/>
        <v>2375</v>
      </c>
    </row>
    <row r="519" spans="1:25" x14ac:dyDescent="0.25">
      <c r="A519" s="88" t="s">
        <v>604</v>
      </c>
      <c r="B519" s="93">
        <v>0</v>
      </c>
      <c r="C519" s="93">
        <v>0</v>
      </c>
      <c r="D519" s="93">
        <v>0</v>
      </c>
      <c r="E519" s="93">
        <v>0</v>
      </c>
      <c r="F519" s="93">
        <v>0</v>
      </c>
      <c r="G519" s="93">
        <v>0</v>
      </c>
      <c r="H519" s="93">
        <v>0</v>
      </c>
      <c r="I519" s="93">
        <v>0</v>
      </c>
      <c r="J519" s="93">
        <v>0</v>
      </c>
      <c r="K519" s="93">
        <v>0</v>
      </c>
      <c r="L519" s="93">
        <v>0</v>
      </c>
      <c r="M519" s="93">
        <v>0</v>
      </c>
      <c r="N519" s="93">
        <v>0</v>
      </c>
      <c r="O519" s="93">
        <v>0</v>
      </c>
      <c r="P519" s="93">
        <v>0</v>
      </c>
      <c r="Q519" s="93">
        <v>0</v>
      </c>
      <c r="R519" s="93">
        <v>0</v>
      </c>
      <c r="S519" s="93">
        <v>1</v>
      </c>
      <c r="T519" s="93">
        <v>0</v>
      </c>
      <c r="U519" s="149" t="s">
        <v>130</v>
      </c>
      <c r="V519" s="149" t="s">
        <v>130</v>
      </c>
      <c r="W519" s="149">
        <f t="shared" si="185"/>
        <v>-1</v>
      </c>
      <c r="X519" s="218">
        <f t="shared" si="186"/>
        <v>0</v>
      </c>
      <c r="Y519" s="219">
        <f t="shared" si="182"/>
        <v>-1</v>
      </c>
    </row>
    <row r="520" spans="1:25" x14ac:dyDescent="0.25">
      <c r="A520" s="92" t="s">
        <v>0</v>
      </c>
      <c r="B520" s="2">
        <v>68128</v>
      </c>
      <c r="C520" s="2">
        <v>68712</v>
      </c>
      <c r="D520" s="2">
        <v>81182</v>
      </c>
      <c r="E520" s="2">
        <v>95186</v>
      </c>
      <c r="F520" s="2">
        <v>105562</v>
      </c>
      <c r="G520" s="2">
        <v>111783</v>
      </c>
      <c r="H520" s="2">
        <v>126264</v>
      </c>
      <c r="I520" s="2">
        <v>128343</v>
      </c>
      <c r="J520" s="2">
        <v>124380</v>
      </c>
      <c r="K520" s="2">
        <v>123220</v>
      </c>
      <c r="L520" s="2">
        <v>119657</v>
      </c>
      <c r="M520" s="2">
        <v>121506</v>
      </c>
      <c r="N520" s="2">
        <v>121894</v>
      </c>
      <c r="O520" s="2">
        <v>109617</v>
      </c>
      <c r="P520" s="2">
        <v>120935</v>
      </c>
      <c r="Q520" s="89">
        <v>129801</v>
      </c>
      <c r="R520" s="89">
        <v>135710</v>
      </c>
      <c r="S520" s="89">
        <v>130410</v>
      </c>
      <c r="T520" s="89">
        <v>134647</v>
      </c>
      <c r="U520" s="150">
        <f t="shared" si="183"/>
        <v>9.2736568738841091E-2</v>
      </c>
      <c r="V520" s="150">
        <f t="shared" si="184"/>
        <v>0.11338322239219416</v>
      </c>
      <c r="W520" s="150">
        <f t="shared" si="185"/>
        <v>3.2489839736216546E-2</v>
      </c>
      <c r="X520" s="220">
        <f t="shared" si="186"/>
        <v>1</v>
      </c>
      <c r="Y520" s="221">
        <f t="shared" si="182"/>
        <v>4237</v>
      </c>
    </row>
    <row r="521" spans="1:25" x14ac:dyDescent="0.25">
      <c r="A521" s="102"/>
      <c r="B521" s="103"/>
      <c r="C521" s="103"/>
      <c r="D521" s="103"/>
      <c r="E521" s="103"/>
      <c r="F521" s="103"/>
      <c r="G521" s="103"/>
      <c r="H521" s="103"/>
      <c r="I521" s="103"/>
      <c r="J521" s="103"/>
      <c r="K521" s="103"/>
      <c r="L521" s="103"/>
      <c r="M521" s="10"/>
      <c r="N521" s="103"/>
      <c r="O521" s="103"/>
      <c r="P521" s="103"/>
      <c r="Q521" s="103"/>
      <c r="R521" s="103"/>
      <c r="S521" s="103"/>
      <c r="T521" s="103"/>
      <c r="U521" s="49"/>
      <c r="V521" s="49"/>
      <c r="W521" s="49"/>
      <c r="X521" s="49"/>
      <c r="Y521" s="49"/>
    </row>
    <row r="522" spans="1:25" ht="15.75" x14ac:dyDescent="0.25">
      <c r="A522" s="22" t="s">
        <v>452</v>
      </c>
      <c r="B522" s="22"/>
      <c r="C522" s="22"/>
      <c r="D522" s="22"/>
      <c r="E522" s="22"/>
      <c r="F522" s="22"/>
      <c r="G522" s="22"/>
      <c r="H522" s="22"/>
      <c r="I522" s="3"/>
      <c r="J522" s="3"/>
      <c r="K522" s="3"/>
      <c r="L522" s="3"/>
      <c r="N522" s="3"/>
      <c r="O522" s="3"/>
      <c r="P522" s="3"/>
      <c r="Q522" s="3"/>
      <c r="R522" s="3"/>
      <c r="S522" s="3"/>
      <c r="T522" s="3"/>
      <c r="U522" s="27"/>
      <c r="V522" s="27"/>
      <c r="W522" s="27"/>
      <c r="X522" s="27"/>
      <c r="Y522" s="27"/>
    </row>
    <row r="523" spans="1:25" ht="30" customHeight="1" x14ac:dyDescent="0.25">
      <c r="A523" s="120" t="s">
        <v>372</v>
      </c>
      <c r="B523" s="105">
        <v>2007</v>
      </c>
      <c r="C523" s="105">
        <v>2008</v>
      </c>
      <c r="D523" s="105">
        <v>2009</v>
      </c>
      <c r="E523" s="105">
        <v>2010</v>
      </c>
      <c r="F523" s="105">
        <v>2011</v>
      </c>
      <c r="G523" s="105">
        <v>2012</v>
      </c>
      <c r="H523" s="105">
        <v>2013</v>
      </c>
      <c r="I523" s="105">
        <v>2014</v>
      </c>
      <c r="J523" s="105">
        <v>2015</v>
      </c>
      <c r="K523" s="105">
        <v>2016</v>
      </c>
      <c r="L523" s="105">
        <v>2017</v>
      </c>
      <c r="M523" s="105">
        <v>2018</v>
      </c>
      <c r="N523" s="105">
        <v>2019</v>
      </c>
      <c r="O523" s="105">
        <v>2020</v>
      </c>
      <c r="P523" s="105">
        <v>2021</v>
      </c>
      <c r="Q523" s="105">
        <v>2022</v>
      </c>
      <c r="R523" s="105">
        <v>2023</v>
      </c>
      <c r="S523" s="105">
        <v>2024</v>
      </c>
      <c r="T523" s="105">
        <v>2025</v>
      </c>
      <c r="U523" s="106" t="s">
        <v>546</v>
      </c>
      <c r="V523" s="106" t="s">
        <v>547</v>
      </c>
      <c r="W523" s="106" t="s">
        <v>548</v>
      </c>
      <c r="X523" s="106" t="s">
        <v>549</v>
      </c>
      <c r="Y523" s="216" t="s">
        <v>563</v>
      </c>
    </row>
    <row r="524" spans="1:25" x14ac:dyDescent="0.25">
      <c r="A524" s="88" t="s">
        <v>138</v>
      </c>
      <c r="B524" s="93">
        <v>259137</v>
      </c>
      <c r="C524" s="93">
        <v>267733</v>
      </c>
      <c r="D524" s="93">
        <v>282342</v>
      </c>
      <c r="E524" s="93">
        <v>301681</v>
      </c>
      <c r="F524" s="93">
        <v>319935</v>
      </c>
      <c r="G524" s="93">
        <v>330494</v>
      </c>
      <c r="H524" s="93">
        <v>336458</v>
      </c>
      <c r="I524" s="93">
        <v>338658</v>
      </c>
      <c r="J524" s="93">
        <v>341445</v>
      </c>
      <c r="K524" s="93">
        <v>350464</v>
      </c>
      <c r="L524" s="93">
        <v>359079</v>
      </c>
      <c r="M524" s="93">
        <v>368687</v>
      </c>
      <c r="N524" s="93">
        <v>368605</v>
      </c>
      <c r="O524" s="93">
        <v>361299</v>
      </c>
      <c r="P524" s="93">
        <v>380840</v>
      </c>
      <c r="Q524" s="123">
        <v>375984</v>
      </c>
      <c r="R524" s="123">
        <v>381728</v>
      </c>
      <c r="S524" s="123">
        <v>391163</v>
      </c>
      <c r="T524" s="123">
        <v>408528</v>
      </c>
      <c r="U524" s="149">
        <f t="shared" ref="U524:U527" si="187">(T524-K524)/K524</f>
        <v>0.16567750182615049</v>
      </c>
      <c r="V524" s="149">
        <f t="shared" ref="V524:V527" si="188">(T524-P524)/P524</f>
        <v>7.2702447221930463E-2</v>
      </c>
      <c r="W524" s="149">
        <f t="shared" ref="W524:W527" si="189">(T524-S524)/S524</f>
        <v>4.4393258053548011E-2</v>
      </c>
      <c r="X524" s="218">
        <f>T524/T$527</f>
        <v>0.55811284719138887</v>
      </c>
      <c r="Y524" s="219">
        <f t="shared" ref="Y524:Y527" si="190">T524-S524</f>
        <v>17365</v>
      </c>
    </row>
    <row r="525" spans="1:25" x14ac:dyDescent="0.25">
      <c r="A525" s="88" t="s">
        <v>139</v>
      </c>
      <c r="B525" s="93">
        <v>246245</v>
      </c>
      <c r="C525" s="93">
        <v>256877</v>
      </c>
      <c r="D525" s="93">
        <v>267394</v>
      </c>
      <c r="E525" s="93">
        <v>283710</v>
      </c>
      <c r="F525" s="93">
        <v>295876</v>
      </c>
      <c r="G525" s="93">
        <v>300772</v>
      </c>
      <c r="H525" s="93">
        <v>308875</v>
      </c>
      <c r="I525" s="93">
        <v>306709</v>
      </c>
      <c r="J525" s="93">
        <v>304750</v>
      </c>
      <c r="K525" s="93">
        <v>305317</v>
      </c>
      <c r="L525" s="93">
        <v>306727</v>
      </c>
      <c r="M525" s="93">
        <v>309526</v>
      </c>
      <c r="N525" s="93">
        <v>308479</v>
      </c>
      <c r="O525" s="93">
        <v>298810</v>
      </c>
      <c r="P525" s="93">
        <v>310535</v>
      </c>
      <c r="Q525" s="123">
        <v>309451</v>
      </c>
      <c r="R525" s="123">
        <v>311933</v>
      </c>
      <c r="S525" s="123">
        <v>314867</v>
      </c>
      <c r="T525" s="123">
        <v>323436</v>
      </c>
      <c r="U525" s="149">
        <f t="shared" si="187"/>
        <v>5.9344877618999273E-2</v>
      </c>
      <c r="V525" s="149">
        <f t="shared" si="188"/>
        <v>4.1544431384546027E-2</v>
      </c>
      <c r="W525" s="149">
        <f t="shared" si="189"/>
        <v>2.7214665239609106E-2</v>
      </c>
      <c r="X525" s="218">
        <f t="shared" ref="X525:X527" si="191">T525/T$527</f>
        <v>0.44186392816206976</v>
      </c>
      <c r="Y525" s="219">
        <f t="shared" si="190"/>
        <v>8569</v>
      </c>
    </row>
    <row r="526" spans="1:25" x14ac:dyDescent="0.25">
      <c r="A526" s="88" t="s">
        <v>604</v>
      </c>
      <c r="B526" s="93">
        <v>0</v>
      </c>
      <c r="C526" s="93">
        <v>0</v>
      </c>
      <c r="D526" s="93">
        <v>0</v>
      </c>
      <c r="E526" s="93">
        <v>0</v>
      </c>
      <c r="F526" s="93">
        <v>0</v>
      </c>
      <c r="G526" s="93">
        <v>0</v>
      </c>
      <c r="H526" s="93">
        <v>0</v>
      </c>
      <c r="I526" s="93">
        <v>0</v>
      </c>
      <c r="J526" s="93">
        <v>0</v>
      </c>
      <c r="K526" s="93">
        <v>0</v>
      </c>
      <c r="L526" s="93">
        <v>0</v>
      </c>
      <c r="M526" s="93">
        <v>0</v>
      </c>
      <c r="N526" s="93">
        <v>0</v>
      </c>
      <c r="O526" s="93">
        <v>0</v>
      </c>
      <c r="P526" s="93">
        <v>0</v>
      </c>
      <c r="Q526" s="93">
        <v>0</v>
      </c>
      <c r="R526" s="123">
        <v>1</v>
      </c>
      <c r="S526" s="123">
        <v>10</v>
      </c>
      <c r="T526" s="123">
        <v>17</v>
      </c>
      <c r="U526" s="149" t="s">
        <v>130</v>
      </c>
      <c r="V526" s="149" t="s">
        <v>130</v>
      </c>
      <c r="W526" s="149">
        <f t="shared" si="189"/>
        <v>0.7</v>
      </c>
      <c r="X526" s="218">
        <f t="shared" si="191"/>
        <v>2.3224646541371974E-5</v>
      </c>
      <c r="Y526" s="219">
        <f t="shared" si="190"/>
        <v>7</v>
      </c>
    </row>
    <row r="527" spans="1:25" s="42" customFormat="1" x14ac:dyDescent="0.25">
      <c r="A527" s="92" t="s">
        <v>0</v>
      </c>
      <c r="B527" s="2">
        <v>505382</v>
      </c>
      <c r="C527" s="2">
        <v>524610</v>
      </c>
      <c r="D527" s="2">
        <v>549736</v>
      </c>
      <c r="E527" s="2">
        <v>585391</v>
      </c>
      <c r="F527" s="2">
        <v>615811</v>
      </c>
      <c r="G527" s="2">
        <v>631266</v>
      </c>
      <c r="H527" s="2">
        <v>645333</v>
      </c>
      <c r="I527" s="2">
        <v>645367</v>
      </c>
      <c r="J527" s="2">
        <v>646195</v>
      </c>
      <c r="K527" s="2">
        <v>655781</v>
      </c>
      <c r="L527" s="2">
        <v>665806</v>
      </c>
      <c r="M527" s="2">
        <v>678213</v>
      </c>
      <c r="N527" s="2">
        <v>677084</v>
      </c>
      <c r="O527" s="2">
        <v>660109</v>
      </c>
      <c r="P527" s="2">
        <v>691375</v>
      </c>
      <c r="Q527" s="89">
        <v>685435</v>
      </c>
      <c r="R527" s="89">
        <v>693662</v>
      </c>
      <c r="S527" s="89">
        <v>706040</v>
      </c>
      <c r="T527" s="89">
        <v>731981</v>
      </c>
      <c r="U527" s="150">
        <f t="shared" si="187"/>
        <v>0.11619732807141409</v>
      </c>
      <c r="V527" s="150">
        <f t="shared" si="188"/>
        <v>5.873223648526487E-2</v>
      </c>
      <c r="W527" s="150">
        <f t="shared" si="189"/>
        <v>3.6741544388419922E-2</v>
      </c>
      <c r="X527" s="220">
        <f t="shared" si="191"/>
        <v>1</v>
      </c>
      <c r="Y527" s="221">
        <f t="shared" si="190"/>
        <v>25941</v>
      </c>
    </row>
    <row r="528" spans="1:25" x14ac:dyDescent="0.25">
      <c r="A528" s="3"/>
      <c r="B528" s="3"/>
      <c r="C528" s="3"/>
      <c r="D528" s="3"/>
      <c r="E528" s="3"/>
      <c r="F528" s="3"/>
      <c r="G528" s="3"/>
      <c r="H528" s="3"/>
      <c r="I528" s="3"/>
      <c r="J528" s="3"/>
      <c r="K528" s="3"/>
      <c r="L528" s="3"/>
      <c r="N528" s="3"/>
      <c r="O528" s="3"/>
      <c r="P528" s="3"/>
      <c r="Q528" s="3"/>
      <c r="R528" s="3"/>
      <c r="S528" s="3"/>
      <c r="T528" s="3"/>
      <c r="U528" s="27"/>
      <c r="V528" s="27"/>
      <c r="W528" s="27"/>
      <c r="X528" s="27"/>
      <c r="Y528" s="3"/>
    </row>
    <row r="529" spans="1:25" ht="15.75" x14ac:dyDescent="0.25">
      <c r="A529" s="22" t="s">
        <v>453</v>
      </c>
      <c r="B529" s="22"/>
      <c r="C529" s="22"/>
      <c r="D529" s="22"/>
      <c r="E529" s="22"/>
      <c r="F529" s="22"/>
      <c r="G529" s="22"/>
      <c r="H529" s="22"/>
      <c r="I529" s="3"/>
      <c r="J529" s="3"/>
      <c r="K529" s="3"/>
      <c r="L529" s="3"/>
      <c r="N529" s="3"/>
      <c r="O529" s="3"/>
      <c r="P529" s="3"/>
      <c r="Q529" s="3"/>
      <c r="R529" s="3"/>
      <c r="S529" s="3"/>
      <c r="T529" s="3"/>
      <c r="U529" s="27"/>
      <c r="V529" s="27"/>
      <c r="W529" s="27"/>
      <c r="X529" s="27"/>
      <c r="Y529" s="3"/>
    </row>
    <row r="530" spans="1:25" ht="25.5" x14ac:dyDescent="0.25">
      <c r="A530" s="120" t="s">
        <v>372</v>
      </c>
      <c r="B530" s="105">
        <v>2007</v>
      </c>
      <c r="C530" s="105">
        <v>2008</v>
      </c>
      <c r="D530" s="105">
        <v>2009</v>
      </c>
      <c r="E530" s="105">
        <v>2010</v>
      </c>
      <c r="F530" s="105">
        <v>2011</v>
      </c>
      <c r="G530" s="105">
        <v>2012</v>
      </c>
      <c r="H530" s="105">
        <v>2013</v>
      </c>
      <c r="I530" s="105">
        <v>2014</v>
      </c>
      <c r="J530" s="105">
        <v>2015</v>
      </c>
      <c r="K530" s="105">
        <v>2016</v>
      </c>
      <c r="L530" s="105">
        <v>2017</v>
      </c>
      <c r="M530" s="105">
        <v>2018</v>
      </c>
      <c r="N530" s="105">
        <v>2019</v>
      </c>
      <c r="O530" s="105">
        <v>2020</v>
      </c>
      <c r="P530" s="105">
        <v>2021</v>
      </c>
      <c r="Q530" s="105">
        <v>2022</v>
      </c>
      <c r="R530" s="105">
        <v>2023</v>
      </c>
      <c r="S530" s="105">
        <v>2024</v>
      </c>
      <c r="T530" s="105">
        <v>2025</v>
      </c>
      <c r="U530" s="106" t="s">
        <v>546</v>
      </c>
      <c r="V530" s="106" t="s">
        <v>547</v>
      </c>
      <c r="W530" s="106" t="s">
        <v>548</v>
      </c>
      <c r="X530" s="106" t="s">
        <v>549</v>
      </c>
      <c r="Y530" s="216" t="s">
        <v>563</v>
      </c>
    </row>
    <row r="531" spans="1:25" x14ac:dyDescent="0.25">
      <c r="A531" s="88" t="s">
        <v>138</v>
      </c>
      <c r="B531" s="93">
        <v>66049</v>
      </c>
      <c r="C531" s="93">
        <v>69762</v>
      </c>
      <c r="D531" s="93">
        <v>75339</v>
      </c>
      <c r="E531" s="93">
        <v>80608</v>
      </c>
      <c r="F531" s="93">
        <v>81320</v>
      </c>
      <c r="G531" s="93">
        <v>82567</v>
      </c>
      <c r="H531" s="93">
        <v>78228</v>
      </c>
      <c r="I531" s="93">
        <v>75954</v>
      </c>
      <c r="J531" s="93">
        <v>77886</v>
      </c>
      <c r="K531" s="93">
        <v>82759</v>
      </c>
      <c r="L531" s="93">
        <v>83869</v>
      </c>
      <c r="M531" s="93">
        <v>84034</v>
      </c>
      <c r="N531" s="93">
        <v>79075</v>
      </c>
      <c r="O531" s="93">
        <v>74961</v>
      </c>
      <c r="P531" s="93">
        <v>74976</v>
      </c>
      <c r="Q531" s="123">
        <v>72656</v>
      </c>
      <c r="R531" s="123">
        <v>82452</v>
      </c>
      <c r="S531" s="123">
        <v>85596</v>
      </c>
      <c r="T531" s="123">
        <v>88892</v>
      </c>
      <c r="U531" s="149">
        <f>(T531-K531)/K531</f>
        <v>7.4106743677424813E-2</v>
      </c>
      <c r="V531" s="149">
        <f>(T531-P531)/P531</f>
        <v>0.18560606060606061</v>
      </c>
      <c r="W531" s="149">
        <f>(T531-S531)/S531</f>
        <v>3.8506472265059113E-2</v>
      </c>
      <c r="X531" s="218">
        <f>T531/T$534</f>
        <v>0.55864053996304719</v>
      </c>
      <c r="Y531" s="219">
        <f t="shared" ref="Y531:Y534" si="192">T531-S531</f>
        <v>3296</v>
      </c>
    </row>
    <row r="532" spans="1:25" x14ac:dyDescent="0.25">
      <c r="A532" s="88" t="s">
        <v>139</v>
      </c>
      <c r="B532" s="93">
        <v>65290</v>
      </c>
      <c r="C532" s="93">
        <v>67434</v>
      </c>
      <c r="D532" s="93">
        <v>71924</v>
      </c>
      <c r="E532" s="93">
        <v>76149</v>
      </c>
      <c r="F532" s="93">
        <v>77406</v>
      </c>
      <c r="G532" s="93">
        <v>75894</v>
      </c>
      <c r="H532" s="93">
        <v>73784</v>
      </c>
      <c r="I532" s="93">
        <v>71222</v>
      </c>
      <c r="J532" s="93">
        <v>71942</v>
      </c>
      <c r="K532" s="93">
        <v>72504</v>
      </c>
      <c r="L532" s="93">
        <v>71711</v>
      </c>
      <c r="M532" s="93">
        <v>70147</v>
      </c>
      <c r="N532" s="93">
        <v>68778</v>
      </c>
      <c r="O532" s="93">
        <v>62685</v>
      </c>
      <c r="P532" s="93">
        <v>60241</v>
      </c>
      <c r="Q532" s="123">
        <v>59926</v>
      </c>
      <c r="R532" s="123">
        <v>67182</v>
      </c>
      <c r="S532" s="123">
        <v>67904</v>
      </c>
      <c r="T532" s="123">
        <v>70229</v>
      </c>
      <c r="U532" s="149">
        <f t="shared" ref="U532:U534" si="193">(T532-K532)/K532</f>
        <v>-3.1377579168045899E-2</v>
      </c>
      <c r="V532" s="149">
        <f t="shared" ref="V532:V534" si="194">(T532-P532)/P532</f>
        <v>0.16580070051957968</v>
      </c>
      <c r="W532" s="149">
        <f t="shared" ref="W532:W534" si="195">(T532-S532)/S532</f>
        <v>3.4239514608859566E-2</v>
      </c>
      <c r="X532" s="218">
        <f t="shared" ref="X532:X534" si="196">T532/T$534</f>
        <v>0.4413531755508352</v>
      </c>
      <c r="Y532" s="219">
        <f t="shared" si="192"/>
        <v>2325</v>
      </c>
    </row>
    <row r="533" spans="1:25" x14ac:dyDescent="0.25">
      <c r="A533" s="88" t="s">
        <v>604</v>
      </c>
      <c r="B533" s="93">
        <v>0</v>
      </c>
      <c r="C533" s="93">
        <v>0</v>
      </c>
      <c r="D533" s="93">
        <v>0</v>
      </c>
      <c r="E533" s="93">
        <v>0</v>
      </c>
      <c r="F533" s="93">
        <v>0</v>
      </c>
      <c r="G533" s="93">
        <v>0</v>
      </c>
      <c r="H533" s="93">
        <v>0</v>
      </c>
      <c r="I533" s="93">
        <v>0</v>
      </c>
      <c r="J533" s="93">
        <v>0</v>
      </c>
      <c r="K533" s="93">
        <v>0</v>
      </c>
      <c r="L533" s="93">
        <v>0</v>
      </c>
      <c r="M533" s="93">
        <v>0</v>
      </c>
      <c r="N533" s="93">
        <v>0</v>
      </c>
      <c r="O533" s="93">
        <v>0</v>
      </c>
      <c r="P533" s="93">
        <v>0</v>
      </c>
      <c r="Q533" s="93">
        <v>0</v>
      </c>
      <c r="R533" s="123">
        <v>1</v>
      </c>
      <c r="S533" s="123">
        <v>2</v>
      </c>
      <c r="T533" s="123">
        <v>1</v>
      </c>
      <c r="U533" s="149" t="s">
        <v>130</v>
      </c>
      <c r="V533" s="149" t="s">
        <v>130</v>
      </c>
      <c r="W533" s="149">
        <f t="shared" si="195"/>
        <v>-0.5</v>
      </c>
      <c r="X533" s="218">
        <f t="shared" si="196"/>
        <v>6.2844861175701659E-6</v>
      </c>
      <c r="Y533" s="219">
        <f t="shared" si="192"/>
        <v>-1</v>
      </c>
    </row>
    <row r="534" spans="1:25" x14ac:dyDescent="0.25">
      <c r="A534" s="92" t="s">
        <v>0</v>
      </c>
      <c r="B534" s="2">
        <v>131339</v>
      </c>
      <c r="C534" s="2">
        <v>137196</v>
      </c>
      <c r="D534" s="2">
        <v>147263</v>
      </c>
      <c r="E534" s="2">
        <v>156757</v>
      </c>
      <c r="F534" s="2">
        <v>158726</v>
      </c>
      <c r="G534" s="2">
        <v>158461</v>
      </c>
      <c r="H534" s="2">
        <v>152012</v>
      </c>
      <c r="I534" s="2">
        <v>147176</v>
      </c>
      <c r="J534" s="2">
        <v>149828</v>
      </c>
      <c r="K534" s="2">
        <v>155263</v>
      </c>
      <c r="L534" s="2">
        <v>155580</v>
      </c>
      <c r="M534" s="2">
        <v>154181</v>
      </c>
      <c r="N534" s="2">
        <v>147853</v>
      </c>
      <c r="O534" s="2">
        <v>137646</v>
      </c>
      <c r="P534" s="2">
        <v>135217</v>
      </c>
      <c r="Q534" s="89">
        <v>132582</v>
      </c>
      <c r="R534" s="89">
        <v>149635</v>
      </c>
      <c r="S534" s="89">
        <v>153502</v>
      </c>
      <c r="T534" s="89">
        <v>159122</v>
      </c>
      <c r="U534" s="150">
        <f t="shared" si="193"/>
        <v>2.4854601547052421E-2</v>
      </c>
      <c r="V534" s="150">
        <f t="shared" si="194"/>
        <v>0.17678990067816916</v>
      </c>
      <c r="W534" s="150">
        <f t="shared" si="195"/>
        <v>3.6611900822139123E-2</v>
      </c>
      <c r="X534" s="220">
        <f t="shared" si="196"/>
        <v>1</v>
      </c>
      <c r="Y534" s="221">
        <f t="shared" si="192"/>
        <v>5620</v>
      </c>
    </row>
    <row r="535" spans="1:25" x14ac:dyDescent="0.25">
      <c r="A535" s="102"/>
      <c r="B535" s="103"/>
      <c r="C535" s="103"/>
      <c r="D535" s="103"/>
      <c r="E535" s="103"/>
      <c r="F535" s="103"/>
      <c r="G535" s="103"/>
      <c r="H535" s="103"/>
      <c r="I535" s="103"/>
      <c r="J535" s="103"/>
      <c r="K535" s="103"/>
      <c r="L535" s="103"/>
      <c r="M535" s="10"/>
      <c r="N535" s="103"/>
      <c r="O535" s="103"/>
      <c r="P535" s="103"/>
      <c r="Q535" s="103"/>
      <c r="R535" s="103"/>
      <c r="S535" s="103"/>
      <c r="T535" s="103"/>
      <c r="U535" s="49"/>
      <c r="V535" s="49"/>
      <c r="W535" s="49"/>
      <c r="X535" s="49"/>
      <c r="Y535" s="49"/>
    </row>
    <row r="536" spans="1:25" ht="15.75" x14ac:dyDescent="0.25">
      <c r="A536" s="22" t="s">
        <v>77</v>
      </c>
      <c r="B536" s="22"/>
      <c r="C536" s="22"/>
      <c r="D536" s="22"/>
      <c r="E536" s="22"/>
      <c r="F536" s="22"/>
      <c r="G536" s="22"/>
      <c r="H536" s="22"/>
      <c r="I536" s="3"/>
      <c r="J536" s="3"/>
      <c r="K536" s="3"/>
      <c r="L536" s="3"/>
      <c r="N536" s="3"/>
      <c r="O536" s="3"/>
      <c r="P536" s="3"/>
      <c r="Q536" s="3"/>
      <c r="R536" s="3"/>
      <c r="S536" s="3"/>
      <c r="T536" s="3"/>
      <c r="U536" s="27"/>
      <c r="V536" s="27"/>
      <c r="W536" s="27"/>
      <c r="X536" s="27"/>
      <c r="Y536" s="27"/>
    </row>
    <row r="537" spans="1:25" ht="30" customHeight="1" x14ac:dyDescent="0.25">
      <c r="A537" s="120" t="s">
        <v>93</v>
      </c>
      <c r="B537" s="105">
        <v>2007</v>
      </c>
      <c r="C537" s="105">
        <v>2008</v>
      </c>
      <c r="D537" s="105">
        <v>2009</v>
      </c>
      <c r="E537" s="105">
        <v>2010</v>
      </c>
      <c r="F537" s="105">
        <v>2011</v>
      </c>
      <c r="G537" s="105">
        <v>2012</v>
      </c>
      <c r="H537" s="105">
        <v>2013</v>
      </c>
      <c r="I537" s="105">
        <v>2014</v>
      </c>
      <c r="J537" s="105">
        <v>2015</v>
      </c>
      <c r="K537" s="105">
        <v>2016</v>
      </c>
      <c r="L537" s="105">
        <v>2017</v>
      </c>
      <c r="M537" s="132">
        <v>2018</v>
      </c>
      <c r="N537" s="105">
        <v>2019</v>
      </c>
      <c r="O537" s="105">
        <v>2020</v>
      </c>
      <c r="P537" s="105">
        <v>2021</v>
      </c>
      <c r="Q537" s="105">
        <v>2022</v>
      </c>
      <c r="R537" s="105">
        <v>2023</v>
      </c>
      <c r="S537" s="105">
        <v>2024</v>
      </c>
      <c r="T537" s="105">
        <v>2025</v>
      </c>
      <c r="U537" s="106" t="s">
        <v>546</v>
      </c>
      <c r="V537" s="106" t="s">
        <v>547</v>
      </c>
      <c r="W537" s="106" t="s">
        <v>548</v>
      </c>
      <c r="X537" s="106" t="s">
        <v>549</v>
      </c>
      <c r="Y537" s="216" t="s">
        <v>563</v>
      </c>
    </row>
    <row r="538" spans="1:25" x14ac:dyDescent="0.25">
      <c r="A538" s="88" t="s">
        <v>36</v>
      </c>
      <c r="B538" s="123">
        <v>166307</v>
      </c>
      <c r="C538" s="123">
        <v>172695</v>
      </c>
      <c r="D538" s="123">
        <v>186093</v>
      </c>
      <c r="E538" s="123">
        <v>195411</v>
      </c>
      <c r="F538" s="123">
        <v>201106</v>
      </c>
      <c r="G538" s="123">
        <v>202623</v>
      </c>
      <c r="H538" s="123">
        <v>209197</v>
      </c>
      <c r="I538" s="123">
        <v>209445</v>
      </c>
      <c r="J538" s="123">
        <v>208765</v>
      </c>
      <c r="K538" s="123">
        <v>210760</v>
      </c>
      <c r="L538" s="123">
        <v>209497</v>
      </c>
      <c r="M538" s="123">
        <v>213380</v>
      </c>
      <c r="N538" s="123">
        <v>215133</v>
      </c>
      <c r="O538" s="123">
        <v>215841</v>
      </c>
      <c r="P538" s="123">
        <v>207222</v>
      </c>
      <c r="Q538" s="123">
        <v>208659</v>
      </c>
      <c r="R538" s="123">
        <v>220914</v>
      </c>
      <c r="S538" s="123">
        <v>229668</v>
      </c>
      <c r="T538" s="123">
        <v>240273</v>
      </c>
      <c r="U538" s="149">
        <f t="shared" ref="U538:U545" si="197">(T538-K538)/K538</f>
        <v>0.1400313152400835</v>
      </c>
      <c r="V538" s="149">
        <f t="shared" ref="V538:V545" si="198">(T538-P538)/P538</f>
        <v>0.15949561340012161</v>
      </c>
      <c r="W538" s="149">
        <f t="shared" ref="W538:W545" si="199">(T538-S538)/S538</f>
        <v>4.6175348764303258E-2</v>
      </c>
      <c r="X538" s="218">
        <f>T538/T$9</f>
        <v>0.18101788232741475</v>
      </c>
      <c r="Y538" s="219">
        <f t="shared" ref="Y538:Y545" si="200">T538-S538</f>
        <v>10605</v>
      </c>
    </row>
    <row r="539" spans="1:25" x14ac:dyDescent="0.25">
      <c r="A539" s="88" t="s">
        <v>37</v>
      </c>
      <c r="B539" s="123">
        <v>389929</v>
      </c>
      <c r="C539" s="123">
        <v>410484</v>
      </c>
      <c r="D539" s="123">
        <v>449131</v>
      </c>
      <c r="E539" s="123">
        <v>500905</v>
      </c>
      <c r="F539" s="123">
        <v>544885</v>
      </c>
      <c r="G539" s="123">
        <v>566416</v>
      </c>
      <c r="H539" s="123">
        <v>580453</v>
      </c>
      <c r="I539" s="123">
        <v>584589</v>
      </c>
      <c r="J539" s="123">
        <v>586054</v>
      </c>
      <c r="K539" s="123">
        <v>585672</v>
      </c>
      <c r="L539" s="123">
        <v>586478</v>
      </c>
      <c r="M539" s="123">
        <v>591847</v>
      </c>
      <c r="N539" s="123">
        <v>595255</v>
      </c>
      <c r="O539" s="123">
        <v>575194</v>
      </c>
      <c r="P539" s="123">
        <v>586856</v>
      </c>
      <c r="Q539" s="123">
        <v>580537</v>
      </c>
      <c r="R539" s="123">
        <v>593705</v>
      </c>
      <c r="S539" s="123">
        <v>605649</v>
      </c>
      <c r="T539" s="123">
        <v>621654</v>
      </c>
      <c r="U539" s="149">
        <f t="shared" si="197"/>
        <v>6.1437118387083559E-2</v>
      </c>
      <c r="V539" s="149">
        <f t="shared" si="198"/>
        <v>5.9295636408250064E-2</v>
      </c>
      <c r="W539" s="149">
        <f t="shared" si="199"/>
        <v>2.6426197351931566E-2</v>
      </c>
      <c r="X539" s="218">
        <f t="shared" ref="X539:X545" si="201">T539/T$9</f>
        <v>0.46834430260731202</v>
      </c>
      <c r="Y539" s="219">
        <f t="shared" si="200"/>
        <v>16005</v>
      </c>
    </row>
    <row r="540" spans="1:25" x14ac:dyDescent="0.25">
      <c r="A540" s="88" t="s">
        <v>38</v>
      </c>
      <c r="B540" s="123">
        <v>118994</v>
      </c>
      <c r="C540" s="123">
        <v>122791</v>
      </c>
      <c r="D540" s="123">
        <v>130091</v>
      </c>
      <c r="E540" s="123">
        <v>145265</v>
      </c>
      <c r="F540" s="123">
        <v>160828</v>
      </c>
      <c r="G540" s="123">
        <v>172366</v>
      </c>
      <c r="H540" s="123">
        <v>187724</v>
      </c>
      <c r="I540" s="123">
        <v>199954</v>
      </c>
      <c r="J540" s="123">
        <v>210028</v>
      </c>
      <c r="K540" s="123">
        <v>213770</v>
      </c>
      <c r="L540" s="123">
        <v>212026</v>
      </c>
      <c r="M540" s="123">
        <v>208305</v>
      </c>
      <c r="N540" s="123">
        <v>203407</v>
      </c>
      <c r="O540" s="123">
        <v>186076</v>
      </c>
      <c r="P540" s="123">
        <v>200148</v>
      </c>
      <c r="Q540" s="123">
        <v>193156</v>
      </c>
      <c r="R540" s="123">
        <v>188362</v>
      </c>
      <c r="S540" s="123">
        <v>183330</v>
      </c>
      <c r="T540" s="123">
        <v>183976</v>
      </c>
      <c r="U540" s="149">
        <f t="shared" si="197"/>
        <v>-0.13937409365205594</v>
      </c>
      <c r="V540" s="149">
        <f t="shared" si="198"/>
        <v>-8.0800207846193822E-2</v>
      </c>
      <c r="W540" s="149">
        <f t="shared" si="199"/>
        <v>3.5237004309169257E-3</v>
      </c>
      <c r="X540" s="218">
        <f t="shared" si="201"/>
        <v>0.13860461191672996</v>
      </c>
      <c r="Y540" s="219">
        <f t="shared" si="200"/>
        <v>646</v>
      </c>
    </row>
    <row r="541" spans="1:25" x14ac:dyDescent="0.25">
      <c r="A541" s="88" t="s">
        <v>39</v>
      </c>
      <c r="B541" s="123">
        <v>37026</v>
      </c>
      <c r="C541" s="123">
        <v>38357</v>
      </c>
      <c r="D541" s="123">
        <v>41422</v>
      </c>
      <c r="E541" s="123">
        <v>48213</v>
      </c>
      <c r="F541" s="123">
        <v>55150</v>
      </c>
      <c r="G541" s="123">
        <v>63433</v>
      </c>
      <c r="H541" s="123">
        <v>70881</v>
      </c>
      <c r="I541" s="123">
        <v>76266</v>
      </c>
      <c r="J541" s="123">
        <v>80345</v>
      </c>
      <c r="K541" s="123">
        <v>81688</v>
      </c>
      <c r="L541" s="123">
        <v>80636</v>
      </c>
      <c r="M541" s="123">
        <v>81630</v>
      </c>
      <c r="N541" s="123">
        <v>83420</v>
      </c>
      <c r="O541" s="123">
        <v>79556</v>
      </c>
      <c r="P541" s="123">
        <v>93473</v>
      </c>
      <c r="Q541" s="123">
        <v>98026</v>
      </c>
      <c r="R541" s="123">
        <v>99586</v>
      </c>
      <c r="S541" s="123">
        <v>99477</v>
      </c>
      <c r="T541" s="123">
        <v>102155</v>
      </c>
      <c r="U541" s="149">
        <f t="shared" si="197"/>
        <v>0.2505508765057291</v>
      </c>
      <c r="V541" s="149">
        <f t="shared" si="198"/>
        <v>9.2882436639457389E-2</v>
      </c>
      <c r="W541" s="149">
        <f t="shared" si="199"/>
        <v>2.6920795761834395E-2</v>
      </c>
      <c r="X541" s="218">
        <f t="shared" si="201"/>
        <v>7.6961963138417772E-2</v>
      </c>
      <c r="Y541" s="219">
        <f t="shared" si="200"/>
        <v>2678</v>
      </c>
    </row>
    <row r="542" spans="1:25" x14ac:dyDescent="0.25">
      <c r="A542" s="88" t="s">
        <v>40</v>
      </c>
      <c r="B542" s="123">
        <v>17190</v>
      </c>
      <c r="C542" s="123">
        <v>19013</v>
      </c>
      <c r="D542" s="123">
        <v>21521</v>
      </c>
      <c r="E542" s="123">
        <v>25196</v>
      </c>
      <c r="F542" s="123">
        <v>28084</v>
      </c>
      <c r="G542" s="123">
        <v>31071</v>
      </c>
      <c r="H542" s="123">
        <v>34053</v>
      </c>
      <c r="I542" s="123">
        <v>37238</v>
      </c>
      <c r="J542" s="123">
        <v>39793</v>
      </c>
      <c r="K542" s="123">
        <v>42213</v>
      </c>
      <c r="L542" s="123">
        <v>43687</v>
      </c>
      <c r="M542" s="123">
        <v>45023</v>
      </c>
      <c r="N542" s="123">
        <v>46456</v>
      </c>
      <c r="O542" s="123">
        <v>44883</v>
      </c>
      <c r="P542" s="123">
        <v>54738</v>
      </c>
      <c r="Q542" s="123">
        <v>60122</v>
      </c>
      <c r="R542" s="123">
        <v>64309</v>
      </c>
      <c r="S542" s="123">
        <v>68985</v>
      </c>
      <c r="T542" s="123">
        <v>76291</v>
      </c>
      <c r="U542" s="149">
        <f t="shared" si="197"/>
        <v>0.80728685476038187</v>
      </c>
      <c r="V542" s="149">
        <f t="shared" si="198"/>
        <v>0.39374840147612261</v>
      </c>
      <c r="W542" s="149">
        <f t="shared" si="199"/>
        <v>0.10590708124954701</v>
      </c>
      <c r="X542" s="218">
        <f t="shared" si="201"/>
        <v>5.7476434142166612E-2</v>
      </c>
      <c r="Y542" s="219">
        <f t="shared" si="200"/>
        <v>7306</v>
      </c>
    </row>
    <row r="543" spans="1:25" x14ac:dyDescent="0.25">
      <c r="A543" s="88" t="s">
        <v>1</v>
      </c>
      <c r="B543" s="123">
        <v>17050</v>
      </c>
      <c r="C543" s="123">
        <v>19037</v>
      </c>
      <c r="D543" s="123">
        <v>20672</v>
      </c>
      <c r="E543" s="123">
        <v>22922</v>
      </c>
      <c r="F543" s="123">
        <v>24671</v>
      </c>
      <c r="G543" s="123">
        <v>28758</v>
      </c>
      <c r="H543" s="123">
        <v>31894</v>
      </c>
      <c r="I543" s="123">
        <v>36838</v>
      </c>
      <c r="J543" s="123">
        <v>40838</v>
      </c>
      <c r="K543" s="123">
        <v>44339</v>
      </c>
      <c r="L543" s="123">
        <v>44949</v>
      </c>
      <c r="M543" s="123">
        <v>47621</v>
      </c>
      <c r="N543" s="123">
        <v>50751</v>
      </c>
      <c r="O543" s="123">
        <v>50262</v>
      </c>
      <c r="P543" s="123">
        <v>61936</v>
      </c>
      <c r="Q543" s="123">
        <v>73504</v>
      </c>
      <c r="R543" s="123">
        <v>82536</v>
      </c>
      <c r="S543" s="123">
        <v>90492</v>
      </c>
      <c r="T543" s="123">
        <v>102990</v>
      </c>
      <c r="U543" s="149">
        <f t="shared" si="197"/>
        <v>1.3227858093326417</v>
      </c>
      <c r="V543" s="149">
        <f t="shared" si="198"/>
        <v>0.66284551795401703</v>
      </c>
      <c r="W543" s="149">
        <f t="shared" si="199"/>
        <v>0.13811165627900809</v>
      </c>
      <c r="X543" s="218">
        <f t="shared" si="201"/>
        <v>7.75910389469497E-2</v>
      </c>
      <c r="Y543" s="219">
        <f t="shared" si="200"/>
        <v>12498</v>
      </c>
    </row>
    <row r="544" spans="1:25" x14ac:dyDescent="0.25">
      <c r="A544" s="88" t="s">
        <v>66</v>
      </c>
      <c r="B544" s="123">
        <v>1848</v>
      </c>
      <c r="C544" s="123">
        <v>972</v>
      </c>
      <c r="D544" s="123">
        <v>410</v>
      </c>
      <c r="E544" s="123">
        <v>346</v>
      </c>
      <c r="F544" s="123">
        <v>353</v>
      </c>
      <c r="G544" s="123">
        <v>149</v>
      </c>
      <c r="H544" s="123">
        <v>75</v>
      </c>
      <c r="I544" s="123">
        <v>51</v>
      </c>
      <c r="J544" s="123">
        <v>83</v>
      </c>
      <c r="K544" s="123">
        <v>38</v>
      </c>
      <c r="L544" s="123">
        <v>19</v>
      </c>
      <c r="M544" s="123">
        <v>239</v>
      </c>
      <c r="N544" s="123">
        <v>37</v>
      </c>
      <c r="O544" s="123">
        <v>22</v>
      </c>
      <c r="P544" s="123">
        <v>3</v>
      </c>
      <c r="Q544" s="123">
        <v>7</v>
      </c>
      <c r="R544" s="123">
        <v>7</v>
      </c>
      <c r="S544" s="123">
        <v>10</v>
      </c>
      <c r="T544" s="123">
        <v>5</v>
      </c>
      <c r="U544" s="149">
        <f t="shared" si="197"/>
        <v>-0.86842105263157898</v>
      </c>
      <c r="V544" s="149">
        <f t="shared" si="198"/>
        <v>0.66666666666666663</v>
      </c>
      <c r="W544" s="149">
        <f t="shared" si="199"/>
        <v>-0.5</v>
      </c>
      <c r="X544" s="218">
        <f t="shared" si="201"/>
        <v>3.7669210091732061E-6</v>
      </c>
      <c r="Y544" s="219">
        <f t="shared" si="200"/>
        <v>-5</v>
      </c>
    </row>
    <row r="545" spans="1:25" x14ac:dyDescent="0.25">
      <c r="A545" s="92" t="s">
        <v>0</v>
      </c>
      <c r="B545" s="89">
        <v>748344</v>
      </c>
      <c r="C545" s="89">
        <v>783349</v>
      </c>
      <c r="D545" s="89">
        <v>849340</v>
      </c>
      <c r="E545" s="89">
        <v>938258</v>
      </c>
      <c r="F545" s="89">
        <v>1015077</v>
      </c>
      <c r="G545" s="89">
        <v>1064816</v>
      </c>
      <c r="H545" s="89">
        <v>1114277</v>
      </c>
      <c r="I545" s="89">
        <v>1144381</v>
      </c>
      <c r="J545" s="89">
        <v>1165906</v>
      </c>
      <c r="K545" s="89">
        <v>1178480</v>
      </c>
      <c r="L545" s="89">
        <v>1177292</v>
      </c>
      <c r="M545" s="89">
        <v>1188045</v>
      </c>
      <c r="N545" s="89">
        <v>1194459</v>
      </c>
      <c r="O545" s="89">
        <v>1151834</v>
      </c>
      <c r="P545" s="89">
        <v>1204376</v>
      </c>
      <c r="Q545" s="89">
        <v>1214011</v>
      </c>
      <c r="R545" s="89">
        <v>1249419</v>
      </c>
      <c r="S545" s="89">
        <v>1277611</v>
      </c>
      <c r="T545" s="89">
        <v>1327344</v>
      </c>
      <c r="U545" s="150">
        <f t="shared" si="197"/>
        <v>0.1263186477496436</v>
      </c>
      <c r="V545" s="150">
        <f t="shared" si="198"/>
        <v>0.10210100500176025</v>
      </c>
      <c r="W545" s="150">
        <f t="shared" si="199"/>
        <v>3.8926559023051616E-2</v>
      </c>
      <c r="X545" s="220">
        <f t="shared" si="201"/>
        <v>1</v>
      </c>
      <c r="Y545" s="221">
        <f t="shared" si="200"/>
        <v>49733</v>
      </c>
    </row>
    <row r="546" spans="1:25" x14ac:dyDescent="0.25">
      <c r="A546" s="156" t="s">
        <v>488</v>
      </c>
      <c r="B546" s="157">
        <v>23.14782798568244</v>
      </c>
      <c r="C546" s="157">
        <v>23.185551211244707</v>
      </c>
      <c r="D546" s="157">
        <v>23.182443782172854</v>
      </c>
      <c r="E546" s="157">
        <v>23.279294529534866</v>
      </c>
      <c r="F546" s="157">
        <v>23.37427534370542</v>
      </c>
      <c r="G546" s="157">
        <v>23.57522791989269</v>
      </c>
      <c r="H546" s="157">
        <v>23.730350510948643</v>
      </c>
      <c r="I546" s="157">
        <v>23.927547123644402</v>
      </c>
      <c r="J546" s="157">
        <v>24.07657080019866</v>
      </c>
      <c r="K546" s="157">
        <v>24.183172358079567</v>
      </c>
      <c r="L546" s="157">
        <v>24.200503196794624</v>
      </c>
      <c r="M546" s="157">
        <v>24.237906695201069</v>
      </c>
      <c r="N546" s="157">
        <v>24.291940369484152</v>
      </c>
      <c r="O546" s="157">
        <v>24.242450156796423</v>
      </c>
      <c r="P546" s="157">
        <v>24.694664360625818</v>
      </c>
      <c r="Q546" s="157">
        <v>24.971435843703976</v>
      </c>
      <c r="R546" s="157">
        <v>25.069311804272729</v>
      </c>
      <c r="S546" s="157">
        <v>25.172996890265427</v>
      </c>
      <c r="T546" s="157">
        <v>25.369036847406729</v>
      </c>
      <c r="U546" s="254"/>
      <c r="V546" s="254"/>
      <c r="W546" s="254"/>
      <c r="X546" s="255"/>
      <c r="Y546" s="255"/>
    </row>
    <row r="547" spans="1:25" x14ac:dyDescent="0.25">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row>
    <row r="548" spans="1:25" ht="18" x14ac:dyDescent="0.25">
      <c r="A548" s="22" t="s">
        <v>334</v>
      </c>
      <c r="B548" s="22"/>
      <c r="C548" s="22"/>
      <c r="D548" s="22"/>
      <c r="E548" s="22"/>
      <c r="F548" s="22"/>
      <c r="G548" s="22"/>
      <c r="H548" s="22"/>
      <c r="I548" s="3"/>
      <c r="J548" s="3"/>
      <c r="K548" s="3"/>
      <c r="L548" s="3"/>
      <c r="N548" s="3"/>
      <c r="O548" s="3"/>
      <c r="P548" s="3"/>
      <c r="Q548" s="3"/>
      <c r="R548" s="3"/>
      <c r="S548" s="3"/>
      <c r="T548" s="3"/>
      <c r="U548" s="27"/>
      <c r="V548" s="27"/>
      <c r="W548" s="27"/>
      <c r="X548" s="27"/>
      <c r="Y548" s="27"/>
    </row>
    <row r="549" spans="1:25" ht="25.5" x14ac:dyDescent="0.25">
      <c r="A549" s="120" t="s">
        <v>93</v>
      </c>
      <c r="B549" s="105">
        <v>2007</v>
      </c>
      <c r="C549" s="105">
        <v>2008</v>
      </c>
      <c r="D549" s="105">
        <v>2009</v>
      </c>
      <c r="E549" s="105">
        <v>2010</v>
      </c>
      <c r="F549" s="105">
        <v>2011</v>
      </c>
      <c r="G549" s="105">
        <v>2012</v>
      </c>
      <c r="H549" s="105">
        <v>2013</v>
      </c>
      <c r="I549" s="105">
        <v>2014</v>
      </c>
      <c r="J549" s="105">
        <v>2015</v>
      </c>
      <c r="K549" s="105">
        <v>2016</v>
      </c>
      <c r="L549" s="105">
        <v>2017</v>
      </c>
      <c r="M549" s="132">
        <v>2018</v>
      </c>
      <c r="N549" s="105">
        <v>2019</v>
      </c>
      <c r="O549" s="105">
        <v>2020</v>
      </c>
      <c r="P549" s="105">
        <v>2021</v>
      </c>
      <c r="Q549" s="105">
        <v>2022</v>
      </c>
      <c r="R549" s="105">
        <v>2023</v>
      </c>
      <c r="S549" s="105">
        <v>2024</v>
      </c>
      <c r="T549" s="105">
        <v>2025</v>
      </c>
      <c r="U549" s="106" t="s">
        <v>546</v>
      </c>
      <c r="V549" s="106" t="s">
        <v>547</v>
      </c>
      <c r="W549" s="106" t="s">
        <v>548</v>
      </c>
      <c r="X549" s="106" t="s">
        <v>549</v>
      </c>
      <c r="Y549" s="216" t="s">
        <v>563</v>
      </c>
    </row>
    <row r="550" spans="1:25" x14ac:dyDescent="0.25">
      <c r="A550" s="88" t="s">
        <v>36</v>
      </c>
      <c r="B550" s="123">
        <v>116834</v>
      </c>
      <c r="C550" s="123">
        <v>119869</v>
      </c>
      <c r="D550" s="123">
        <v>131934</v>
      </c>
      <c r="E550" s="123">
        <v>136172</v>
      </c>
      <c r="F550" s="123">
        <v>140693</v>
      </c>
      <c r="G550" s="123">
        <v>140980</v>
      </c>
      <c r="H550" s="123">
        <v>146555</v>
      </c>
      <c r="I550" s="123">
        <v>143842</v>
      </c>
      <c r="J550" s="123">
        <v>143593</v>
      </c>
      <c r="K550" s="123">
        <v>146213</v>
      </c>
      <c r="L550" s="123">
        <v>144859</v>
      </c>
      <c r="M550" s="123">
        <v>147296</v>
      </c>
      <c r="N550" s="123">
        <v>149183</v>
      </c>
      <c r="O550" s="123">
        <v>147161</v>
      </c>
      <c r="P550" s="123">
        <v>139495</v>
      </c>
      <c r="Q550" s="123">
        <v>142346</v>
      </c>
      <c r="R550" s="123">
        <v>156004</v>
      </c>
      <c r="S550" s="123">
        <v>158183</v>
      </c>
      <c r="T550" s="123">
        <v>166718</v>
      </c>
      <c r="U550" s="149">
        <f t="shared" ref="U550:U557" si="202">(T550-K550)/K550</f>
        <v>0.14024060788028425</v>
      </c>
      <c r="V550" s="149">
        <f t="shared" ref="V550:V557" si="203">(T550-P550)/P550</f>
        <v>0.1951539481701853</v>
      </c>
      <c r="W550" s="149">
        <f t="shared" ref="W550:W557" si="204">(T550-S550)/S550</f>
        <v>5.3956493428497371E-2</v>
      </c>
      <c r="X550" s="218">
        <f>T550/T$557</f>
        <v>0.45969741003504572</v>
      </c>
      <c r="Y550" s="219">
        <f t="shared" ref="Y550:Y557" si="205">T550-S550</f>
        <v>8535</v>
      </c>
    </row>
    <row r="551" spans="1:25" x14ac:dyDescent="0.25">
      <c r="A551" s="88" t="s">
        <v>37</v>
      </c>
      <c r="B551" s="123">
        <v>79476</v>
      </c>
      <c r="C551" s="123">
        <v>83562</v>
      </c>
      <c r="D551" s="123">
        <v>93654</v>
      </c>
      <c r="E551" s="123">
        <v>109962</v>
      </c>
      <c r="F551" s="123">
        <v>112450</v>
      </c>
      <c r="G551" s="123">
        <v>112677</v>
      </c>
      <c r="H551" s="123">
        <v>113295</v>
      </c>
      <c r="I551" s="123">
        <v>110886</v>
      </c>
      <c r="J551" s="123">
        <v>106681</v>
      </c>
      <c r="K551" s="123">
        <v>105838</v>
      </c>
      <c r="L551" s="123">
        <v>105661</v>
      </c>
      <c r="M551" s="123">
        <v>100647</v>
      </c>
      <c r="N551" s="123">
        <v>96391</v>
      </c>
      <c r="O551" s="123">
        <v>82820</v>
      </c>
      <c r="P551" s="123">
        <v>78659</v>
      </c>
      <c r="Q551" s="123">
        <v>83243</v>
      </c>
      <c r="R551" s="123">
        <v>92764</v>
      </c>
      <c r="S551" s="123">
        <v>90936</v>
      </c>
      <c r="T551" s="123">
        <v>87652</v>
      </c>
      <c r="U551" s="149">
        <f t="shared" si="202"/>
        <v>-0.17182864377633741</v>
      </c>
      <c r="V551" s="149">
        <f t="shared" si="203"/>
        <v>0.11432893883725956</v>
      </c>
      <c r="W551" s="149">
        <f t="shared" si="204"/>
        <v>-3.6113310460103812E-2</v>
      </c>
      <c r="X551" s="218">
        <f t="shared" ref="X551:X557" si="206">T551/T$557</f>
        <v>0.2416859450352801</v>
      </c>
      <c r="Y551" s="219">
        <f t="shared" si="205"/>
        <v>-3284</v>
      </c>
    </row>
    <row r="552" spans="1:25" x14ac:dyDescent="0.25">
      <c r="A552" s="88" t="s">
        <v>38</v>
      </c>
      <c r="B552" s="123">
        <v>24696</v>
      </c>
      <c r="C552" s="123">
        <v>26236</v>
      </c>
      <c r="D552" s="123">
        <v>29255</v>
      </c>
      <c r="E552" s="123">
        <v>36160</v>
      </c>
      <c r="F552" s="123">
        <v>39137</v>
      </c>
      <c r="G552" s="123">
        <v>39446</v>
      </c>
      <c r="H552" s="123">
        <v>42003</v>
      </c>
      <c r="I552" s="123">
        <v>43216</v>
      </c>
      <c r="J552" s="123">
        <v>42584</v>
      </c>
      <c r="K552" s="123">
        <v>42125</v>
      </c>
      <c r="L552" s="123">
        <v>40950</v>
      </c>
      <c r="M552" s="123">
        <v>39846</v>
      </c>
      <c r="N552" s="123">
        <v>37120</v>
      </c>
      <c r="O552" s="123">
        <v>30106</v>
      </c>
      <c r="P552" s="123">
        <v>34969</v>
      </c>
      <c r="Q552" s="123">
        <v>32820</v>
      </c>
      <c r="R552" s="123">
        <v>33668</v>
      </c>
      <c r="S552" s="123">
        <v>33418</v>
      </c>
      <c r="T552" s="123">
        <v>33682</v>
      </c>
      <c r="U552" s="149">
        <f t="shared" si="202"/>
        <v>-0.20042729970326409</v>
      </c>
      <c r="V552" s="149">
        <f t="shared" si="203"/>
        <v>-3.6804026423403587E-2</v>
      </c>
      <c r="W552" s="149">
        <f t="shared" si="204"/>
        <v>7.8999341672152737E-3</v>
      </c>
      <c r="X552" s="218">
        <f t="shared" si="206"/>
        <v>9.2872564239016839E-2</v>
      </c>
      <c r="Y552" s="219">
        <f t="shared" si="205"/>
        <v>264</v>
      </c>
    </row>
    <row r="553" spans="1:25" x14ac:dyDescent="0.25">
      <c r="A553" s="88" t="s">
        <v>39</v>
      </c>
      <c r="B553" s="123">
        <v>10727</v>
      </c>
      <c r="C553" s="123">
        <v>11160</v>
      </c>
      <c r="D553" s="123">
        <v>12844</v>
      </c>
      <c r="E553" s="123">
        <v>15925</v>
      </c>
      <c r="F553" s="123">
        <v>17728</v>
      </c>
      <c r="G553" s="123">
        <v>19861</v>
      </c>
      <c r="H553" s="123">
        <v>21049</v>
      </c>
      <c r="I553" s="123">
        <v>21764</v>
      </c>
      <c r="J553" s="123">
        <v>21817</v>
      </c>
      <c r="K553" s="123">
        <v>20708</v>
      </c>
      <c r="L553" s="123">
        <v>20202</v>
      </c>
      <c r="M553" s="123">
        <v>20905</v>
      </c>
      <c r="N553" s="123">
        <v>21051</v>
      </c>
      <c r="O553" s="123">
        <v>19166</v>
      </c>
      <c r="P553" s="123">
        <v>26115</v>
      </c>
      <c r="Q553" s="123">
        <v>24673</v>
      </c>
      <c r="R553" s="123">
        <v>25000</v>
      </c>
      <c r="S553" s="123">
        <v>25435</v>
      </c>
      <c r="T553" s="123">
        <v>26121</v>
      </c>
      <c r="U553" s="149">
        <f t="shared" si="202"/>
        <v>0.26139656171527914</v>
      </c>
      <c r="V553" s="149">
        <f t="shared" si="203"/>
        <v>2.2975301550832856E-4</v>
      </c>
      <c r="W553" s="149">
        <f t="shared" si="204"/>
        <v>2.6970709652054257E-2</v>
      </c>
      <c r="X553" s="218">
        <f t="shared" si="206"/>
        <v>7.2024352784494955E-2</v>
      </c>
      <c r="Y553" s="219">
        <f t="shared" si="205"/>
        <v>686</v>
      </c>
    </row>
    <row r="554" spans="1:25" x14ac:dyDescent="0.25">
      <c r="A554" s="88" t="s">
        <v>40</v>
      </c>
      <c r="B554" s="123">
        <v>5314</v>
      </c>
      <c r="C554" s="123">
        <v>5931</v>
      </c>
      <c r="D554" s="123">
        <v>7026</v>
      </c>
      <c r="E554" s="123">
        <v>8542</v>
      </c>
      <c r="F554" s="123">
        <v>9468</v>
      </c>
      <c r="G554" s="123">
        <v>10015</v>
      </c>
      <c r="H554" s="123">
        <v>10622</v>
      </c>
      <c r="I554" s="123">
        <v>10952</v>
      </c>
      <c r="J554" s="123">
        <v>11319</v>
      </c>
      <c r="K554" s="123">
        <v>11226</v>
      </c>
      <c r="L554" s="123">
        <v>11481</v>
      </c>
      <c r="M554" s="123">
        <v>12559</v>
      </c>
      <c r="N554" s="123">
        <v>12867</v>
      </c>
      <c r="O554" s="123">
        <v>11496</v>
      </c>
      <c r="P554" s="123">
        <v>16634</v>
      </c>
      <c r="Q554" s="123">
        <v>15764</v>
      </c>
      <c r="R554" s="123">
        <v>16751</v>
      </c>
      <c r="S554" s="123">
        <v>18334</v>
      </c>
      <c r="T554" s="123">
        <v>20422</v>
      </c>
      <c r="U554" s="149">
        <f t="shared" si="202"/>
        <v>0.81916978442900412</v>
      </c>
      <c r="V554" s="149">
        <f t="shared" si="203"/>
        <v>0.22772634363352171</v>
      </c>
      <c r="W554" s="149">
        <f t="shared" si="204"/>
        <v>0.11388676775389986</v>
      </c>
      <c r="X554" s="218">
        <f t="shared" si="206"/>
        <v>5.6310299474176179E-2</v>
      </c>
      <c r="Y554" s="219">
        <f t="shared" si="205"/>
        <v>2088</v>
      </c>
    </row>
    <row r="555" spans="1:25" x14ac:dyDescent="0.25">
      <c r="A555" s="88" t="s">
        <v>1</v>
      </c>
      <c r="B555" s="123">
        <v>5531</v>
      </c>
      <c r="C555" s="123">
        <v>5903</v>
      </c>
      <c r="D555" s="123">
        <v>6712</v>
      </c>
      <c r="E555" s="123">
        <v>7296</v>
      </c>
      <c r="F555" s="123">
        <v>7991</v>
      </c>
      <c r="G555" s="123">
        <v>9142</v>
      </c>
      <c r="H555" s="123">
        <v>9459</v>
      </c>
      <c r="I555" s="123">
        <v>10778</v>
      </c>
      <c r="J555" s="123">
        <v>11720</v>
      </c>
      <c r="K555" s="123">
        <v>11789</v>
      </c>
      <c r="L555" s="123">
        <v>12113</v>
      </c>
      <c r="M555" s="123">
        <v>13454</v>
      </c>
      <c r="N555" s="123">
        <v>14024</v>
      </c>
      <c r="O555" s="123">
        <v>12664</v>
      </c>
      <c r="P555" s="123">
        <v>18579</v>
      </c>
      <c r="Q555" s="123">
        <v>19562</v>
      </c>
      <c r="R555" s="123">
        <v>21340</v>
      </c>
      <c r="S555" s="123">
        <v>24373</v>
      </c>
      <c r="T555" s="123">
        <v>28070</v>
      </c>
      <c r="U555" s="149">
        <f t="shared" si="202"/>
        <v>1.3810331665111544</v>
      </c>
      <c r="V555" s="149">
        <f t="shared" si="203"/>
        <v>0.51084557834113786</v>
      </c>
      <c r="W555" s="149">
        <f t="shared" si="204"/>
        <v>0.15168424075821607</v>
      </c>
      <c r="X555" s="218">
        <f t="shared" si="206"/>
        <v>7.7398399091182318E-2</v>
      </c>
      <c r="Y555" s="219">
        <f t="shared" si="205"/>
        <v>3697</v>
      </c>
    </row>
    <row r="556" spans="1:25" x14ac:dyDescent="0.25">
      <c r="A556" s="88" t="s">
        <v>66</v>
      </c>
      <c r="B556" s="123">
        <v>801</v>
      </c>
      <c r="C556" s="123">
        <v>303</v>
      </c>
      <c r="D556" s="123">
        <v>222</v>
      </c>
      <c r="E556" s="123">
        <v>1001</v>
      </c>
      <c r="F556" s="123">
        <v>856</v>
      </c>
      <c r="G556" s="123">
        <v>707</v>
      </c>
      <c r="H556" s="123">
        <v>17</v>
      </c>
      <c r="I556" s="123">
        <v>22</v>
      </c>
      <c r="J556" s="123">
        <v>45</v>
      </c>
      <c r="K556" s="123">
        <v>7</v>
      </c>
      <c r="L556" s="123">
        <v>5</v>
      </c>
      <c r="M556" s="123">
        <v>183</v>
      </c>
      <c r="N556" s="123">
        <v>17</v>
      </c>
      <c r="O556" s="123">
        <v>9</v>
      </c>
      <c r="P556" s="123">
        <v>0</v>
      </c>
      <c r="Q556" s="123">
        <v>3</v>
      </c>
      <c r="R556" s="123">
        <v>2</v>
      </c>
      <c r="S556" s="123">
        <v>4</v>
      </c>
      <c r="T556" s="123">
        <v>4</v>
      </c>
      <c r="U556" s="149">
        <f t="shared" si="202"/>
        <v>-0.42857142857142855</v>
      </c>
      <c r="V556" s="149" t="s">
        <v>130</v>
      </c>
      <c r="W556" s="149">
        <f t="shared" si="204"/>
        <v>0</v>
      </c>
      <c r="X556" s="218">
        <f t="shared" si="206"/>
        <v>1.1029340803873504E-5</v>
      </c>
      <c r="Y556" s="219">
        <f t="shared" si="205"/>
        <v>0</v>
      </c>
    </row>
    <row r="557" spans="1:25" x14ac:dyDescent="0.25">
      <c r="A557" s="92" t="s">
        <v>0</v>
      </c>
      <c r="B557" s="89">
        <v>243379</v>
      </c>
      <c r="C557" s="89">
        <v>252964</v>
      </c>
      <c r="D557" s="89">
        <v>281647</v>
      </c>
      <c r="E557" s="89">
        <v>315058</v>
      </c>
      <c r="F557" s="89">
        <v>328323</v>
      </c>
      <c r="G557" s="89">
        <v>332828</v>
      </c>
      <c r="H557" s="89">
        <v>343000</v>
      </c>
      <c r="I557" s="89">
        <v>341460</v>
      </c>
      <c r="J557" s="89">
        <v>337759</v>
      </c>
      <c r="K557" s="89">
        <v>337906</v>
      </c>
      <c r="L557" s="89">
        <v>335271</v>
      </c>
      <c r="M557" s="89">
        <v>334890</v>
      </c>
      <c r="N557" s="89">
        <v>330653</v>
      </c>
      <c r="O557" s="89">
        <v>303422</v>
      </c>
      <c r="P557" s="89">
        <v>314451</v>
      </c>
      <c r="Q557" s="89">
        <v>318411</v>
      </c>
      <c r="R557" s="89">
        <v>345529</v>
      </c>
      <c r="S557" s="89">
        <v>350683</v>
      </c>
      <c r="T557" s="89">
        <v>362669</v>
      </c>
      <c r="U557" s="150">
        <f t="shared" si="202"/>
        <v>7.3283694281841699E-2</v>
      </c>
      <c r="V557" s="150">
        <f t="shared" si="203"/>
        <v>0.15334026605099046</v>
      </c>
      <c r="W557" s="150">
        <f t="shared" si="204"/>
        <v>3.4179016376613636E-2</v>
      </c>
      <c r="X557" s="220">
        <f t="shared" si="206"/>
        <v>1</v>
      </c>
      <c r="Y557" s="221">
        <f t="shared" si="205"/>
        <v>11986</v>
      </c>
    </row>
    <row r="558" spans="1:25" x14ac:dyDescent="0.25">
      <c r="A558" s="156" t="s">
        <v>489</v>
      </c>
      <c r="B558" s="157">
        <v>21.859599798827592</v>
      </c>
      <c r="C558" s="157">
        <v>21.922952097870269</v>
      </c>
      <c r="D558" s="157">
        <v>21.996180154570489</v>
      </c>
      <c r="E558" s="157">
        <v>22.244414230537767</v>
      </c>
      <c r="F558" s="157">
        <v>22.368904347613654</v>
      </c>
      <c r="G558" s="157">
        <v>22.535067038820188</v>
      </c>
      <c r="H558" s="157">
        <v>22.586084441502933</v>
      </c>
      <c r="I558" s="157">
        <v>22.767193458255964</v>
      </c>
      <c r="J558" s="157">
        <v>22.849946996571063</v>
      </c>
      <c r="K558" s="157">
        <v>22.795767374274561</v>
      </c>
      <c r="L558" s="157">
        <v>22.809962835479887</v>
      </c>
      <c r="M558" s="157">
        <v>22.959104530230917</v>
      </c>
      <c r="N558" s="157">
        <v>22.960802816390231</v>
      </c>
      <c r="O558" s="157">
        <v>22.737341511405248</v>
      </c>
      <c r="P558" s="157">
        <v>23.785524612737756</v>
      </c>
      <c r="Q558" s="157">
        <v>23.689335695083038</v>
      </c>
      <c r="R558" s="157">
        <v>23.593299510602645</v>
      </c>
      <c r="S558" s="157">
        <v>23.855471813253715</v>
      </c>
      <c r="T558" s="157">
        <v>24.08559414335544</v>
      </c>
      <c r="U558" s="254"/>
      <c r="V558" s="254"/>
      <c r="W558" s="254"/>
      <c r="X558" s="255"/>
      <c r="Y558" s="255"/>
    </row>
    <row r="559" spans="1:25" x14ac:dyDescent="0.25">
      <c r="A559" s="146" t="s">
        <v>685</v>
      </c>
      <c r="U559" s="15"/>
      <c r="V559" s="15"/>
      <c r="W559" s="15"/>
      <c r="X559" s="15"/>
      <c r="Y559" s="15"/>
    </row>
    <row r="560" spans="1:25" x14ac:dyDescent="0.25">
      <c r="U560" s="15"/>
      <c r="V560" s="15"/>
      <c r="W560" s="15"/>
      <c r="X560" s="15"/>
      <c r="Y560" s="15"/>
    </row>
    <row r="561" spans="1:25" ht="15.75" x14ac:dyDescent="0.25">
      <c r="A561" s="22" t="s">
        <v>104</v>
      </c>
      <c r="B561" s="22"/>
      <c r="C561" s="22"/>
      <c r="D561" s="22"/>
      <c r="E561" s="22"/>
      <c r="F561" s="22"/>
      <c r="G561" s="22"/>
      <c r="H561" s="22"/>
      <c r="I561" s="3"/>
      <c r="J561" s="3"/>
      <c r="K561" s="3"/>
      <c r="L561" s="3"/>
      <c r="N561" s="3"/>
      <c r="O561" s="3"/>
      <c r="P561" s="3"/>
      <c r="Q561" s="3"/>
      <c r="R561" s="3"/>
      <c r="S561" s="3"/>
      <c r="T561" s="3"/>
      <c r="U561" s="27"/>
      <c r="V561" s="27"/>
      <c r="W561" s="27"/>
      <c r="X561" s="27"/>
      <c r="Y561" s="27"/>
    </row>
    <row r="562" spans="1:25" ht="30" customHeight="1" x14ac:dyDescent="0.25">
      <c r="A562" s="120" t="s">
        <v>93</v>
      </c>
      <c r="B562" s="105">
        <v>2007</v>
      </c>
      <c r="C562" s="105">
        <v>2008</v>
      </c>
      <c r="D562" s="105">
        <v>2009</v>
      </c>
      <c r="E562" s="105">
        <v>2010</v>
      </c>
      <c r="F562" s="105">
        <v>2011</v>
      </c>
      <c r="G562" s="105">
        <v>2012</v>
      </c>
      <c r="H562" s="105">
        <v>2013</v>
      </c>
      <c r="I562" s="105">
        <v>2014</v>
      </c>
      <c r="J562" s="105">
        <v>2015</v>
      </c>
      <c r="K562" s="105">
        <v>2016</v>
      </c>
      <c r="L562" s="105">
        <v>2017</v>
      </c>
      <c r="M562" s="132">
        <v>2018</v>
      </c>
      <c r="N562" s="105">
        <v>2019</v>
      </c>
      <c r="O562" s="105">
        <v>2020</v>
      </c>
      <c r="P562" s="105">
        <v>2021</v>
      </c>
      <c r="Q562" s="105">
        <v>2022</v>
      </c>
      <c r="R562" s="105">
        <v>2023</v>
      </c>
      <c r="S562" s="105">
        <v>2024</v>
      </c>
      <c r="T562" s="105">
        <v>2025</v>
      </c>
      <c r="U562" s="106" t="s">
        <v>546</v>
      </c>
      <c r="V562" s="106" t="s">
        <v>547</v>
      </c>
      <c r="W562" s="106" t="s">
        <v>548</v>
      </c>
      <c r="X562" s="106" t="s">
        <v>549</v>
      </c>
      <c r="Y562" s="216" t="s">
        <v>563</v>
      </c>
    </row>
    <row r="563" spans="1:25" x14ac:dyDescent="0.25">
      <c r="A563" s="88" t="s">
        <v>36</v>
      </c>
      <c r="B563" s="93">
        <v>19251</v>
      </c>
      <c r="C563" s="93">
        <v>21930</v>
      </c>
      <c r="D563" s="93">
        <v>25601</v>
      </c>
      <c r="E563" s="93">
        <v>28304</v>
      </c>
      <c r="F563" s="93">
        <v>27688</v>
      </c>
      <c r="G563" s="93">
        <v>27294</v>
      </c>
      <c r="H563" s="93">
        <v>29658</v>
      </c>
      <c r="I563" s="93">
        <v>30138</v>
      </c>
      <c r="J563" s="93">
        <v>29653</v>
      </c>
      <c r="K563" s="93">
        <v>27569</v>
      </c>
      <c r="L563" s="93">
        <v>26952</v>
      </c>
      <c r="M563" s="93">
        <v>27325</v>
      </c>
      <c r="N563" s="93">
        <v>27143</v>
      </c>
      <c r="O563" s="93">
        <v>27329</v>
      </c>
      <c r="P563" s="93">
        <v>23792</v>
      </c>
      <c r="Q563" s="123">
        <v>23039</v>
      </c>
      <c r="R563" s="123">
        <v>24862</v>
      </c>
      <c r="S563" s="123">
        <v>27912</v>
      </c>
      <c r="T563" s="123">
        <v>30451</v>
      </c>
      <c r="U563" s="149">
        <f t="shared" ref="U563:U570" si="207">(T563-K563)/K563</f>
        <v>0.10453770539373934</v>
      </c>
      <c r="V563" s="149">
        <f t="shared" ref="V563:V570" si="208">(T563-P563)/P563</f>
        <v>0.27988399462004038</v>
      </c>
      <c r="W563" s="149">
        <f t="shared" ref="W563:W570" si="209">(T563-S563)/S563</f>
        <v>9.0964459730581829E-2</v>
      </c>
      <c r="X563" s="218">
        <f>T563/T$570</f>
        <v>0.19975859196137472</v>
      </c>
      <c r="Y563" s="219">
        <f t="shared" ref="Y563:Y570" si="210">T563-S563</f>
        <v>2539</v>
      </c>
    </row>
    <row r="564" spans="1:25" x14ac:dyDescent="0.25">
      <c r="A564" s="88" t="s">
        <v>37</v>
      </c>
      <c r="B564" s="93">
        <v>41037</v>
      </c>
      <c r="C564" s="93">
        <v>46023</v>
      </c>
      <c r="D564" s="93">
        <v>53272</v>
      </c>
      <c r="E564" s="93">
        <v>62664</v>
      </c>
      <c r="F564" s="93">
        <v>67952</v>
      </c>
      <c r="G564" s="93">
        <v>66830</v>
      </c>
      <c r="H564" s="93">
        <v>66980</v>
      </c>
      <c r="I564" s="93">
        <v>67528</v>
      </c>
      <c r="J564" s="93">
        <v>66606</v>
      </c>
      <c r="K564" s="93">
        <v>64232</v>
      </c>
      <c r="L564" s="93">
        <v>62121</v>
      </c>
      <c r="M564" s="93">
        <v>61596</v>
      </c>
      <c r="N564" s="93">
        <v>62223</v>
      </c>
      <c r="O564" s="93">
        <v>57026</v>
      </c>
      <c r="P564" s="93">
        <v>56898</v>
      </c>
      <c r="Q564" s="123">
        <v>54904</v>
      </c>
      <c r="R564" s="123">
        <v>56410</v>
      </c>
      <c r="S564" s="123">
        <v>57639</v>
      </c>
      <c r="T564" s="123">
        <v>57087</v>
      </c>
      <c r="U564" s="149">
        <f t="shared" si="207"/>
        <v>-0.11123738946319592</v>
      </c>
      <c r="V564" s="149">
        <f t="shared" si="208"/>
        <v>3.3217336285985446E-3</v>
      </c>
      <c r="W564" s="149">
        <f t="shared" si="209"/>
        <v>-9.5768490084838388E-3</v>
      </c>
      <c r="X564" s="218">
        <f t="shared" ref="X564:X570" si="211">T564/T$570</f>
        <v>0.37449077991852481</v>
      </c>
      <c r="Y564" s="219">
        <f t="shared" si="210"/>
        <v>-552</v>
      </c>
    </row>
    <row r="565" spans="1:25" x14ac:dyDescent="0.25">
      <c r="A565" s="88" t="s">
        <v>38</v>
      </c>
      <c r="B565" s="93">
        <v>14932</v>
      </c>
      <c r="C565" s="93">
        <v>15501</v>
      </c>
      <c r="D565" s="93">
        <v>17123</v>
      </c>
      <c r="E565" s="93">
        <v>20398</v>
      </c>
      <c r="F565" s="93">
        <v>23206</v>
      </c>
      <c r="G565" s="93">
        <v>23971</v>
      </c>
      <c r="H565" s="93">
        <v>24573</v>
      </c>
      <c r="I565" s="93">
        <v>25529</v>
      </c>
      <c r="J565" s="93">
        <v>25727</v>
      </c>
      <c r="K565" s="93">
        <v>24932</v>
      </c>
      <c r="L565" s="93">
        <v>23797</v>
      </c>
      <c r="M565" s="93">
        <v>23209</v>
      </c>
      <c r="N565" s="93">
        <v>23028</v>
      </c>
      <c r="O565" s="93">
        <v>20733</v>
      </c>
      <c r="P565" s="93">
        <v>22376</v>
      </c>
      <c r="Q565" s="123">
        <v>21031</v>
      </c>
      <c r="R565" s="123">
        <v>20305</v>
      </c>
      <c r="S565" s="123">
        <v>20420</v>
      </c>
      <c r="T565" s="123">
        <v>21271</v>
      </c>
      <c r="U565" s="149">
        <f t="shared" si="207"/>
        <v>-0.14683940317664046</v>
      </c>
      <c r="V565" s="149">
        <f t="shared" si="208"/>
        <v>-4.9383267786914549E-2</v>
      </c>
      <c r="W565" s="149">
        <f t="shared" si="209"/>
        <v>4.1674828599412343E-2</v>
      </c>
      <c r="X565" s="218">
        <f t="shared" si="211"/>
        <v>0.13953778232604516</v>
      </c>
      <c r="Y565" s="219">
        <f t="shared" si="210"/>
        <v>851</v>
      </c>
    </row>
    <row r="566" spans="1:25" x14ac:dyDescent="0.25">
      <c r="A566" s="88" t="s">
        <v>39</v>
      </c>
      <c r="B566" s="93">
        <v>6015</v>
      </c>
      <c r="C566" s="93">
        <v>6272</v>
      </c>
      <c r="D566" s="93">
        <v>6905</v>
      </c>
      <c r="E566" s="93">
        <v>8504</v>
      </c>
      <c r="F566" s="93">
        <v>9864</v>
      </c>
      <c r="G566" s="93">
        <v>11116</v>
      </c>
      <c r="H566" s="93">
        <v>11721</v>
      </c>
      <c r="I566" s="93">
        <v>12140</v>
      </c>
      <c r="J566" s="93">
        <v>11774</v>
      </c>
      <c r="K566" s="93">
        <v>11535</v>
      </c>
      <c r="L566" s="93">
        <v>10874</v>
      </c>
      <c r="M566" s="93">
        <v>10913</v>
      </c>
      <c r="N566" s="93">
        <v>11289</v>
      </c>
      <c r="O566" s="93">
        <v>11013</v>
      </c>
      <c r="P566" s="93">
        <v>13316</v>
      </c>
      <c r="Q566" s="123">
        <v>13243</v>
      </c>
      <c r="R566" s="123">
        <v>13555</v>
      </c>
      <c r="S566" s="123">
        <v>14001</v>
      </c>
      <c r="T566" s="123">
        <v>14704</v>
      </c>
      <c r="U566" s="149">
        <f t="shared" si="207"/>
        <v>0.27472908539228436</v>
      </c>
      <c r="V566" s="149">
        <f t="shared" si="208"/>
        <v>0.10423550615800541</v>
      </c>
      <c r="W566" s="149">
        <f t="shared" si="209"/>
        <v>5.0210699235768874E-2</v>
      </c>
      <c r="X566" s="218">
        <f t="shared" si="211"/>
        <v>9.6458255433320872E-2</v>
      </c>
      <c r="Y566" s="219">
        <f t="shared" si="210"/>
        <v>703</v>
      </c>
    </row>
    <row r="567" spans="1:25" x14ac:dyDescent="0.25">
      <c r="A567" s="88" t="s">
        <v>40</v>
      </c>
      <c r="B567" s="93">
        <v>2859</v>
      </c>
      <c r="C567" s="93">
        <v>3080</v>
      </c>
      <c r="D567" s="93">
        <v>3619</v>
      </c>
      <c r="E567" s="93">
        <v>4505</v>
      </c>
      <c r="F567" s="93">
        <v>5193</v>
      </c>
      <c r="G567" s="93">
        <v>5602</v>
      </c>
      <c r="H567" s="93">
        <v>5886</v>
      </c>
      <c r="I567" s="93">
        <v>6297</v>
      </c>
      <c r="J567" s="93">
        <v>6159</v>
      </c>
      <c r="K567" s="93">
        <v>6221</v>
      </c>
      <c r="L567" s="93">
        <v>6179</v>
      </c>
      <c r="M567" s="93">
        <v>6298</v>
      </c>
      <c r="N567" s="93">
        <v>6376</v>
      </c>
      <c r="O567" s="93">
        <v>6433</v>
      </c>
      <c r="P567" s="93">
        <v>8025</v>
      </c>
      <c r="Q567" s="123">
        <v>8260</v>
      </c>
      <c r="R567" s="123">
        <v>8728</v>
      </c>
      <c r="S567" s="123">
        <v>9998</v>
      </c>
      <c r="T567" s="123">
        <v>11267</v>
      </c>
      <c r="U567" s="149">
        <f t="shared" si="207"/>
        <v>0.81112361356695062</v>
      </c>
      <c r="V567" s="149">
        <f t="shared" si="208"/>
        <v>0.40398753894080996</v>
      </c>
      <c r="W567" s="149">
        <f t="shared" si="209"/>
        <v>0.1269253850770154</v>
      </c>
      <c r="X567" s="218">
        <f t="shared" si="211"/>
        <v>7.3911531825845089E-2</v>
      </c>
      <c r="Y567" s="219">
        <f t="shared" si="210"/>
        <v>1269</v>
      </c>
    </row>
    <row r="568" spans="1:25" x14ac:dyDescent="0.25">
      <c r="A568" s="88" t="s">
        <v>1</v>
      </c>
      <c r="B568" s="93">
        <v>2666</v>
      </c>
      <c r="C568" s="93">
        <v>2869</v>
      </c>
      <c r="D568" s="93">
        <v>3382</v>
      </c>
      <c r="E568" s="93">
        <v>4178</v>
      </c>
      <c r="F568" s="93">
        <v>4663</v>
      </c>
      <c r="G568" s="93">
        <v>5204</v>
      </c>
      <c r="H568" s="93">
        <v>5543</v>
      </c>
      <c r="I568" s="93">
        <v>6373</v>
      </c>
      <c r="J568" s="93">
        <v>6611</v>
      </c>
      <c r="K568" s="93">
        <v>7221</v>
      </c>
      <c r="L568" s="93">
        <v>6854</v>
      </c>
      <c r="M568" s="93">
        <v>7365</v>
      </c>
      <c r="N568" s="93">
        <v>7859</v>
      </c>
      <c r="O568" s="93">
        <v>7804</v>
      </c>
      <c r="P568" s="93">
        <v>10056</v>
      </c>
      <c r="Q568" s="123">
        <v>11269</v>
      </c>
      <c r="R568" s="123">
        <v>12883</v>
      </c>
      <c r="S568" s="123">
        <v>15328</v>
      </c>
      <c r="T568" s="123">
        <v>17657</v>
      </c>
      <c r="U568" s="149">
        <f t="shared" si="207"/>
        <v>1.4452291926325993</v>
      </c>
      <c r="V568" s="149">
        <f t="shared" si="208"/>
        <v>0.75586714399363564</v>
      </c>
      <c r="W568" s="149">
        <f t="shared" si="209"/>
        <v>0.15194415448851775</v>
      </c>
      <c r="X568" s="218">
        <f t="shared" si="211"/>
        <v>0.11582993853279017</v>
      </c>
      <c r="Y568" s="219">
        <f t="shared" si="210"/>
        <v>2329</v>
      </c>
    </row>
    <row r="569" spans="1:25" x14ac:dyDescent="0.25">
      <c r="A569" s="88" t="s">
        <v>66</v>
      </c>
      <c r="B569" s="93">
        <v>78</v>
      </c>
      <c r="C569" s="93">
        <v>216</v>
      </c>
      <c r="D569" s="93">
        <v>105</v>
      </c>
      <c r="E569" s="93">
        <v>13</v>
      </c>
      <c r="F569" s="93">
        <v>8</v>
      </c>
      <c r="G569" s="93">
        <v>14</v>
      </c>
      <c r="H569" s="93">
        <v>4</v>
      </c>
      <c r="I569" s="93">
        <v>5</v>
      </c>
      <c r="J569" s="93">
        <v>10</v>
      </c>
      <c r="K569" s="93">
        <v>1</v>
      </c>
      <c r="L569" s="93">
        <v>0</v>
      </c>
      <c r="M569" s="93">
        <v>22</v>
      </c>
      <c r="N569" s="93">
        <v>1</v>
      </c>
      <c r="O569" s="93">
        <v>0</v>
      </c>
      <c r="P569" s="93">
        <v>0</v>
      </c>
      <c r="Q569" s="123">
        <v>1</v>
      </c>
      <c r="R569" s="123">
        <v>0</v>
      </c>
      <c r="S569" s="123">
        <v>1</v>
      </c>
      <c r="T569" s="123">
        <v>2</v>
      </c>
      <c r="U569" s="149">
        <f t="shared" si="207"/>
        <v>1</v>
      </c>
      <c r="V569" s="149" t="s">
        <v>130</v>
      </c>
      <c r="W569" s="149">
        <f t="shared" si="209"/>
        <v>1</v>
      </c>
      <c r="X569" s="218">
        <f t="shared" si="211"/>
        <v>1.3120002099200337E-5</v>
      </c>
      <c r="Y569" s="219">
        <f t="shared" si="210"/>
        <v>1</v>
      </c>
    </row>
    <row r="570" spans="1:25" x14ac:dyDescent="0.25">
      <c r="A570" s="92" t="s">
        <v>0</v>
      </c>
      <c r="B570" s="2">
        <v>86838</v>
      </c>
      <c r="C570" s="2">
        <v>95891</v>
      </c>
      <c r="D570" s="2">
        <v>110007</v>
      </c>
      <c r="E570" s="2">
        <v>128566</v>
      </c>
      <c r="F570" s="2">
        <v>138574</v>
      </c>
      <c r="G570" s="2">
        <v>140031</v>
      </c>
      <c r="H570" s="2">
        <v>144365</v>
      </c>
      <c r="I570" s="2">
        <v>148010</v>
      </c>
      <c r="J570" s="2">
        <v>146540</v>
      </c>
      <c r="K570" s="2">
        <v>141711</v>
      </c>
      <c r="L570" s="2">
        <v>136777</v>
      </c>
      <c r="M570" s="2">
        <v>136728</v>
      </c>
      <c r="N570" s="2">
        <v>137919</v>
      </c>
      <c r="O570" s="2">
        <v>130338</v>
      </c>
      <c r="P570" s="2">
        <v>134463</v>
      </c>
      <c r="Q570" s="89">
        <v>131747</v>
      </c>
      <c r="R570" s="89">
        <v>136743</v>
      </c>
      <c r="S570" s="89">
        <v>145299</v>
      </c>
      <c r="T570" s="89">
        <v>152439</v>
      </c>
      <c r="U570" s="150">
        <f t="shared" si="207"/>
        <v>7.5703368122446393E-2</v>
      </c>
      <c r="V570" s="150">
        <f t="shared" si="208"/>
        <v>0.13368733406215835</v>
      </c>
      <c r="W570" s="150">
        <f t="shared" si="209"/>
        <v>4.9140049140049137E-2</v>
      </c>
      <c r="X570" s="220">
        <f t="shared" si="211"/>
        <v>1</v>
      </c>
      <c r="Y570" s="221">
        <f t="shared" si="210"/>
        <v>7140</v>
      </c>
    </row>
    <row r="571" spans="1:25" x14ac:dyDescent="0.25">
      <c r="A571" s="156" t="s">
        <v>488</v>
      </c>
      <c r="B571" s="157">
        <v>23.708102812355925</v>
      </c>
      <c r="C571" s="157">
        <v>23.542409197805068</v>
      </c>
      <c r="D571" s="157">
        <v>23.493039253152808</v>
      </c>
      <c r="E571" s="157">
        <v>23.682882602435892</v>
      </c>
      <c r="F571" s="157">
        <v>23.911380704794915</v>
      </c>
      <c r="G571" s="157">
        <v>24.164839797639122</v>
      </c>
      <c r="H571" s="157">
        <v>24.196826012565722</v>
      </c>
      <c r="I571" s="157">
        <v>24.354427215296781</v>
      </c>
      <c r="J571" s="157">
        <v>24.400675629563914</v>
      </c>
      <c r="K571" s="157">
        <v>24.629969656340414</v>
      </c>
      <c r="L571" s="157">
        <v>24.58157438750667</v>
      </c>
      <c r="M571" s="157">
        <v>24.679231343174404</v>
      </c>
      <c r="N571" s="157">
        <v>24.772255978189939</v>
      </c>
      <c r="O571" s="157">
        <v>24.83017999355522</v>
      </c>
      <c r="P571" s="157">
        <v>25.649643396324638</v>
      </c>
      <c r="Q571" s="157">
        <v>25.940537094105323</v>
      </c>
      <c r="R571" s="157">
        <v>26.098769224018781</v>
      </c>
      <c r="S571" s="157">
        <v>26.399606326308689</v>
      </c>
      <c r="T571" s="157">
        <v>26.743093868286572</v>
      </c>
      <c r="U571" s="158"/>
      <c r="V571" s="159"/>
      <c r="W571" s="159"/>
      <c r="X571" s="159"/>
      <c r="Y571" s="159"/>
    </row>
    <row r="572" spans="1:25" x14ac:dyDescent="0.25">
      <c r="A572" s="3"/>
      <c r="B572" s="3"/>
      <c r="C572" s="3"/>
      <c r="D572" s="3"/>
      <c r="E572" s="3"/>
      <c r="F572" s="3"/>
      <c r="G572" s="3"/>
      <c r="H572" s="3"/>
      <c r="I572" s="3"/>
      <c r="J572" s="3"/>
      <c r="K572" s="3"/>
      <c r="L572" s="3"/>
      <c r="N572" s="3"/>
      <c r="O572" s="3"/>
      <c r="P572" s="3"/>
      <c r="Q572" s="3"/>
      <c r="R572" s="3"/>
      <c r="S572" s="3"/>
      <c r="T572" s="3"/>
      <c r="U572" s="27"/>
      <c r="V572" s="27"/>
      <c r="W572" s="27"/>
      <c r="X572" s="27"/>
      <c r="Y572" s="27"/>
    </row>
    <row r="573" spans="1:25" ht="18" x14ac:dyDescent="0.25">
      <c r="A573" s="22" t="s">
        <v>335</v>
      </c>
      <c r="B573" s="22"/>
      <c r="C573" s="22"/>
      <c r="D573" s="22"/>
      <c r="E573" s="22"/>
      <c r="F573" s="22"/>
      <c r="G573" s="22"/>
      <c r="H573" s="22"/>
      <c r="I573" s="3"/>
      <c r="J573" s="3"/>
      <c r="K573" s="3"/>
      <c r="L573" s="3"/>
      <c r="N573" s="3"/>
      <c r="O573" s="3"/>
      <c r="P573" s="3"/>
      <c r="Q573" s="3"/>
      <c r="R573" s="3"/>
      <c r="S573" s="3"/>
      <c r="T573" s="3"/>
      <c r="U573" s="27"/>
      <c r="V573" s="27"/>
      <c r="W573" s="27"/>
      <c r="X573" s="27"/>
      <c r="Y573" s="27"/>
    </row>
    <row r="574" spans="1:25" ht="25.5" x14ac:dyDescent="0.25">
      <c r="A574" s="120" t="s">
        <v>93</v>
      </c>
      <c r="B574" s="105">
        <v>2007</v>
      </c>
      <c r="C574" s="105">
        <v>2008</v>
      </c>
      <c r="D574" s="105">
        <v>2009</v>
      </c>
      <c r="E574" s="105">
        <v>2010</v>
      </c>
      <c r="F574" s="105">
        <v>2011</v>
      </c>
      <c r="G574" s="105">
        <v>2012</v>
      </c>
      <c r="H574" s="105">
        <v>2013</v>
      </c>
      <c r="I574" s="105">
        <v>2014</v>
      </c>
      <c r="J574" s="105">
        <v>2015</v>
      </c>
      <c r="K574" s="105">
        <v>2016</v>
      </c>
      <c r="L574" s="105">
        <v>2017</v>
      </c>
      <c r="M574" s="132">
        <v>2018</v>
      </c>
      <c r="N574" s="105">
        <v>2019</v>
      </c>
      <c r="O574" s="105">
        <v>2020</v>
      </c>
      <c r="P574" s="105">
        <v>2021</v>
      </c>
      <c r="Q574" s="105">
        <v>2022</v>
      </c>
      <c r="R574" s="105">
        <v>2023</v>
      </c>
      <c r="S574" s="105">
        <v>2024</v>
      </c>
      <c r="T574" s="105">
        <v>2025</v>
      </c>
      <c r="U574" s="106" t="s">
        <v>546</v>
      </c>
      <c r="V574" s="106" t="s">
        <v>547</v>
      </c>
      <c r="W574" s="106" t="s">
        <v>548</v>
      </c>
      <c r="X574" s="106" t="s">
        <v>549</v>
      </c>
      <c r="Y574" s="216" t="s">
        <v>563</v>
      </c>
    </row>
    <row r="575" spans="1:25" x14ac:dyDescent="0.25">
      <c r="A575" s="88" t="s">
        <v>36</v>
      </c>
      <c r="B575" s="93">
        <v>14790</v>
      </c>
      <c r="C575" s="93">
        <v>16416</v>
      </c>
      <c r="D575" s="93">
        <v>19605</v>
      </c>
      <c r="E575" s="93">
        <v>20665</v>
      </c>
      <c r="F575" s="93">
        <v>20069</v>
      </c>
      <c r="G575" s="93">
        <v>20033</v>
      </c>
      <c r="H575" s="93">
        <v>21232</v>
      </c>
      <c r="I575" s="93">
        <v>21202</v>
      </c>
      <c r="J575" s="93">
        <v>20538</v>
      </c>
      <c r="K575" s="93">
        <v>19089</v>
      </c>
      <c r="L575" s="93">
        <v>19550</v>
      </c>
      <c r="M575" s="93">
        <v>19459</v>
      </c>
      <c r="N575" s="93">
        <v>19731</v>
      </c>
      <c r="O575" s="93">
        <v>19807</v>
      </c>
      <c r="P575" s="93">
        <v>16858</v>
      </c>
      <c r="Q575" s="123">
        <v>16783</v>
      </c>
      <c r="R575" s="123">
        <v>18541</v>
      </c>
      <c r="S575" s="123">
        <v>20979</v>
      </c>
      <c r="T575" s="123">
        <v>22122</v>
      </c>
      <c r="U575" s="149">
        <f t="shared" ref="U575:U582" si="212">(T575-K575)/K575</f>
        <v>0.15888731730315889</v>
      </c>
      <c r="V575" s="149">
        <f t="shared" ref="V575:V582" si="213">(T575-P575)/P575</f>
        <v>0.3122553090520821</v>
      </c>
      <c r="W575" s="149">
        <f t="shared" ref="W575:W582" si="214">(T575-S575)/S575</f>
        <v>5.4483054483054481E-2</v>
      </c>
      <c r="X575" s="218">
        <f>T575/T$582</f>
        <v>0.32107402031930332</v>
      </c>
      <c r="Y575" s="219">
        <f t="shared" ref="Y575:Y582" si="215">T575-S575</f>
        <v>1143</v>
      </c>
    </row>
    <row r="576" spans="1:25" x14ac:dyDescent="0.25">
      <c r="A576" s="88" t="s">
        <v>37</v>
      </c>
      <c r="B576" s="93">
        <v>17437</v>
      </c>
      <c r="C576" s="93">
        <v>19031</v>
      </c>
      <c r="D576" s="93">
        <v>20863</v>
      </c>
      <c r="E576" s="93">
        <v>25267</v>
      </c>
      <c r="F576" s="93">
        <v>25280</v>
      </c>
      <c r="G576" s="93">
        <v>23612</v>
      </c>
      <c r="H576" s="93">
        <v>24325</v>
      </c>
      <c r="I576" s="93">
        <v>24104</v>
      </c>
      <c r="J576" s="93">
        <v>22810</v>
      </c>
      <c r="K576" s="93">
        <v>21744</v>
      </c>
      <c r="L576" s="93">
        <v>21936</v>
      </c>
      <c r="M576" s="93">
        <v>21523</v>
      </c>
      <c r="N576" s="93">
        <v>21825</v>
      </c>
      <c r="O576" s="93">
        <v>19040</v>
      </c>
      <c r="P576" s="93">
        <v>18770</v>
      </c>
      <c r="Q576" s="123">
        <v>18715</v>
      </c>
      <c r="R576" s="123">
        <v>20313</v>
      </c>
      <c r="S576" s="123">
        <v>20711</v>
      </c>
      <c r="T576" s="123">
        <v>19803</v>
      </c>
      <c r="U576" s="149">
        <f t="shared" si="212"/>
        <v>-8.9266004415011035E-2</v>
      </c>
      <c r="V576" s="149">
        <f t="shared" si="213"/>
        <v>5.5034629728289826E-2</v>
      </c>
      <c r="W576" s="149">
        <f t="shared" si="214"/>
        <v>-4.384143691758003E-2</v>
      </c>
      <c r="X576" s="218">
        <f t="shared" ref="X576:X582" si="216">T576/T$582</f>
        <v>0.2874165457184325</v>
      </c>
      <c r="Y576" s="219">
        <f t="shared" si="215"/>
        <v>-908</v>
      </c>
    </row>
    <row r="577" spans="1:25" x14ac:dyDescent="0.25">
      <c r="A577" s="88" t="s">
        <v>38</v>
      </c>
      <c r="B577" s="93">
        <v>6376</v>
      </c>
      <c r="C577" s="93">
        <v>6395</v>
      </c>
      <c r="D577" s="93">
        <v>6882</v>
      </c>
      <c r="E577" s="93">
        <v>9138</v>
      </c>
      <c r="F577" s="93">
        <v>9760</v>
      </c>
      <c r="G577" s="93">
        <v>9232</v>
      </c>
      <c r="H577" s="93">
        <v>9480</v>
      </c>
      <c r="I577" s="93">
        <v>10100</v>
      </c>
      <c r="J577" s="93">
        <v>9893</v>
      </c>
      <c r="K577" s="93">
        <v>9075</v>
      </c>
      <c r="L577" s="93">
        <v>8993</v>
      </c>
      <c r="M577" s="93">
        <v>8675</v>
      </c>
      <c r="N577" s="93">
        <v>8795</v>
      </c>
      <c r="O577" s="93">
        <v>7299</v>
      </c>
      <c r="P577" s="93">
        <v>8585</v>
      </c>
      <c r="Q577" s="123">
        <v>7622</v>
      </c>
      <c r="R577" s="123">
        <v>7677</v>
      </c>
      <c r="S577" s="123">
        <v>8384</v>
      </c>
      <c r="T577" s="123">
        <v>8531</v>
      </c>
      <c r="U577" s="149">
        <f t="shared" si="212"/>
        <v>-5.9944903581267216E-2</v>
      </c>
      <c r="V577" s="149">
        <f t="shared" si="213"/>
        <v>-6.2900407687827608E-3</v>
      </c>
      <c r="W577" s="149">
        <f t="shared" si="214"/>
        <v>1.7533396946564885E-2</v>
      </c>
      <c r="X577" s="218">
        <f t="shared" si="216"/>
        <v>0.12381712626995646</v>
      </c>
      <c r="Y577" s="219">
        <f t="shared" si="215"/>
        <v>147</v>
      </c>
    </row>
    <row r="578" spans="1:25" x14ac:dyDescent="0.25">
      <c r="A578" s="88" t="s">
        <v>39</v>
      </c>
      <c r="B578" s="93">
        <v>2687</v>
      </c>
      <c r="C578" s="93">
        <v>2598</v>
      </c>
      <c r="D578" s="93">
        <v>2863</v>
      </c>
      <c r="E578" s="93">
        <v>3987</v>
      </c>
      <c r="F578" s="93">
        <v>4386</v>
      </c>
      <c r="G578" s="93">
        <v>4797</v>
      </c>
      <c r="H578" s="93">
        <v>4803</v>
      </c>
      <c r="I578" s="93">
        <v>5180</v>
      </c>
      <c r="J578" s="93">
        <v>4891</v>
      </c>
      <c r="K578" s="93">
        <v>4391</v>
      </c>
      <c r="L578" s="93">
        <v>4264</v>
      </c>
      <c r="M578" s="93">
        <v>4197</v>
      </c>
      <c r="N578" s="93">
        <v>4614</v>
      </c>
      <c r="O578" s="93">
        <v>4301</v>
      </c>
      <c r="P578" s="93">
        <v>5837</v>
      </c>
      <c r="Q578" s="123">
        <v>5156</v>
      </c>
      <c r="R578" s="123">
        <v>5365</v>
      </c>
      <c r="S578" s="123">
        <v>6049</v>
      </c>
      <c r="T578" s="123">
        <v>6276</v>
      </c>
      <c r="U578" s="149">
        <f t="shared" si="212"/>
        <v>0.42928717831928948</v>
      </c>
      <c r="V578" s="149">
        <f t="shared" si="213"/>
        <v>7.5209868082919309E-2</v>
      </c>
      <c r="W578" s="149">
        <f t="shared" si="214"/>
        <v>3.7526863944453627E-2</v>
      </c>
      <c r="X578" s="218">
        <f t="shared" si="216"/>
        <v>9.108853410740203E-2</v>
      </c>
      <c r="Y578" s="219">
        <f t="shared" si="215"/>
        <v>227</v>
      </c>
    </row>
    <row r="579" spans="1:25" x14ac:dyDescent="0.25">
      <c r="A579" s="88" t="s">
        <v>40</v>
      </c>
      <c r="B579" s="93">
        <v>1305</v>
      </c>
      <c r="C579" s="93">
        <v>1315</v>
      </c>
      <c r="D579" s="93">
        <v>1508</v>
      </c>
      <c r="E579" s="93">
        <v>2092</v>
      </c>
      <c r="F579" s="93">
        <v>2319</v>
      </c>
      <c r="G579" s="93">
        <v>2504</v>
      </c>
      <c r="H579" s="93">
        <v>2469</v>
      </c>
      <c r="I579" s="93">
        <v>2586</v>
      </c>
      <c r="J579" s="93">
        <v>2629</v>
      </c>
      <c r="K579" s="93">
        <v>2333</v>
      </c>
      <c r="L579" s="93">
        <v>2450</v>
      </c>
      <c r="M579" s="93">
        <v>2510</v>
      </c>
      <c r="N579" s="93">
        <v>2706</v>
      </c>
      <c r="O579" s="93">
        <v>2587</v>
      </c>
      <c r="P579" s="93">
        <v>3712</v>
      </c>
      <c r="Q579" s="123">
        <v>3262</v>
      </c>
      <c r="R579" s="123">
        <v>3347</v>
      </c>
      <c r="S579" s="123">
        <v>4252</v>
      </c>
      <c r="T579" s="123">
        <v>4872</v>
      </c>
      <c r="U579" s="149">
        <f t="shared" si="212"/>
        <v>1.0882983283326189</v>
      </c>
      <c r="V579" s="149">
        <f t="shared" si="213"/>
        <v>0.3125</v>
      </c>
      <c r="W579" s="149">
        <f t="shared" si="214"/>
        <v>0.14581373471307621</v>
      </c>
      <c r="X579" s="218">
        <f t="shared" si="216"/>
        <v>7.0711175616836E-2</v>
      </c>
      <c r="Y579" s="219">
        <f t="shared" si="215"/>
        <v>620</v>
      </c>
    </row>
    <row r="580" spans="1:25" x14ac:dyDescent="0.25">
      <c r="A580" s="88" t="s">
        <v>1</v>
      </c>
      <c r="B580" s="93">
        <v>1269</v>
      </c>
      <c r="C580" s="93">
        <v>1189</v>
      </c>
      <c r="D580" s="93">
        <v>1387</v>
      </c>
      <c r="E580" s="93">
        <v>1929</v>
      </c>
      <c r="F580" s="93">
        <v>2182</v>
      </c>
      <c r="G580" s="93">
        <v>2388</v>
      </c>
      <c r="H580" s="93">
        <v>2412</v>
      </c>
      <c r="I580" s="93">
        <v>2766</v>
      </c>
      <c r="J580" s="93">
        <v>2783</v>
      </c>
      <c r="K580" s="93">
        <v>2790</v>
      </c>
      <c r="L580" s="93">
        <v>2841</v>
      </c>
      <c r="M580" s="93">
        <v>2820</v>
      </c>
      <c r="N580" s="93">
        <v>3234</v>
      </c>
      <c r="O580" s="93">
        <v>3125</v>
      </c>
      <c r="P580" s="93">
        <v>4537</v>
      </c>
      <c r="Q580" s="123">
        <v>4489</v>
      </c>
      <c r="R580" s="123">
        <v>4941</v>
      </c>
      <c r="S580" s="123">
        <v>6396</v>
      </c>
      <c r="T580" s="123">
        <v>7294</v>
      </c>
      <c r="U580" s="149">
        <f t="shared" si="212"/>
        <v>1.614336917562724</v>
      </c>
      <c r="V580" s="149">
        <f t="shared" si="213"/>
        <v>0.60767026669605462</v>
      </c>
      <c r="W580" s="149">
        <f t="shared" si="214"/>
        <v>0.14040025015634772</v>
      </c>
      <c r="X580" s="218">
        <f t="shared" si="216"/>
        <v>0.10586357039187227</v>
      </c>
      <c r="Y580" s="219">
        <f t="shared" si="215"/>
        <v>898</v>
      </c>
    </row>
    <row r="581" spans="1:25" x14ac:dyDescent="0.25">
      <c r="A581" s="88" t="s">
        <v>66</v>
      </c>
      <c r="B581" s="123">
        <v>48</v>
      </c>
      <c r="C581" s="123">
        <v>112</v>
      </c>
      <c r="D581" s="123">
        <v>94</v>
      </c>
      <c r="E581" s="123">
        <v>37</v>
      </c>
      <c r="F581" s="123">
        <v>39</v>
      </c>
      <c r="G581" s="123">
        <v>18</v>
      </c>
      <c r="H581" s="123">
        <v>3</v>
      </c>
      <c r="I581" s="123">
        <v>3</v>
      </c>
      <c r="J581" s="123">
        <v>7</v>
      </c>
      <c r="K581" s="123">
        <v>1</v>
      </c>
      <c r="L581" s="123">
        <v>0</v>
      </c>
      <c r="M581" s="123">
        <v>19</v>
      </c>
      <c r="N581" s="123">
        <v>1</v>
      </c>
      <c r="O581" s="123">
        <v>0</v>
      </c>
      <c r="P581" s="123">
        <v>0</v>
      </c>
      <c r="Q581" s="123">
        <v>1</v>
      </c>
      <c r="R581" s="123">
        <v>0</v>
      </c>
      <c r="S581" s="123">
        <v>0</v>
      </c>
      <c r="T581" s="123">
        <v>2</v>
      </c>
      <c r="U581" s="149">
        <f t="shared" si="212"/>
        <v>1</v>
      </c>
      <c r="V581" s="149" t="s">
        <v>130</v>
      </c>
      <c r="W581" s="149" t="s">
        <v>130</v>
      </c>
      <c r="X581" s="218">
        <f t="shared" si="216"/>
        <v>2.9027576197387517E-5</v>
      </c>
      <c r="Y581" s="219">
        <f t="shared" si="215"/>
        <v>2</v>
      </c>
    </row>
    <row r="582" spans="1:25" x14ac:dyDescent="0.25">
      <c r="A582" s="92" t="s">
        <v>0</v>
      </c>
      <c r="B582" s="2">
        <v>43912</v>
      </c>
      <c r="C582" s="2">
        <v>47056</v>
      </c>
      <c r="D582" s="2">
        <v>53202</v>
      </c>
      <c r="E582" s="2">
        <v>63115</v>
      </c>
      <c r="F582" s="2">
        <v>64035</v>
      </c>
      <c r="G582" s="2">
        <v>62584</v>
      </c>
      <c r="H582" s="2">
        <v>64724</v>
      </c>
      <c r="I582" s="2">
        <v>65941</v>
      </c>
      <c r="J582" s="2">
        <v>63551</v>
      </c>
      <c r="K582" s="2">
        <v>59423</v>
      </c>
      <c r="L582" s="2">
        <v>60034</v>
      </c>
      <c r="M582" s="2">
        <v>59203</v>
      </c>
      <c r="N582" s="2">
        <v>60906</v>
      </c>
      <c r="O582" s="2">
        <v>56159</v>
      </c>
      <c r="P582" s="2">
        <v>58299</v>
      </c>
      <c r="Q582" s="89">
        <v>56028</v>
      </c>
      <c r="R582" s="89">
        <v>60184</v>
      </c>
      <c r="S582" s="89">
        <v>66771</v>
      </c>
      <c r="T582" s="89">
        <v>68900</v>
      </c>
      <c r="U582" s="150">
        <f t="shared" si="212"/>
        <v>0.15948370159702471</v>
      </c>
      <c r="V582" s="150">
        <f t="shared" si="213"/>
        <v>0.18183845348976826</v>
      </c>
      <c r="W582" s="150">
        <f t="shared" si="214"/>
        <v>3.1885099818783603E-2</v>
      </c>
      <c r="X582" s="220">
        <f t="shared" si="216"/>
        <v>1</v>
      </c>
      <c r="Y582" s="221">
        <f t="shared" si="215"/>
        <v>2129</v>
      </c>
    </row>
    <row r="583" spans="1:25" x14ac:dyDescent="0.25">
      <c r="A583" s="156" t="s">
        <v>489</v>
      </c>
      <c r="B583" s="157">
        <v>23.012766733540033</v>
      </c>
      <c r="C583" s="157">
        <v>22.732319359236538</v>
      </c>
      <c r="D583" s="157">
        <v>22.638378398734655</v>
      </c>
      <c r="E583" s="157">
        <v>23.159041187101682</v>
      </c>
      <c r="F583" s="157">
        <v>23.441152572035751</v>
      </c>
      <c r="G583" s="157">
        <v>23.626426493622734</v>
      </c>
      <c r="H583" s="157">
        <v>23.526614236492019</v>
      </c>
      <c r="I583" s="157">
        <v>23.749704267645363</v>
      </c>
      <c r="J583" s="157">
        <v>23.829378068739771</v>
      </c>
      <c r="K583" s="157">
        <v>23.845999798054592</v>
      </c>
      <c r="L583" s="157">
        <v>23.80967451777326</v>
      </c>
      <c r="M583" s="157">
        <v>23.836932278994322</v>
      </c>
      <c r="N583" s="157">
        <v>24.045447828585502</v>
      </c>
      <c r="O583" s="157">
        <v>23.973485995120996</v>
      </c>
      <c r="P583" s="157">
        <v>25.314773838316267</v>
      </c>
      <c r="Q583" s="157">
        <v>25.110339657665055</v>
      </c>
      <c r="R583" s="157">
        <v>25.04002724976738</v>
      </c>
      <c r="S583" s="157">
        <v>25.538062931512183</v>
      </c>
      <c r="T583" s="157">
        <v>25.898995616708756</v>
      </c>
      <c r="U583" s="158"/>
      <c r="V583" s="159"/>
      <c r="W583" s="159"/>
      <c r="X583" s="159"/>
      <c r="Y583" s="159"/>
    </row>
    <row r="584" spans="1:25" x14ac:dyDescent="0.25">
      <c r="A584" s="146" t="s">
        <v>685</v>
      </c>
      <c r="B584" s="3"/>
      <c r="C584" s="3"/>
      <c r="D584" s="3"/>
      <c r="E584" s="3"/>
      <c r="F584" s="3"/>
      <c r="G584" s="3"/>
      <c r="H584" s="3"/>
      <c r="I584" s="3"/>
      <c r="J584" s="3"/>
      <c r="K584" s="3"/>
      <c r="L584" s="3"/>
      <c r="N584" s="3"/>
      <c r="O584" s="3"/>
      <c r="P584" s="3"/>
      <c r="Q584" s="3"/>
      <c r="R584" s="3"/>
      <c r="S584" s="3"/>
      <c r="T584" s="3"/>
      <c r="U584" s="27"/>
      <c r="V584" s="27"/>
      <c r="W584" s="27"/>
      <c r="X584" s="27"/>
      <c r="Y584" s="27"/>
    </row>
    <row r="585" spans="1:25" x14ac:dyDescent="0.25">
      <c r="A585" s="3"/>
      <c r="B585" s="3"/>
      <c r="C585" s="3"/>
      <c r="D585" s="3"/>
      <c r="E585" s="3"/>
      <c r="F585" s="3"/>
      <c r="G585" s="3"/>
      <c r="H585" s="3"/>
      <c r="I585" s="3"/>
      <c r="J585" s="3"/>
      <c r="K585" s="3"/>
      <c r="L585" s="3"/>
      <c r="N585" s="3"/>
      <c r="O585" s="3"/>
      <c r="P585" s="3"/>
      <c r="Q585" s="3"/>
      <c r="R585" s="3"/>
      <c r="S585" s="3"/>
      <c r="T585" s="3"/>
      <c r="U585" s="27"/>
      <c r="V585" s="27"/>
      <c r="W585" s="27"/>
      <c r="X585" s="27"/>
      <c r="Y585" s="27"/>
    </row>
    <row r="586" spans="1:25" ht="15.75" x14ac:dyDescent="0.25">
      <c r="A586" s="22" t="s">
        <v>105</v>
      </c>
      <c r="B586" s="22"/>
      <c r="C586" s="22"/>
      <c r="D586" s="22"/>
      <c r="E586" s="22"/>
      <c r="F586" s="22"/>
      <c r="G586" s="22"/>
      <c r="H586" s="22"/>
      <c r="I586" s="3"/>
      <c r="J586" s="3"/>
      <c r="K586" s="3"/>
      <c r="L586" s="3"/>
      <c r="N586" s="3"/>
      <c r="O586" s="3"/>
      <c r="P586" s="3"/>
      <c r="Q586" s="3"/>
      <c r="R586" s="3"/>
      <c r="S586" s="3"/>
      <c r="T586" s="3"/>
      <c r="U586" s="27"/>
      <c r="V586" s="27"/>
      <c r="W586" s="27"/>
      <c r="X586" s="27"/>
      <c r="Y586" s="27"/>
    </row>
    <row r="587" spans="1:25" ht="30" customHeight="1" x14ac:dyDescent="0.25">
      <c r="A587" s="120" t="s">
        <v>93</v>
      </c>
      <c r="B587" s="105">
        <v>2007</v>
      </c>
      <c r="C587" s="105">
        <v>2008</v>
      </c>
      <c r="D587" s="105">
        <v>2009</v>
      </c>
      <c r="E587" s="105">
        <v>2010</v>
      </c>
      <c r="F587" s="105">
        <v>2011</v>
      </c>
      <c r="G587" s="105">
        <v>2012</v>
      </c>
      <c r="H587" s="105">
        <v>2013</v>
      </c>
      <c r="I587" s="105">
        <v>2014</v>
      </c>
      <c r="J587" s="105">
        <v>2015</v>
      </c>
      <c r="K587" s="105">
        <v>2016</v>
      </c>
      <c r="L587" s="105">
        <v>2017</v>
      </c>
      <c r="M587" s="132">
        <v>2018</v>
      </c>
      <c r="N587" s="105">
        <v>2019</v>
      </c>
      <c r="O587" s="105">
        <v>2020</v>
      </c>
      <c r="P587" s="105">
        <v>2021</v>
      </c>
      <c r="Q587" s="105">
        <v>2022</v>
      </c>
      <c r="R587" s="105">
        <v>2023</v>
      </c>
      <c r="S587" s="105">
        <v>2024</v>
      </c>
      <c r="T587" s="105">
        <v>2025</v>
      </c>
      <c r="U587" s="106" t="s">
        <v>546</v>
      </c>
      <c r="V587" s="106" t="s">
        <v>547</v>
      </c>
      <c r="W587" s="106" t="s">
        <v>548</v>
      </c>
      <c r="X587" s="106" t="s">
        <v>549</v>
      </c>
      <c r="Y587" s="216" t="s">
        <v>563</v>
      </c>
    </row>
    <row r="588" spans="1:25" x14ac:dyDescent="0.25">
      <c r="A588" s="88" t="s">
        <v>36</v>
      </c>
      <c r="B588" s="123">
        <v>32963</v>
      </c>
      <c r="C588" s="123">
        <v>33654</v>
      </c>
      <c r="D588" s="123">
        <v>37223</v>
      </c>
      <c r="E588" s="123">
        <v>40455</v>
      </c>
      <c r="F588" s="123">
        <v>43918</v>
      </c>
      <c r="G588" s="123">
        <v>45726</v>
      </c>
      <c r="H588" s="123">
        <v>51461</v>
      </c>
      <c r="I588" s="123">
        <v>53220</v>
      </c>
      <c r="J588" s="123">
        <v>51604</v>
      </c>
      <c r="K588" s="123">
        <v>50595</v>
      </c>
      <c r="L588" s="123">
        <v>50014</v>
      </c>
      <c r="M588" s="123">
        <v>50615</v>
      </c>
      <c r="N588" s="123">
        <v>50884</v>
      </c>
      <c r="O588" s="123">
        <v>51176</v>
      </c>
      <c r="P588" s="123">
        <v>47974</v>
      </c>
      <c r="Q588" s="123">
        <v>48948</v>
      </c>
      <c r="R588" s="123">
        <v>48367</v>
      </c>
      <c r="S588" s="123">
        <v>46021</v>
      </c>
      <c r="T588" s="123">
        <v>46837</v>
      </c>
      <c r="U588" s="149">
        <f t="shared" ref="U588:U595" si="217">(T588-K588)/K588</f>
        <v>-7.4276114240537608E-2</v>
      </c>
      <c r="V588" s="149">
        <f t="shared" ref="V588:V595" si="218">(T588-P588)/P588</f>
        <v>-2.3700337682911576E-2</v>
      </c>
      <c r="W588" s="149">
        <f t="shared" ref="W588:W595" si="219">(T588-S588)/S588</f>
        <v>1.7731035831468244E-2</v>
      </c>
      <c r="X588" s="218">
        <f>T588/T$595</f>
        <v>0.10574500365751235</v>
      </c>
      <c r="Y588" s="219">
        <f t="shared" ref="Y588:Y595" si="220">T588-S588</f>
        <v>816</v>
      </c>
    </row>
    <row r="589" spans="1:25" x14ac:dyDescent="0.25">
      <c r="A589" s="88" t="s">
        <v>37</v>
      </c>
      <c r="B589" s="123">
        <v>80093</v>
      </c>
      <c r="C589" s="123">
        <v>82763</v>
      </c>
      <c r="D589" s="123">
        <v>98077</v>
      </c>
      <c r="E589" s="123">
        <v>116595</v>
      </c>
      <c r="F589" s="123">
        <v>133791</v>
      </c>
      <c r="G589" s="123">
        <v>145905</v>
      </c>
      <c r="H589" s="123">
        <v>155339</v>
      </c>
      <c r="I589" s="123">
        <v>162243</v>
      </c>
      <c r="J589" s="123">
        <v>168841</v>
      </c>
      <c r="K589" s="123">
        <v>169758</v>
      </c>
      <c r="L589" s="123">
        <v>165742</v>
      </c>
      <c r="M589" s="123">
        <v>162908</v>
      </c>
      <c r="N589" s="123">
        <v>162978</v>
      </c>
      <c r="O589" s="123">
        <v>151420</v>
      </c>
      <c r="P589" s="123">
        <v>149209</v>
      </c>
      <c r="Q589" s="123">
        <v>149653</v>
      </c>
      <c r="R589" s="123">
        <v>159029</v>
      </c>
      <c r="S589" s="123">
        <v>162681</v>
      </c>
      <c r="T589" s="123">
        <v>161086</v>
      </c>
      <c r="U589" s="149">
        <f t="shared" si="217"/>
        <v>-5.1084484972725878E-2</v>
      </c>
      <c r="V589" s="149">
        <f t="shared" si="218"/>
        <v>7.9599756046887252E-2</v>
      </c>
      <c r="W589" s="149">
        <f t="shared" si="219"/>
        <v>-9.8044639509223576E-3</v>
      </c>
      <c r="X589" s="218">
        <f t="shared" ref="X589:X595" si="221">T589/T$595</f>
        <v>0.36368767553801556</v>
      </c>
      <c r="Y589" s="219">
        <f t="shared" si="220"/>
        <v>-1595</v>
      </c>
    </row>
    <row r="590" spans="1:25" x14ac:dyDescent="0.25">
      <c r="A590" s="88" t="s">
        <v>38</v>
      </c>
      <c r="B590" s="123">
        <v>26787</v>
      </c>
      <c r="C590" s="123">
        <v>27381</v>
      </c>
      <c r="D590" s="123">
        <v>31654</v>
      </c>
      <c r="E590" s="123">
        <v>39014</v>
      </c>
      <c r="F590" s="123">
        <v>47848</v>
      </c>
      <c r="G590" s="123">
        <v>56041</v>
      </c>
      <c r="H590" s="123">
        <v>63951</v>
      </c>
      <c r="I590" s="123">
        <v>70935</v>
      </c>
      <c r="J590" s="123">
        <v>77221</v>
      </c>
      <c r="K590" s="123">
        <v>79440</v>
      </c>
      <c r="L590" s="123">
        <v>77341</v>
      </c>
      <c r="M590" s="123">
        <v>74577</v>
      </c>
      <c r="N590" s="123">
        <v>73710</v>
      </c>
      <c r="O590" s="123">
        <v>66943</v>
      </c>
      <c r="P590" s="123">
        <v>70312</v>
      </c>
      <c r="Q590" s="123">
        <v>71032</v>
      </c>
      <c r="R590" s="123">
        <v>71560</v>
      </c>
      <c r="S590" s="123">
        <v>71191</v>
      </c>
      <c r="T590" s="123">
        <v>73057</v>
      </c>
      <c r="U590" s="149">
        <f t="shared" si="217"/>
        <v>-8.0349949647532726E-2</v>
      </c>
      <c r="V590" s="149">
        <f t="shared" si="218"/>
        <v>3.9040277619751963E-2</v>
      </c>
      <c r="W590" s="149">
        <f t="shared" si="219"/>
        <v>2.6211178379289518E-2</v>
      </c>
      <c r="X590" s="218">
        <f t="shared" si="221"/>
        <v>0.16494251835529347</v>
      </c>
      <c r="Y590" s="219">
        <f t="shared" si="220"/>
        <v>1866</v>
      </c>
    </row>
    <row r="591" spans="1:25" x14ac:dyDescent="0.25">
      <c r="A591" s="88" t="s">
        <v>39</v>
      </c>
      <c r="B591" s="123">
        <v>8653</v>
      </c>
      <c r="C591" s="123">
        <v>9434</v>
      </c>
      <c r="D591" s="123">
        <v>11368</v>
      </c>
      <c r="E591" s="123">
        <v>14655</v>
      </c>
      <c r="F591" s="123">
        <v>18656</v>
      </c>
      <c r="G591" s="123">
        <v>23963</v>
      </c>
      <c r="H591" s="123">
        <v>28552</v>
      </c>
      <c r="I591" s="123">
        <v>33043</v>
      </c>
      <c r="J591" s="123">
        <v>37543</v>
      </c>
      <c r="K591" s="123">
        <v>38863</v>
      </c>
      <c r="L591" s="123">
        <v>37952</v>
      </c>
      <c r="M591" s="123">
        <v>38431</v>
      </c>
      <c r="N591" s="123">
        <v>40584</v>
      </c>
      <c r="O591" s="123">
        <v>40154</v>
      </c>
      <c r="P591" s="123">
        <v>47133</v>
      </c>
      <c r="Q591" s="123">
        <v>51571</v>
      </c>
      <c r="R591" s="123">
        <v>54212</v>
      </c>
      <c r="S591" s="123">
        <v>54067</v>
      </c>
      <c r="T591" s="123">
        <v>56329</v>
      </c>
      <c r="U591" s="149">
        <f t="shared" si="217"/>
        <v>0.44942490286390652</v>
      </c>
      <c r="V591" s="149">
        <f t="shared" si="218"/>
        <v>0.19510746186323807</v>
      </c>
      <c r="W591" s="149">
        <f t="shared" si="219"/>
        <v>4.1836980043279633E-2</v>
      </c>
      <c r="X591" s="218">
        <f t="shared" si="221"/>
        <v>0.12717531675863128</v>
      </c>
      <c r="Y591" s="219">
        <f t="shared" si="220"/>
        <v>2262</v>
      </c>
    </row>
    <row r="592" spans="1:25" x14ac:dyDescent="0.25">
      <c r="A592" s="88" t="s">
        <v>40</v>
      </c>
      <c r="B592" s="123">
        <v>3834</v>
      </c>
      <c r="C592" s="123">
        <v>4631</v>
      </c>
      <c r="D592" s="123">
        <v>5715</v>
      </c>
      <c r="E592" s="123">
        <v>7350</v>
      </c>
      <c r="F592" s="123">
        <v>9022</v>
      </c>
      <c r="G592" s="123">
        <v>11353</v>
      </c>
      <c r="H592" s="123">
        <v>13258</v>
      </c>
      <c r="I592" s="123">
        <v>16125</v>
      </c>
      <c r="J592" s="123">
        <v>18885</v>
      </c>
      <c r="K592" s="123">
        <v>20945</v>
      </c>
      <c r="L592" s="123">
        <v>21727</v>
      </c>
      <c r="M592" s="123">
        <v>22547</v>
      </c>
      <c r="N592" s="123">
        <v>24513</v>
      </c>
      <c r="O592" s="123">
        <v>24375</v>
      </c>
      <c r="P592" s="123">
        <v>30053</v>
      </c>
      <c r="Q592" s="123">
        <v>34217</v>
      </c>
      <c r="R592" s="123">
        <v>37951</v>
      </c>
      <c r="S592" s="123">
        <v>40332</v>
      </c>
      <c r="T592" s="123">
        <v>45132</v>
      </c>
      <c r="U592" s="149">
        <f t="shared" si="217"/>
        <v>1.1547863451897828</v>
      </c>
      <c r="V592" s="149">
        <f t="shared" si="218"/>
        <v>0.5017469137856454</v>
      </c>
      <c r="W592" s="149">
        <f t="shared" si="219"/>
        <v>0.11901219875037192</v>
      </c>
      <c r="X592" s="218">
        <f t="shared" si="221"/>
        <v>0.10189558479558569</v>
      </c>
      <c r="Y592" s="219">
        <f t="shared" si="220"/>
        <v>4800</v>
      </c>
    </row>
    <row r="593" spans="1:25" x14ac:dyDescent="0.25">
      <c r="A593" s="88" t="s">
        <v>1</v>
      </c>
      <c r="B593" s="123">
        <v>3735</v>
      </c>
      <c r="C593" s="123">
        <v>4914</v>
      </c>
      <c r="D593" s="123">
        <v>5430</v>
      </c>
      <c r="E593" s="123">
        <v>6209</v>
      </c>
      <c r="F593" s="123">
        <v>7445</v>
      </c>
      <c r="G593" s="123">
        <v>10516</v>
      </c>
      <c r="H593" s="123">
        <v>12011</v>
      </c>
      <c r="I593" s="123">
        <v>15436</v>
      </c>
      <c r="J593" s="123">
        <v>19076</v>
      </c>
      <c r="K593" s="123">
        <v>21385</v>
      </c>
      <c r="L593" s="123">
        <v>21932</v>
      </c>
      <c r="M593" s="123">
        <v>23910</v>
      </c>
      <c r="N593" s="123">
        <v>26774</v>
      </c>
      <c r="O593" s="123">
        <v>27317</v>
      </c>
      <c r="P593" s="123">
        <v>33857</v>
      </c>
      <c r="Q593" s="123">
        <v>41406</v>
      </c>
      <c r="R593" s="123">
        <v>47892</v>
      </c>
      <c r="S593" s="123">
        <v>51976</v>
      </c>
      <c r="T593" s="123">
        <v>60481</v>
      </c>
      <c r="U593" s="149">
        <f t="shared" si="217"/>
        <v>1.8281973345803133</v>
      </c>
      <c r="V593" s="149">
        <f t="shared" si="218"/>
        <v>0.78636618719910212</v>
      </c>
      <c r="W593" s="149">
        <f t="shared" si="219"/>
        <v>0.16363321533015238</v>
      </c>
      <c r="X593" s="218">
        <f t="shared" si="221"/>
        <v>0.1365493854476163</v>
      </c>
      <c r="Y593" s="219">
        <f t="shared" si="220"/>
        <v>8505</v>
      </c>
    </row>
    <row r="594" spans="1:25" x14ac:dyDescent="0.25">
      <c r="A594" s="88" t="s">
        <v>66</v>
      </c>
      <c r="B594" s="123">
        <v>59</v>
      </c>
      <c r="C594" s="123">
        <v>71</v>
      </c>
      <c r="D594" s="123">
        <v>130</v>
      </c>
      <c r="E594" s="123">
        <v>23</v>
      </c>
      <c r="F594" s="123">
        <v>12</v>
      </c>
      <c r="G594" s="123">
        <v>15</v>
      </c>
      <c r="H594" s="123">
        <v>7</v>
      </c>
      <c r="I594" s="123">
        <v>2</v>
      </c>
      <c r="J594" s="123">
        <v>1</v>
      </c>
      <c r="K594" s="123">
        <v>2</v>
      </c>
      <c r="L594" s="123">
        <v>1</v>
      </c>
      <c r="M594" s="123">
        <v>116</v>
      </c>
      <c r="N594" s="123">
        <v>13</v>
      </c>
      <c r="O594" s="123">
        <v>2</v>
      </c>
      <c r="P594" s="123">
        <v>0</v>
      </c>
      <c r="Q594" s="123">
        <v>2</v>
      </c>
      <c r="R594" s="123">
        <v>3</v>
      </c>
      <c r="S594" s="123">
        <v>4</v>
      </c>
      <c r="T594" s="123">
        <v>2</v>
      </c>
      <c r="U594" s="149">
        <f t="shared" si="217"/>
        <v>0</v>
      </c>
      <c r="V594" s="149" t="s">
        <v>130</v>
      </c>
      <c r="W594" s="149">
        <f t="shared" si="219"/>
        <v>-0.5</v>
      </c>
      <c r="X594" s="218">
        <f t="shared" si="221"/>
        <v>4.515447345368506E-6</v>
      </c>
      <c r="Y594" s="219">
        <f t="shared" si="220"/>
        <v>-2</v>
      </c>
    </row>
    <row r="595" spans="1:25" x14ac:dyDescent="0.25">
      <c r="A595" s="92" t="s">
        <v>0</v>
      </c>
      <c r="B595" s="2">
        <v>156124</v>
      </c>
      <c r="C595" s="2">
        <v>162848</v>
      </c>
      <c r="D595" s="2">
        <v>189597</v>
      </c>
      <c r="E595" s="2">
        <v>224301</v>
      </c>
      <c r="F595" s="2">
        <v>260692</v>
      </c>
      <c r="G595" s="2">
        <v>293519</v>
      </c>
      <c r="H595" s="2">
        <v>324579</v>
      </c>
      <c r="I595" s="2">
        <v>351004</v>
      </c>
      <c r="J595" s="2">
        <v>373171</v>
      </c>
      <c r="K595" s="2">
        <v>380988</v>
      </c>
      <c r="L595" s="2">
        <v>374709</v>
      </c>
      <c r="M595" s="2">
        <v>373104</v>
      </c>
      <c r="N595" s="2">
        <v>379456</v>
      </c>
      <c r="O595" s="2">
        <v>361387</v>
      </c>
      <c r="P595" s="2">
        <v>378538</v>
      </c>
      <c r="Q595" s="89">
        <v>396829</v>
      </c>
      <c r="R595" s="89">
        <v>419014</v>
      </c>
      <c r="S595" s="89">
        <v>426272</v>
      </c>
      <c r="T595" s="89">
        <v>442924</v>
      </c>
      <c r="U595" s="150">
        <f t="shared" si="217"/>
        <v>0.1625668000041996</v>
      </c>
      <c r="V595" s="150">
        <f t="shared" si="218"/>
        <v>0.17009124579302473</v>
      </c>
      <c r="W595" s="150">
        <f t="shared" si="219"/>
        <v>3.9064259439981985E-2</v>
      </c>
      <c r="X595" s="220">
        <f t="shared" si="221"/>
        <v>1</v>
      </c>
      <c r="Y595" s="221">
        <f t="shared" si="220"/>
        <v>16652</v>
      </c>
    </row>
    <row r="596" spans="1:25" x14ac:dyDescent="0.25">
      <c r="A596" s="156" t="s">
        <v>488</v>
      </c>
      <c r="B596" s="157">
        <v>23.332918976067663</v>
      </c>
      <c r="C596" s="157">
        <v>23.566560386295361</v>
      </c>
      <c r="D596" s="157">
        <v>23.58700459710662</v>
      </c>
      <c r="E596" s="157">
        <v>23.762241503847903</v>
      </c>
      <c r="F596" s="157">
        <v>23.982123676538283</v>
      </c>
      <c r="G596" s="157">
        <v>24.422321331225469</v>
      </c>
      <c r="H596" s="157">
        <v>24.570714664234746</v>
      </c>
      <c r="I596" s="157">
        <v>24.929615785665039</v>
      </c>
      <c r="J596" s="157">
        <v>25.296149208135702</v>
      </c>
      <c r="K596" s="157">
        <v>25.538749455360563</v>
      </c>
      <c r="L596" s="157">
        <v>25.629164576149961</v>
      </c>
      <c r="M596" s="157">
        <v>25.786065503447833</v>
      </c>
      <c r="N596" s="157">
        <v>26.010391547610578</v>
      </c>
      <c r="O596" s="157">
        <v>26.140000276713202</v>
      </c>
      <c r="P596" s="157">
        <v>26.849116865413777</v>
      </c>
      <c r="Q596" s="157">
        <v>27.343273013177026</v>
      </c>
      <c r="R596" s="157">
        <v>27.639345983756989</v>
      </c>
      <c r="S596" s="157">
        <v>27.898104009684047</v>
      </c>
      <c r="T596" s="157">
        <v>28.415138557127442</v>
      </c>
      <c r="U596" s="159"/>
      <c r="V596" s="159"/>
      <c r="W596" s="159"/>
      <c r="X596" s="159"/>
      <c r="Y596" s="159"/>
    </row>
    <row r="597" spans="1:25" x14ac:dyDescent="0.25">
      <c r="A597" s="3"/>
      <c r="B597" s="3"/>
      <c r="C597" s="3"/>
      <c r="D597" s="3"/>
      <c r="E597" s="3"/>
      <c r="F597" s="3"/>
      <c r="G597" s="3"/>
      <c r="H597" s="3"/>
      <c r="I597" s="3"/>
      <c r="J597" s="3"/>
      <c r="K597" s="3"/>
      <c r="L597" s="3"/>
      <c r="N597" s="3"/>
      <c r="O597" s="3"/>
      <c r="P597" s="3"/>
      <c r="Q597" s="3"/>
      <c r="R597" s="3"/>
      <c r="S597" s="3"/>
      <c r="T597" s="3"/>
      <c r="U597" s="27"/>
      <c r="V597" s="27"/>
      <c r="W597" s="27"/>
      <c r="X597" s="27"/>
      <c r="Y597" s="27"/>
    </row>
    <row r="598" spans="1:25" ht="18" x14ac:dyDescent="0.25">
      <c r="A598" s="22" t="s">
        <v>336</v>
      </c>
      <c r="B598" s="22"/>
      <c r="C598" s="22"/>
      <c r="D598" s="22"/>
      <c r="E598" s="22"/>
      <c r="F598" s="22"/>
      <c r="G598" s="22"/>
      <c r="H598" s="22"/>
      <c r="I598" s="3"/>
      <c r="J598" s="3"/>
      <c r="K598" s="3"/>
      <c r="L598" s="3"/>
      <c r="N598" s="3"/>
      <c r="O598" s="3"/>
      <c r="P598" s="3"/>
      <c r="Q598" s="3"/>
      <c r="R598" s="3"/>
      <c r="S598" s="3"/>
      <c r="T598" s="3"/>
      <c r="U598" s="27"/>
      <c r="V598" s="27"/>
      <c r="W598" s="27"/>
      <c r="X598" s="27"/>
      <c r="Y598" s="27"/>
    </row>
    <row r="599" spans="1:25" ht="25.5" x14ac:dyDescent="0.25">
      <c r="A599" s="120" t="s">
        <v>93</v>
      </c>
      <c r="B599" s="105">
        <v>2007</v>
      </c>
      <c r="C599" s="105">
        <v>2008</v>
      </c>
      <c r="D599" s="105">
        <v>2009</v>
      </c>
      <c r="E599" s="105">
        <v>2010</v>
      </c>
      <c r="F599" s="105">
        <v>2011</v>
      </c>
      <c r="G599" s="105">
        <v>2012</v>
      </c>
      <c r="H599" s="105">
        <v>2013</v>
      </c>
      <c r="I599" s="105">
        <v>2014</v>
      </c>
      <c r="J599" s="105">
        <v>2015</v>
      </c>
      <c r="K599" s="105">
        <v>2016</v>
      </c>
      <c r="L599" s="105">
        <v>2017</v>
      </c>
      <c r="M599" s="132">
        <v>2018</v>
      </c>
      <c r="N599" s="105">
        <v>2019</v>
      </c>
      <c r="O599" s="105">
        <v>2020</v>
      </c>
      <c r="P599" s="105">
        <v>2021</v>
      </c>
      <c r="Q599" s="105">
        <v>2022</v>
      </c>
      <c r="R599" s="105">
        <v>2023</v>
      </c>
      <c r="S599" s="105">
        <v>2024</v>
      </c>
      <c r="T599" s="105">
        <v>2025</v>
      </c>
      <c r="U599" s="106" t="s">
        <v>546</v>
      </c>
      <c r="V599" s="106" t="s">
        <v>547</v>
      </c>
      <c r="W599" s="106" t="s">
        <v>548</v>
      </c>
      <c r="X599" s="106" t="s">
        <v>549</v>
      </c>
      <c r="Y599" s="216" t="s">
        <v>563</v>
      </c>
    </row>
    <row r="600" spans="1:25" x14ac:dyDescent="0.25">
      <c r="A600" s="88" t="s">
        <v>36</v>
      </c>
      <c r="B600" s="93">
        <v>25820</v>
      </c>
      <c r="C600" s="93">
        <v>25026</v>
      </c>
      <c r="D600" s="93">
        <v>28480</v>
      </c>
      <c r="E600" s="93">
        <v>29826</v>
      </c>
      <c r="F600" s="93">
        <v>32887</v>
      </c>
      <c r="G600" s="93">
        <v>33666</v>
      </c>
      <c r="H600" s="93">
        <v>38730</v>
      </c>
      <c r="I600" s="93">
        <v>37781</v>
      </c>
      <c r="J600" s="93">
        <v>36347</v>
      </c>
      <c r="K600" s="93">
        <v>36364</v>
      </c>
      <c r="L600" s="93">
        <v>36021</v>
      </c>
      <c r="M600" s="93">
        <v>35764</v>
      </c>
      <c r="N600" s="93">
        <v>36442</v>
      </c>
      <c r="O600" s="93">
        <v>36007</v>
      </c>
      <c r="P600" s="93">
        <v>34170</v>
      </c>
      <c r="Q600" s="123">
        <v>35156</v>
      </c>
      <c r="R600" s="123">
        <v>34068</v>
      </c>
      <c r="S600" s="123">
        <v>32172</v>
      </c>
      <c r="T600" s="123">
        <v>33241</v>
      </c>
      <c r="U600" s="149">
        <f t="shared" ref="U600:U607" si="222">(T600-K600)/K600</f>
        <v>-8.5881641183588167E-2</v>
      </c>
      <c r="V600" s="149">
        <f t="shared" ref="V600:V607" si="223">(T600-P600)/P600</f>
        <v>-2.7187591454492243E-2</v>
      </c>
      <c r="W600" s="149">
        <f t="shared" ref="W600:W607" si="224">(T600-S600)/S600</f>
        <v>3.322765137386547E-2</v>
      </c>
      <c r="X600" s="218">
        <f>T600/T$607</f>
        <v>0.24687516246184468</v>
      </c>
      <c r="Y600" s="219">
        <f t="shared" ref="Y600:Y607" si="225">T600-S600</f>
        <v>1069</v>
      </c>
    </row>
    <row r="601" spans="1:25" x14ac:dyDescent="0.25">
      <c r="A601" s="88" t="s">
        <v>37</v>
      </c>
      <c r="B601" s="93">
        <v>27493</v>
      </c>
      <c r="C601" s="93">
        <v>27754</v>
      </c>
      <c r="D601" s="93">
        <v>32934</v>
      </c>
      <c r="E601" s="93">
        <v>39864</v>
      </c>
      <c r="F601" s="93">
        <v>42955</v>
      </c>
      <c r="G601" s="93">
        <v>44651</v>
      </c>
      <c r="H601" s="93">
        <v>48531</v>
      </c>
      <c r="I601" s="93">
        <v>48022</v>
      </c>
      <c r="J601" s="93">
        <v>44763</v>
      </c>
      <c r="K601" s="93">
        <v>43557</v>
      </c>
      <c r="L601" s="93">
        <v>41670</v>
      </c>
      <c r="M601" s="93">
        <v>40207</v>
      </c>
      <c r="N601" s="93">
        <v>39282</v>
      </c>
      <c r="O601" s="93">
        <v>33250</v>
      </c>
      <c r="P601" s="93">
        <v>33408</v>
      </c>
      <c r="Q601" s="123">
        <v>37009</v>
      </c>
      <c r="R601" s="123">
        <v>40005</v>
      </c>
      <c r="S601" s="123">
        <v>35524</v>
      </c>
      <c r="T601" s="123">
        <v>33933</v>
      </c>
      <c r="U601" s="149">
        <f t="shared" si="222"/>
        <v>-0.22095185618844274</v>
      </c>
      <c r="V601" s="149">
        <f t="shared" si="223"/>
        <v>1.5714798850574713E-2</v>
      </c>
      <c r="W601" s="149">
        <f t="shared" si="224"/>
        <v>-4.4786623128026122E-2</v>
      </c>
      <c r="X601" s="218">
        <f t="shared" ref="X601:X607" si="226">T601/T$607</f>
        <v>0.25201452687397419</v>
      </c>
      <c r="Y601" s="219">
        <f t="shared" si="225"/>
        <v>-1591</v>
      </c>
    </row>
    <row r="602" spans="1:25" x14ac:dyDescent="0.25">
      <c r="A602" s="88" t="s">
        <v>38</v>
      </c>
      <c r="B602" s="93">
        <v>8284</v>
      </c>
      <c r="C602" s="93">
        <v>8794</v>
      </c>
      <c r="D602" s="93">
        <v>10731</v>
      </c>
      <c r="E602" s="93">
        <v>14198</v>
      </c>
      <c r="F602" s="93">
        <v>16508</v>
      </c>
      <c r="G602" s="93">
        <v>17504</v>
      </c>
      <c r="H602" s="93">
        <v>20416</v>
      </c>
      <c r="I602" s="93">
        <v>21502</v>
      </c>
      <c r="J602" s="93">
        <v>20740</v>
      </c>
      <c r="K602" s="93">
        <v>20798</v>
      </c>
      <c r="L602" s="93">
        <v>19521</v>
      </c>
      <c r="M602" s="93">
        <v>19676</v>
      </c>
      <c r="N602" s="93">
        <v>19032</v>
      </c>
      <c r="O602" s="93">
        <v>15797</v>
      </c>
      <c r="P602" s="93">
        <v>18478</v>
      </c>
      <c r="Q602" s="123">
        <v>19255</v>
      </c>
      <c r="R602" s="123">
        <v>20091</v>
      </c>
      <c r="S602" s="123">
        <v>19351</v>
      </c>
      <c r="T602" s="123">
        <v>19425</v>
      </c>
      <c r="U602" s="149">
        <f t="shared" si="222"/>
        <v>-6.6015963073372444E-2</v>
      </c>
      <c r="V602" s="149">
        <f t="shared" si="223"/>
        <v>5.1250135296027712E-2</v>
      </c>
      <c r="W602" s="149">
        <f t="shared" si="224"/>
        <v>3.8240917782026767E-3</v>
      </c>
      <c r="X602" s="218">
        <f t="shared" si="226"/>
        <v>0.14426611807169859</v>
      </c>
      <c r="Y602" s="219">
        <f t="shared" si="225"/>
        <v>74</v>
      </c>
    </row>
    <row r="603" spans="1:25" x14ac:dyDescent="0.25">
      <c r="A603" s="88" t="s">
        <v>39</v>
      </c>
      <c r="B603" s="93">
        <v>3283</v>
      </c>
      <c r="C603" s="93">
        <v>3445</v>
      </c>
      <c r="D603" s="93">
        <v>4404</v>
      </c>
      <c r="E603" s="93">
        <v>5868</v>
      </c>
      <c r="F603" s="93">
        <v>6996</v>
      </c>
      <c r="G603" s="93">
        <v>8445</v>
      </c>
      <c r="H603" s="93">
        <v>9919</v>
      </c>
      <c r="I603" s="93">
        <v>10657</v>
      </c>
      <c r="J603" s="93">
        <v>11118</v>
      </c>
      <c r="K603" s="93">
        <v>10740</v>
      </c>
      <c r="L603" s="93">
        <v>10387</v>
      </c>
      <c r="M603" s="93">
        <v>11322</v>
      </c>
      <c r="N603" s="93">
        <v>11818</v>
      </c>
      <c r="O603" s="93">
        <v>10959</v>
      </c>
      <c r="P603" s="93">
        <v>14800</v>
      </c>
      <c r="Q603" s="123">
        <v>15720</v>
      </c>
      <c r="R603" s="123">
        <v>16420</v>
      </c>
      <c r="S603" s="123">
        <v>16188</v>
      </c>
      <c r="T603" s="123">
        <v>16726</v>
      </c>
      <c r="U603" s="149">
        <f t="shared" si="222"/>
        <v>0.55735567970204847</v>
      </c>
      <c r="V603" s="149">
        <f t="shared" si="223"/>
        <v>0.13013513513513514</v>
      </c>
      <c r="W603" s="149">
        <f t="shared" si="224"/>
        <v>3.3234494687422782E-2</v>
      </c>
      <c r="X603" s="218">
        <f t="shared" si="226"/>
        <v>0.12422111149895652</v>
      </c>
      <c r="Y603" s="219">
        <f t="shared" si="225"/>
        <v>538</v>
      </c>
    </row>
    <row r="604" spans="1:25" x14ac:dyDescent="0.25">
      <c r="A604" s="88" t="s">
        <v>40</v>
      </c>
      <c r="B604" s="93">
        <v>1538</v>
      </c>
      <c r="C604" s="93">
        <v>1811</v>
      </c>
      <c r="D604" s="93">
        <v>2311</v>
      </c>
      <c r="E604" s="93">
        <v>2993</v>
      </c>
      <c r="F604" s="93">
        <v>3472</v>
      </c>
      <c r="G604" s="93">
        <v>3954</v>
      </c>
      <c r="H604" s="93">
        <v>4718</v>
      </c>
      <c r="I604" s="93">
        <v>5402</v>
      </c>
      <c r="J604" s="93">
        <v>5675</v>
      </c>
      <c r="K604" s="93">
        <v>5907</v>
      </c>
      <c r="L604" s="93">
        <v>5965</v>
      </c>
      <c r="M604" s="93">
        <v>6977</v>
      </c>
      <c r="N604" s="93">
        <v>7384</v>
      </c>
      <c r="O604" s="93">
        <v>6595</v>
      </c>
      <c r="P604" s="93">
        <v>9639</v>
      </c>
      <c r="Q604" s="123">
        <v>10325</v>
      </c>
      <c r="R604" s="123">
        <v>11367</v>
      </c>
      <c r="S604" s="123">
        <v>11996</v>
      </c>
      <c r="T604" s="123">
        <v>13475</v>
      </c>
      <c r="U604" s="149">
        <f t="shared" si="222"/>
        <v>1.2811918063314711</v>
      </c>
      <c r="V604" s="149">
        <f t="shared" si="223"/>
        <v>0.39796659404502543</v>
      </c>
      <c r="W604" s="149">
        <f t="shared" si="224"/>
        <v>0.12329109703234412</v>
      </c>
      <c r="X604" s="218">
        <f t="shared" si="226"/>
        <v>0.10007649632000713</v>
      </c>
      <c r="Y604" s="219">
        <f t="shared" si="225"/>
        <v>1479</v>
      </c>
    </row>
    <row r="605" spans="1:25" x14ac:dyDescent="0.25">
      <c r="A605" s="88" t="s">
        <v>1</v>
      </c>
      <c r="B605" s="93">
        <v>1663</v>
      </c>
      <c r="C605" s="93">
        <v>1869</v>
      </c>
      <c r="D605" s="93">
        <v>2257</v>
      </c>
      <c r="E605" s="93">
        <v>2418</v>
      </c>
      <c r="F605" s="93">
        <v>2739</v>
      </c>
      <c r="G605" s="93">
        <v>3560</v>
      </c>
      <c r="H605" s="93">
        <v>3950</v>
      </c>
      <c r="I605" s="93">
        <v>4978</v>
      </c>
      <c r="J605" s="93">
        <v>5736</v>
      </c>
      <c r="K605" s="93">
        <v>5853</v>
      </c>
      <c r="L605" s="93">
        <v>6093</v>
      </c>
      <c r="M605" s="93">
        <v>7465</v>
      </c>
      <c r="N605" s="93">
        <v>7933</v>
      </c>
      <c r="O605" s="93">
        <v>7007</v>
      </c>
      <c r="P605" s="93">
        <v>10440</v>
      </c>
      <c r="Q605" s="123">
        <v>12335</v>
      </c>
      <c r="R605" s="123">
        <v>13758</v>
      </c>
      <c r="S605" s="123">
        <v>15178</v>
      </c>
      <c r="T605" s="123">
        <v>17846</v>
      </c>
      <c r="U605" s="149">
        <f t="shared" si="222"/>
        <v>2.0490346830685118</v>
      </c>
      <c r="V605" s="149">
        <f t="shared" si="223"/>
        <v>0.7093869731800766</v>
      </c>
      <c r="W605" s="149">
        <f t="shared" si="224"/>
        <v>0.17578073527473975</v>
      </c>
      <c r="X605" s="218">
        <f t="shared" si="226"/>
        <v>0.13253915794633375</v>
      </c>
      <c r="Y605" s="219">
        <f t="shared" si="225"/>
        <v>2668</v>
      </c>
    </row>
    <row r="606" spans="1:25" x14ac:dyDescent="0.25">
      <c r="A606" s="88" t="s">
        <v>66</v>
      </c>
      <c r="B606" s="123">
        <v>47</v>
      </c>
      <c r="C606" s="123">
        <v>13</v>
      </c>
      <c r="D606" s="123">
        <v>65</v>
      </c>
      <c r="E606" s="123">
        <v>19</v>
      </c>
      <c r="F606" s="123">
        <v>5</v>
      </c>
      <c r="G606" s="123">
        <v>3</v>
      </c>
      <c r="H606" s="123">
        <v>0</v>
      </c>
      <c r="I606" s="123">
        <v>1</v>
      </c>
      <c r="J606" s="123">
        <v>1</v>
      </c>
      <c r="K606" s="123">
        <v>1</v>
      </c>
      <c r="L606" s="123">
        <v>0</v>
      </c>
      <c r="M606" s="123">
        <v>95</v>
      </c>
      <c r="N606" s="123">
        <v>3</v>
      </c>
      <c r="O606" s="123">
        <v>2</v>
      </c>
      <c r="P606" s="123">
        <v>0</v>
      </c>
      <c r="Q606" s="123">
        <v>1</v>
      </c>
      <c r="R606" s="123">
        <v>1</v>
      </c>
      <c r="S606" s="123">
        <v>1</v>
      </c>
      <c r="T606" s="123">
        <v>1</v>
      </c>
      <c r="U606" s="149">
        <f t="shared" si="222"/>
        <v>0</v>
      </c>
      <c r="V606" s="149" t="s">
        <v>130</v>
      </c>
      <c r="W606" s="149">
        <f t="shared" si="224"/>
        <v>0</v>
      </c>
      <c r="X606" s="218">
        <f t="shared" si="226"/>
        <v>7.4268271851582287E-6</v>
      </c>
      <c r="Y606" s="219">
        <f t="shared" si="225"/>
        <v>0</v>
      </c>
    </row>
    <row r="607" spans="1:25" x14ac:dyDescent="0.25">
      <c r="A607" s="92" t="s">
        <v>0</v>
      </c>
      <c r="B607" s="2">
        <v>68128</v>
      </c>
      <c r="C607" s="2">
        <v>68712</v>
      </c>
      <c r="D607" s="2">
        <v>81182</v>
      </c>
      <c r="E607" s="2">
        <v>95186</v>
      </c>
      <c r="F607" s="2">
        <v>105562</v>
      </c>
      <c r="G607" s="2">
        <v>111783</v>
      </c>
      <c r="H607" s="2">
        <v>126264</v>
      </c>
      <c r="I607" s="2">
        <v>128343</v>
      </c>
      <c r="J607" s="2">
        <v>124380</v>
      </c>
      <c r="K607" s="2">
        <v>123220</v>
      </c>
      <c r="L607" s="2">
        <v>119657</v>
      </c>
      <c r="M607" s="2">
        <v>121506</v>
      </c>
      <c r="N607" s="2">
        <v>121894</v>
      </c>
      <c r="O607" s="2">
        <v>109617</v>
      </c>
      <c r="P607" s="2">
        <v>120935</v>
      </c>
      <c r="Q607" s="89">
        <v>129801</v>
      </c>
      <c r="R607" s="89">
        <v>135710</v>
      </c>
      <c r="S607" s="89">
        <v>130410</v>
      </c>
      <c r="T607" s="89">
        <v>134647</v>
      </c>
      <c r="U607" s="150">
        <f t="shared" si="222"/>
        <v>9.2736568738841091E-2</v>
      </c>
      <c r="V607" s="150">
        <f t="shared" si="223"/>
        <v>0.11338322239219416</v>
      </c>
      <c r="W607" s="150">
        <f t="shared" si="224"/>
        <v>3.2489839736216546E-2</v>
      </c>
      <c r="X607" s="220">
        <f t="shared" si="226"/>
        <v>1</v>
      </c>
      <c r="Y607" s="221">
        <f t="shared" si="225"/>
        <v>4237</v>
      </c>
    </row>
    <row r="608" spans="1:25" x14ac:dyDescent="0.25">
      <c r="A608" s="156" t="s">
        <v>489</v>
      </c>
      <c r="B608" s="157">
        <v>22.385364492295942</v>
      </c>
      <c r="C608" s="157">
        <v>22.613458711189391</v>
      </c>
      <c r="D608" s="157">
        <v>22.775275219744319</v>
      </c>
      <c r="E608" s="157">
        <v>23.054083873611653</v>
      </c>
      <c r="F608" s="157">
        <v>23.188050058262359</v>
      </c>
      <c r="G608" s="157">
        <v>23.494614421184469</v>
      </c>
      <c r="H608" s="157">
        <v>23.565323449280871</v>
      </c>
      <c r="I608" s="157">
        <v>23.941655888173784</v>
      </c>
      <c r="J608" s="157">
        <v>24.227273092724655</v>
      </c>
      <c r="K608" s="157">
        <v>24.292219544063823</v>
      </c>
      <c r="L608" s="157">
        <v>24.343364784341912</v>
      </c>
      <c r="M608" s="157">
        <v>24.813097660014332</v>
      </c>
      <c r="N608" s="157">
        <v>24.928846264285305</v>
      </c>
      <c r="O608" s="157">
        <v>24.751393513661451</v>
      </c>
      <c r="P608" s="157">
        <v>26.020705337578036</v>
      </c>
      <c r="Q608" s="157">
        <v>26.245639445300462</v>
      </c>
      <c r="R608" s="157">
        <v>26.550162480012379</v>
      </c>
      <c r="S608" s="157">
        <v>27.12065118205032</v>
      </c>
      <c r="T608" s="157">
        <v>27.642707544227083</v>
      </c>
      <c r="U608" s="159"/>
      <c r="V608" s="159"/>
      <c r="W608" s="159"/>
      <c r="X608" s="159"/>
      <c r="Y608" s="159"/>
    </row>
    <row r="609" spans="1:25" x14ac:dyDescent="0.25">
      <c r="U609" s="15"/>
    </row>
    <row r="610" spans="1:25" ht="15.75" x14ac:dyDescent="0.25">
      <c r="A610" s="22" t="s">
        <v>79</v>
      </c>
      <c r="B610" s="22"/>
      <c r="C610" s="22"/>
      <c r="D610" s="22"/>
      <c r="E610" s="22"/>
      <c r="F610" s="22"/>
      <c r="G610" s="22"/>
      <c r="H610" s="22"/>
      <c r="I610" s="3"/>
      <c r="J610" s="3"/>
      <c r="K610" s="3"/>
      <c r="L610" s="3"/>
      <c r="N610" s="3"/>
      <c r="O610" s="3"/>
      <c r="P610" s="3"/>
      <c r="Q610" s="3"/>
      <c r="R610" s="3"/>
      <c r="S610" s="3"/>
      <c r="T610" s="3"/>
      <c r="U610" s="27"/>
      <c r="V610" s="27"/>
      <c r="W610" s="27"/>
      <c r="X610" s="27"/>
      <c r="Y610" s="27"/>
    </row>
    <row r="611" spans="1:25" ht="25.5" x14ac:dyDescent="0.25">
      <c r="A611" s="120" t="s">
        <v>93</v>
      </c>
      <c r="B611" s="105">
        <v>2007</v>
      </c>
      <c r="C611" s="105">
        <v>2008</v>
      </c>
      <c r="D611" s="105">
        <v>2009</v>
      </c>
      <c r="E611" s="105">
        <v>2010</v>
      </c>
      <c r="F611" s="105">
        <v>2011</v>
      </c>
      <c r="G611" s="105">
        <v>2012</v>
      </c>
      <c r="H611" s="105">
        <v>2013</v>
      </c>
      <c r="I611" s="105">
        <v>2014</v>
      </c>
      <c r="J611" s="105">
        <v>2015</v>
      </c>
      <c r="K611" s="105">
        <v>2016</v>
      </c>
      <c r="L611" s="105">
        <v>2017</v>
      </c>
      <c r="M611" s="132">
        <v>2018</v>
      </c>
      <c r="N611" s="105">
        <v>2019</v>
      </c>
      <c r="O611" s="105">
        <v>2020</v>
      </c>
      <c r="P611" s="105">
        <v>2021</v>
      </c>
      <c r="Q611" s="105">
        <v>2022</v>
      </c>
      <c r="R611" s="105">
        <v>2023</v>
      </c>
      <c r="S611" s="105">
        <v>2024</v>
      </c>
      <c r="T611" s="105">
        <v>2025</v>
      </c>
      <c r="U611" s="106" t="s">
        <v>546</v>
      </c>
      <c r="V611" s="106" t="s">
        <v>547</v>
      </c>
      <c r="W611" s="106" t="s">
        <v>548</v>
      </c>
      <c r="X611" s="106" t="s">
        <v>549</v>
      </c>
      <c r="Y611" s="216" t="s">
        <v>563</v>
      </c>
    </row>
    <row r="612" spans="1:25" x14ac:dyDescent="0.25">
      <c r="A612" s="88" t="s">
        <v>36</v>
      </c>
      <c r="B612" s="93">
        <v>114093</v>
      </c>
      <c r="C612" s="93">
        <v>117111</v>
      </c>
      <c r="D612" s="93">
        <v>123269</v>
      </c>
      <c r="E612" s="93">
        <v>126652</v>
      </c>
      <c r="F612" s="93">
        <v>129500</v>
      </c>
      <c r="G612" s="93">
        <v>129603</v>
      </c>
      <c r="H612" s="93">
        <v>128078</v>
      </c>
      <c r="I612" s="93">
        <v>126087</v>
      </c>
      <c r="J612" s="93">
        <v>127508</v>
      </c>
      <c r="K612" s="93">
        <v>132596</v>
      </c>
      <c r="L612" s="93">
        <v>132531</v>
      </c>
      <c r="M612" s="93">
        <v>135440</v>
      </c>
      <c r="N612" s="93">
        <v>137106</v>
      </c>
      <c r="O612" s="93">
        <v>137336</v>
      </c>
      <c r="P612" s="93">
        <v>135456</v>
      </c>
      <c r="Q612" s="93">
        <v>136672</v>
      </c>
      <c r="R612" s="123">
        <v>147685</v>
      </c>
      <c r="S612" s="123">
        <v>155735</v>
      </c>
      <c r="T612" s="123">
        <v>162985</v>
      </c>
      <c r="U612" s="149">
        <f t="shared" ref="U612:U619" si="227">(T612-K612)/K612</f>
        <v>0.22918489245527768</v>
      </c>
      <c r="V612" s="149">
        <f t="shared" ref="V612:V619" si="228">(T612-P612)/P612</f>
        <v>0.20323204583038035</v>
      </c>
      <c r="W612" s="149">
        <f t="shared" ref="W612:W619" si="229">(T612-S612)/S612</f>
        <v>4.6553440138697146E-2</v>
      </c>
      <c r="X612" s="218">
        <f>T612/T$619</f>
        <v>0.22266288332620657</v>
      </c>
      <c r="Y612" s="219">
        <f t="shared" ref="Y612:Y619" si="230">T612-S612</f>
        <v>7250</v>
      </c>
    </row>
    <row r="613" spans="1:25" x14ac:dyDescent="0.25">
      <c r="A613" s="88" t="s">
        <v>37</v>
      </c>
      <c r="B613" s="93">
        <v>268799</v>
      </c>
      <c r="C613" s="93">
        <v>281698</v>
      </c>
      <c r="D613" s="93">
        <v>297782</v>
      </c>
      <c r="E613" s="93">
        <v>321646</v>
      </c>
      <c r="F613" s="93">
        <v>343142</v>
      </c>
      <c r="G613" s="93">
        <v>353681</v>
      </c>
      <c r="H613" s="93">
        <v>358134</v>
      </c>
      <c r="I613" s="93">
        <v>354818</v>
      </c>
      <c r="J613" s="93">
        <v>350607</v>
      </c>
      <c r="K613" s="93">
        <v>351682</v>
      </c>
      <c r="L613" s="93">
        <v>358615</v>
      </c>
      <c r="M613" s="93">
        <v>367343</v>
      </c>
      <c r="N613" s="93">
        <v>370054</v>
      </c>
      <c r="O613" s="93">
        <v>366748</v>
      </c>
      <c r="P613" s="93">
        <v>380749</v>
      </c>
      <c r="Q613" s="93">
        <v>375980</v>
      </c>
      <c r="R613" s="123">
        <v>378266</v>
      </c>
      <c r="S613" s="123">
        <v>385329</v>
      </c>
      <c r="T613" s="123">
        <v>403481</v>
      </c>
      <c r="U613" s="149">
        <f t="shared" si="227"/>
        <v>0.14728931250390978</v>
      </c>
      <c r="V613" s="149">
        <f t="shared" si="228"/>
        <v>5.9703374138868386E-2</v>
      </c>
      <c r="W613" s="149">
        <f t="shared" si="229"/>
        <v>4.7107796194939912E-2</v>
      </c>
      <c r="X613" s="218">
        <f t="shared" ref="X613:X619" si="231">T613/T$619</f>
        <v>0.55121785947995916</v>
      </c>
      <c r="Y613" s="219">
        <f t="shared" si="230"/>
        <v>18152</v>
      </c>
    </row>
    <row r="614" spans="1:25" x14ac:dyDescent="0.25">
      <c r="A614" s="88" t="s">
        <v>38</v>
      </c>
      <c r="B614" s="93">
        <v>77275</v>
      </c>
      <c r="C614" s="93">
        <v>79909</v>
      </c>
      <c r="D614" s="93">
        <v>81314</v>
      </c>
      <c r="E614" s="93">
        <v>85853</v>
      </c>
      <c r="F614" s="93">
        <v>89774</v>
      </c>
      <c r="G614" s="93">
        <v>92354</v>
      </c>
      <c r="H614" s="93">
        <v>99200</v>
      </c>
      <c r="I614" s="93">
        <v>103490</v>
      </c>
      <c r="J614" s="93">
        <v>107080</v>
      </c>
      <c r="K614" s="93">
        <v>109398</v>
      </c>
      <c r="L614" s="93">
        <v>110888</v>
      </c>
      <c r="M614" s="93">
        <v>110519</v>
      </c>
      <c r="N614" s="93">
        <v>106669</v>
      </c>
      <c r="O614" s="93">
        <v>98400</v>
      </c>
      <c r="P614" s="93">
        <v>107460</v>
      </c>
      <c r="Q614" s="93">
        <v>101093</v>
      </c>
      <c r="R614" s="123">
        <v>96497</v>
      </c>
      <c r="S614" s="123">
        <v>91719</v>
      </c>
      <c r="T614" s="123">
        <v>89648</v>
      </c>
      <c r="U614" s="149">
        <f t="shared" si="227"/>
        <v>-0.1805334649627964</v>
      </c>
      <c r="V614" s="149">
        <f t="shared" si="228"/>
        <v>-0.16575469942304114</v>
      </c>
      <c r="W614" s="149">
        <f t="shared" si="229"/>
        <v>-2.2579836238947219E-2</v>
      </c>
      <c r="X614" s="218">
        <f t="shared" si="231"/>
        <v>0.12247312430240676</v>
      </c>
      <c r="Y614" s="219">
        <f t="shared" si="230"/>
        <v>-2071</v>
      </c>
    </row>
    <row r="615" spans="1:25" x14ac:dyDescent="0.25">
      <c r="A615" s="88" t="s">
        <v>39</v>
      </c>
      <c r="B615" s="93">
        <v>22358</v>
      </c>
      <c r="C615" s="93">
        <v>22651</v>
      </c>
      <c r="D615" s="123">
        <v>23149</v>
      </c>
      <c r="E615" s="93">
        <v>25054</v>
      </c>
      <c r="F615" s="93">
        <v>26630</v>
      </c>
      <c r="G615" s="93">
        <v>28354</v>
      </c>
      <c r="H615" s="93">
        <v>30608</v>
      </c>
      <c r="I615" s="93">
        <v>31083</v>
      </c>
      <c r="J615" s="93">
        <v>31028</v>
      </c>
      <c r="K615" s="93">
        <v>31290</v>
      </c>
      <c r="L615" s="93">
        <v>31810</v>
      </c>
      <c r="M615" s="93">
        <v>32286</v>
      </c>
      <c r="N615" s="93">
        <v>31547</v>
      </c>
      <c r="O615" s="93">
        <v>28389</v>
      </c>
      <c r="P615" s="93">
        <v>33024</v>
      </c>
      <c r="Q615" s="93">
        <v>33212</v>
      </c>
      <c r="R615" s="123">
        <v>31819</v>
      </c>
      <c r="S615" s="123">
        <v>31409</v>
      </c>
      <c r="T615" s="123">
        <v>31122</v>
      </c>
      <c r="U615" s="149">
        <f t="shared" si="227"/>
        <v>-5.3691275167785232E-3</v>
      </c>
      <c r="V615" s="149">
        <f t="shared" si="228"/>
        <v>-5.7594476744186045E-2</v>
      </c>
      <c r="W615" s="149">
        <f t="shared" si="229"/>
        <v>-9.1375083574771563E-3</v>
      </c>
      <c r="X615" s="218">
        <f t="shared" si="231"/>
        <v>4.2517497038857564E-2</v>
      </c>
      <c r="Y615" s="219">
        <f t="shared" si="230"/>
        <v>-287</v>
      </c>
    </row>
    <row r="616" spans="1:25" x14ac:dyDescent="0.25">
      <c r="A616" s="88" t="s">
        <v>40</v>
      </c>
      <c r="B616" s="93">
        <v>10497</v>
      </c>
      <c r="C616" s="93">
        <v>11302</v>
      </c>
      <c r="D616" s="93">
        <v>12187</v>
      </c>
      <c r="E616" s="93">
        <v>13341</v>
      </c>
      <c r="F616" s="93">
        <v>13869</v>
      </c>
      <c r="G616" s="93">
        <v>14116</v>
      </c>
      <c r="H616" s="93">
        <v>14909</v>
      </c>
      <c r="I616" s="93">
        <v>14816</v>
      </c>
      <c r="J616" s="93">
        <v>14749</v>
      </c>
      <c r="K616" s="93">
        <v>15047</v>
      </c>
      <c r="L616" s="93">
        <v>15781</v>
      </c>
      <c r="M616" s="93">
        <v>16178</v>
      </c>
      <c r="N616" s="93">
        <v>15567</v>
      </c>
      <c r="O616" s="93">
        <v>14075</v>
      </c>
      <c r="P616" s="93">
        <v>16660</v>
      </c>
      <c r="Q616" s="93">
        <v>17645</v>
      </c>
      <c r="R616" s="123">
        <v>17630</v>
      </c>
      <c r="S616" s="123">
        <v>18655</v>
      </c>
      <c r="T616" s="123">
        <v>19892</v>
      </c>
      <c r="U616" s="149">
        <f t="shared" si="227"/>
        <v>0.32199109457034625</v>
      </c>
      <c r="V616" s="149">
        <f t="shared" si="228"/>
        <v>0.19399759903961586</v>
      </c>
      <c r="W616" s="149">
        <f t="shared" si="229"/>
        <v>6.6309300455641915E-2</v>
      </c>
      <c r="X616" s="218">
        <f t="shared" si="231"/>
        <v>2.7175568764763021E-2</v>
      </c>
      <c r="Y616" s="219">
        <f t="shared" si="230"/>
        <v>1237</v>
      </c>
    </row>
    <row r="617" spans="1:25" x14ac:dyDescent="0.25">
      <c r="A617" s="88" t="s">
        <v>1</v>
      </c>
      <c r="B617" s="93">
        <v>10649</v>
      </c>
      <c r="C617" s="93">
        <v>11254</v>
      </c>
      <c r="D617" s="93">
        <v>11860</v>
      </c>
      <c r="E617" s="93">
        <v>12535</v>
      </c>
      <c r="F617" s="93">
        <v>12563</v>
      </c>
      <c r="G617" s="93">
        <v>13038</v>
      </c>
      <c r="H617" s="93">
        <v>14340</v>
      </c>
      <c r="I617" s="93">
        <v>15029</v>
      </c>
      <c r="J617" s="93">
        <v>15151</v>
      </c>
      <c r="K617" s="93">
        <v>15733</v>
      </c>
      <c r="L617" s="93">
        <v>16163</v>
      </c>
      <c r="M617" s="93">
        <v>16346</v>
      </c>
      <c r="N617" s="93">
        <v>16118</v>
      </c>
      <c r="O617" s="93">
        <v>15141</v>
      </c>
      <c r="P617" s="93">
        <v>18023</v>
      </c>
      <c r="Q617" s="93">
        <v>20829</v>
      </c>
      <c r="R617" s="123">
        <v>21761</v>
      </c>
      <c r="S617" s="123">
        <v>23188</v>
      </c>
      <c r="T617" s="123">
        <v>24852</v>
      </c>
      <c r="U617" s="149">
        <f t="shared" si="227"/>
        <v>0.57960973749443845</v>
      </c>
      <c r="V617" s="149">
        <f t="shared" si="228"/>
        <v>0.37890473284136938</v>
      </c>
      <c r="W617" s="149">
        <f t="shared" si="229"/>
        <v>7.1761255821976885E-2</v>
      </c>
      <c r="X617" s="218">
        <f t="shared" si="231"/>
        <v>3.3951700932128022E-2</v>
      </c>
      <c r="Y617" s="219">
        <f t="shared" si="230"/>
        <v>1664</v>
      </c>
    </row>
    <row r="618" spans="1:25" x14ac:dyDescent="0.25">
      <c r="A618" s="88" t="s">
        <v>66</v>
      </c>
      <c r="B618" s="93">
        <v>1711</v>
      </c>
      <c r="C618" s="93">
        <v>685</v>
      </c>
      <c r="D618" s="93">
        <v>175</v>
      </c>
      <c r="E618" s="93">
        <v>310</v>
      </c>
      <c r="F618" s="93">
        <v>333</v>
      </c>
      <c r="G618" s="93">
        <v>120</v>
      </c>
      <c r="H618" s="93">
        <v>64</v>
      </c>
      <c r="I618" s="93">
        <v>44</v>
      </c>
      <c r="J618" s="93">
        <v>72</v>
      </c>
      <c r="K618" s="93">
        <v>35</v>
      </c>
      <c r="L618" s="93">
        <v>18</v>
      </c>
      <c r="M618" s="93">
        <v>101</v>
      </c>
      <c r="N618" s="93">
        <v>23</v>
      </c>
      <c r="O618" s="93">
        <v>20</v>
      </c>
      <c r="P618" s="93">
        <v>3</v>
      </c>
      <c r="Q618" s="93">
        <v>4</v>
      </c>
      <c r="R618" s="123">
        <v>4</v>
      </c>
      <c r="S618" s="123">
        <v>5</v>
      </c>
      <c r="T618" s="123">
        <v>1</v>
      </c>
      <c r="U618" s="149">
        <f t="shared" si="227"/>
        <v>-0.97142857142857142</v>
      </c>
      <c r="V618" s="149">
        <f t="shared" si="228"/>
        <v>-0.66666666666666663</v>
      </c>
      <c r="W618" s="149">
        <f t="shared" si="229"/>
        <v>-0.8</v>
      </c>
      <c r="X618" s="218">
        <f t="shared" si="231"/>
        <v>1.3661556789042338E-6</v>
      </c>
      <c r="Y618" s="219">
        <f t="shared" si="230"/>
        <v>-4</v>
      </c>
    </row>
    <row r="619" spans="1:25" x14ac:dyDescent="0.25">
      <c r="A619" s="92" t="s">
        <v>0</v>
      </c>
      <c r="B619" s="2">
        <v>505382</v>
      </c>
      <c r="C619" s="2">
        <v>524610</v>
      </c>
      <c r="D619" s="2">
        <v>549736</v>
      </c>
      <c r="E619" s="2">
        <v>585391</v>
      </c>
      <c r="F619" s="2">
        <v>615811</v>
      </c>
      <c r="G619" s="2">
        <v>631266</v>
      </c>
      <c r="H619" s="2">
        <v>645333</v>
      </c>
      <c r="I619" s="2">
        <v>645367</v>
      </c>
      <c r="J619" s="2">
        <v>646195</v>
      </c>
      <c r="K619" s="2">
        <v>655781</v>
      </c>
      <c r="L619" s="2">
        <v>665806</v>
      </c>
      <c r="M619" s="2">
        <v>678213</v>
      </c>
      <c r="N619" s="2">
        <v>677084</v>
      </c>
      <c r="O619" s="2">
        <v>660109</v>
      </c>
      <c r="P619" s="2">
        <v>691375</v>
      </c>
      <c r="Q619" s="2">
        <v>685435</v>
      </c>
      <c r="R619" s="89">
        <v>693662</v>
      </c>
      <c r="S619" s="89">
        <v>706040</v>
      </c>
      <c r="T619" s="89">
        <v>731981</v>
      </c>
      <c r="U619" s="150">
        <f t="shared" si="227"/>
        <v>0.11619732807141409</v>
      </c>
      <c r="V619" s="150">
        <f t="shared" si="228"/>
        <v>5.873223648526487E-2</v>
      </c>
      <c r="W619" s="150">
        <f t="shared" si="229"/>
        <v>3.6741544388419922E-2</v>
      </c>
      <c r="X619" s="220">
        <f t="shared" si="231"/>
        <v>1</v>
      </c>
      <c r="Y619" s="221">
        <f t="shared" si="230"/>
        <v>25941</v>
      </c>
    </row>
    <row r="620" spans="1:25" x14ac:dyDescent="0.25">
      <c r="A620" s="156" t="s">
        <v>488</v>
      </c>
      <c r="B620" s="157">
        <v>22.993966299429587</v>
      </c>
      <c r="C620" s="157">
        <v>23.00200982965119</v>
      </c>
      <c r="D620" s="157">
        <v>22.98085380876736</v>
      </c>
      <c r="E620" s="157">
        <v>23.004260134346197</v>
      </c>
      <c r="F620" s="157">
        <v>22.994478373493582</v>
      </c>
      <c r="G620" s="157">
        <v>23.048666423904351</v>
      </c>
      <c r="H620" s="157">
        <v>23.203284211700858</v>
      </c>
      <c r="I620" s="157">
        <v>23.284600114981181</v>
      </c>
      <c r="J620" s="157">
        <v>23.298698545013874</v>
      </c>
      <c r="K620" s="157">
        <v>23.299031942245932</v>
      </c>
      <c r="L620" s="157">
        <v>23.318161336641694</v>
      </c>
      <c r="M620" s="157">
        <v>23.297388926902929</v>
      </c>
      <c r="N620" s="157">
        <v>23.231033835946835</v>
      </c>
      <c r="O620" s="157">
        <v>23.087530620870822</v>
      </c>
      <c r="P620" s="157">
        <v>23.329333557043096</v>
      </c>
      <c r="Q620" s="157">
        <v>23.41200208336069</v>
      </c>
      <c r="R620" s="157">
        <v>23.313916944661489</v>
      </c>
      <c r="S620" s="157">
        <v>23.275286635931646</v>
      </c>
      <c r="T620" s="157">
        <v>23.239685510533075</v>
      </c>
      <c r="U620" s="159"/>
      <c r="V620" s="159"/>
      <c r="W620" s="159"/>
      <c r="X620" s="159"/>
      <c r="Y620" s="159"/>
    </row>
    <row r="621" spans="1:25" x14ac:dyDescent="0.25">
      <c r="U621" s="3"/>
      <c r="V621" s="3"/>
      <c r="W621" s="3"/>
      <c r="X621" s="3"/>
      <c r="Y621" s="3"/>
    </row>
    <row r="622" spans="1:25" ht="15.75" customHeight="1" x14ac:dyDescent="0.25">
      <c r="A622" s="22" t="s">
        <v>337</v>
      </c>
      <c r="B622" s="22"/>
      <c r="C622" s="22"/>
      <c r="D622" s="22"/>
      <c r="E622" s="22"/>
      <c r="F622" s="22"/>
      <c r="G622" s="22"/>
      <c r="H622" s="22"/>
      <c r="I622" s="3"/>
      <c r="J622" s="3"/>
      <c r="K622" s="3"/>
      <c r="L622" s="3"/>
      <c r="N622" s="3"/>
      <c r="O622" s="3"/>
      <c r="P622" s="3"/>
      <c r="Q622" s="3"/>
      <c r="R622" s="3"/>
      <c r="S622" s="3"/>
      <c r="T622" s="3"/>
      <c r="U622" s="27"/>
      <c r="V622" s="27"/>
      <c r="W622" s="27"/>
      <c r="X622" s="27"/>
      <c r="Y622" s="27"/>
    </row>
    <row r="623" spans="1:25" ht="30" customHeight="1" x14ac:dyDescent="0.25">
      <c r="A623" s="120" t="s">
        <v>93</v>
      </c>
      <c r="B623" s="105">
        <v>2007</v>
      </c>
      <c r="C623" s="105">
        <v>2008</v>
      </c>
      <c r="D623" s="105">
        <v>2009</v>
      </c>
      <c r="E623" s="105">
        <v>2010</v>
      </c>
      <c r="F623" s="105">
        <v>2011</v>
      </c>
      <c r="G623" s="105">
        <v>2012</v>
      </c>
      <c r="H623" s="105">
        <v>2013</v>
      </c>
      <c r="I623" s="105">
        <v>2014</v>
      </c>
      <c r="J623" s="105">
        <v>2015</v>
      </c>
      <c r="K623" s="105">
        <v>2016</v>
      </c>
      <c r="L623" s="105">
        <v>2017</v>
      </c>
      <c r="M623" s="132">
        <v>2018</v>
      </c>
      <c r="N623" s="105">
        <v>2019</v>
      </c>
      <c r="O623" s="105">
        <v>2020</v>
      </c>
      <c r="P623" s="105">
        <v>2021</v>
      </c>
      <c r="Q623" s="105">
        <v>2022</v>
      </c>
      <c r="R623" s="105">
        <v>2023</v>
      </c>
      <c r="S623" s="105">
        <v>2024</v>
      </c>
      <c r="T623" s="105">
        <v>2025</v>
      </c>
      <c r="U623" s="106" t="s">
        <v>546</v>
      </c>
      <c r="V623" s="106" t="s">
        <v>547</v>
      </c>
      <c r="W623" s="106" t="s">
        <v>548</v>
      </c>
      <c r="X623" s="106" t="s">
        <v>549</v>
      </c>
      <c r="Y623" s="216" t="s">
        <v>563</v>
      </c>
    </row>
    <row r="624" spans="1:25" ht="15" customHeight="1" x14ac:dyDescent="0.25">
      <c r="A624" s="88" t="s">
        <v>36</v>
      </c>
      <c r="B624" s="93">
        <v>76224</v>
      </c>
      <c r="C624" s="93">
        <v>78427</v>
      </c>
      <c r="D624" s="93">
        <v>83849</v>
      </c>
      <c r="E624" s="93">
        <v>85681</v>
      </c>
      <c r="F624" s="93">
        <v>87737</v>
      </c>
      <c r="G624" s="93">
        <v>87281</v>
      </c>
      <c r="H624" s="93">
        <v>86593</v>
      </c>
      <c r="I624" s="93">
        <v>84859</v>
      </c>
      <c r="J624" s="93">
        <v>86708</v>
      </c>
      <c r="K624" s="93">
        <v>90760</v>
      </c>
      <c r="L624" s="93">
        <v>89288</v>
      </c>
      <c r="M624" s="93">
        <v>92073</v>
      </c>
      <c r="N624" s="93">
        <v>93010</v>
      </c>
      <c r="O624" s="93">
        <v>91347</v>
      </c>
      <c r="P624" s="93">
        <v>88467</v>
      </c>
      <c r="Q624" s="93">
        <v>90407</v>
      </c>
      <c r="R624" s="123">
        <v>103395</v>
      </c>
      <c r="S624" s="123">
        <v>105032</v>
      </c>
      <c r="T624" s="123">
        <v>111355</v>
      </c>
      <c r="U624" s="149">
        <f t="shared" ref="U624:U631" si="232">(T624-K624)/K624</f>
        <v>0.22691714411635081</v>
      </c>
      <c r="V624" s="149">
        <f t="shared" ref="V624:V631" si="233">(T624-P624)/P624</f>
        <v>0.25871794002283338</v>
      </c>
      <c r="W624" s="149">
        <f t="shared" ref="W624:W631" si="234">(T624-S624)/S624</f>
        <v>6.0200700738822457E-2</v>
      </c>
      <c r="X624" s="218">
        <f>T624/T$631</f>
        <v>0.69980895162202583</v>
      </c>
      <c r="Y624" s="219">
        <f t="shared" ref="Y624:Y631" si="235">T624-S624</f>
        <v>6323</v>
      </c>
    </row>
    <row r="625" spans="1:25" ht="15" customHeight="1" x14ac:dyDescent="0.25">
      <c r="A625" s="88" t="s">
        <v>37</v>
      </c>
      <c r="B625" s="93">
        <v>34546</v>
      </c>
      <c r="C625" s="93">
        <v>36777</v>
      </c>
      <c r="D625" s="93">
        <v>39857</v>
      </c>
      <c r="E625" s="93">
        <v>44831</v>
      </c>
      <c r="F625" s="93">
        <v>44215</v>
      </c>
      <c r="G625" s="93">
        <v>44414</v>
      </c>
      <c r="H625" s="93">
        <v>40439</v>
      </c>
      <c r="I625" s="93">
        <v>38760</v>
      </c>
      <c r="J625" s="93">
        <v>39108</v>
      </c>
      <c r="K625" s="93">
        <v>40537</v>
      </c>
      <c r="L625" s="93">
        <v>42055</v>
      </c>
      <c r="M625" s="93">
        <v>38917</v>
      </c>
      <c r="N625" s="93">
        <v>35284</v>
      </c>
      <c r="O625" s="93">
        <v>30530</v>
      </c>
      <c r="P625" s="93">
        <v>26481</v>
      </c>
      <c r="Q625" s="93">
        <v>27519</v>
      </c>
      <c r="R625" s="123">
        <v>32446</v>
      </c>
      <c r="S625" s="123">
        <v>34701</v>
      </c>
      <c r="T625" s="123">
        <v>33916</v>
      </c>
      <c r="U625" s="149">
        <f t="shared" si="232"/>
        <v>-0.16333226435108666</v>
      </c>
      <c r="V625" s="149">
        <f t="shared" si="233"/>
        <v>0.28076734262301273</v>
      </c>
      <c r="W625" s="149">
        <f t="shared" si="234"/>
        <v>-2.2621826460332554E-2</v>
      </c>
      <c r="X625" s="218">
        <f t="shared" ref="X625:X631" si="236">T625/T$631</f>
        <v>0.21314463116350976</v>
      </c>
      <c r="Y625" s="219">
        <f t="shared" si="235"/>
        <v>-785</v>
      </c>
    </row>
    <row r="626" spans="1:25" x14ac:dyDescent="0.25">
      <c r="A626" s="88" t="s">
        <v>38</v>
      </c>
      <c r="B626" s="93">
        <v>10036</v>
      </c>
      <c r="C626" s="93">
        <v>11047</v>
      </c>
      <c r="D626" s="93">
        <v>11642</v>
      </c>
      <c r="E626" s="93">
        <v>12824</v>
      </c>
      <c r="F626" s="93">
        <v>12869</v>
      </c>
      <c r="G626" s="93">
        <v>12710</v>
      </c>
      <c r="H626" s="93">
        <v>12107</v>
      </c>
      <c r="I626" s="93">
        <v>11614</v>
      </c>
      <c r="J626" s="93">
        <v>11951</v>
      </c>
      <c r="K626" s="93">
        <v>12252</v>
      </c>
      <c r="L626" s="93">
        <v>12436</v>
      </c>
      <c r="M626" s="93">
        <v>11495</v>
      </c>
      <c r="N626" s="93">
        <v>9293</v>
      </c>
      <c r="O626" s="93">
        <v>7010</v>
      </c>
      <c r="P626" s="93">
        <v>7906</v>
      </c>
      <c r="Q626" s="93">
        <v>5943</v>
      </c>
      <c r="R626" s="123">
        <v>5900</v>
      </c>
      <c r="S626" s="123">
        <v>5683</v>
      </c>
      <c r="T626" s="123">
        <v>5726</v>
      </c>
      <c r="U626" s="149">
        <f t="shared" si="232"/>
        <v>-0.53264773098269669</v>
      </c>
      <c r="V626" s="149">
        <f t="shared" si="233"/>
        <v>-0.2757399443460663</v>
      </c>
      <c r="W626" s="149">
        <f t="shared" si="234"/>
        <v>7.5664261833538627E-3</v>
      </c>
      <c r="X626" s="218">
        <f t="shared" si="236"/>
        <v>3.5984967509206774E-2</v>
      </c>
      <c r="Y626" s="219">
        <f t="shared" si="235"/>
        <v>43</v>
      </c>
    </row>
    <row r="627" spans="1:25" x14ac:dyDescent="0.25">
      <c r="A627" s="88" t="s">
        <v>39</v>
      </c>
      <c r="B627" s="93">
        <v>4757</v>
      </c>
      <c r="C627" s="93">
        <v>5117</v>
      </c>
      <c r="D627" s="123">
        <v>5577</v>
      </c>
      <c r="E627" s="93">
        <v>6070</v>
      </c>
      <c r="F627" s="93">
        <v>6346</v>
      </c>
      <c r="G627" s="93">
        <v>6619</v>
      </c>
      <c r="H627" s="93">
        <v>6327</v>
      </c>
      <c r="I627" s="93">
        <v>5927</v>
      </c>
      <c r="J627" s="93">
        <v>5808</v>
      </c>
      <c r="K627" s="93">
        <v>5577</v>
      </c>
      <c r="L627" s="93">
        <v>5551</v>
      </c>
      <c r="M627" s="93">
        <v>5386</v>
      </c>
      <c r="N627" s="93">
        <v>4619</v>
      </c>
      <c r="O627" s="93">
        <v>3906</v>
      </c>
      <c r="P627" s="93">
        <v>5478</v>
      </c>
      <c r="Q627" s="93">
        <v>3797</v>
      </c>
      <c r="R627" s="123">
        <v>3215</v>
      </c>
      <c r="S627" s="123">
        <v>3198</v>
      </c>
      <c r="T627" s="123">
        <v>3119</v>
      </c>
      <c r="U627" s="149">
        <f t="shared" si="232"/>
        <v>-0.44073874843105615</v>
      </c>
      <c r="V627" s="149">
        <f t="shared" si="233"/>
        <v>-0.43063161737860534</v>
      </c>
      <c r="W627" s="149">
        <f t="shared" si="234"/>
        <v>-2.4702939337085679E-2</v>
      </c>
      <c r="X627" s="218">
        <f t="shared" si="236"/>
        <v>1.9601312200701347E-2</v>
      </c>
      <c r="Y627" s="219">
        <f t="shared" si="235"/>
        <v>-79</v>
      </c>
    </row>
    <row r="628" spans="1:25" x14ac:dyDescent="0.25">
      <c r="A628" s="88" t="s">
        <v>40</v>
      </c>
      <c r="B628" s="93">
        <v>2471</v>
      </c>
      <c r="C628" s="93">
        <v>2805</v>
      </c>
      <c r="D628" s="93">
        <v>3207</v>
      </c>
      <c r="E628" s="93">
        <v>3457</v>
      </c>
      <c r="F628" s="93">
        <v>3677</v>
      </c>
      <c r="G628" s="93">
        <v>3557</v>
      </c>
      <c r="H628" s="93">
        <v>3435</v>
      </c>
      <c r="I628" s="93">
        <v>2964</v>
      </c>
      <c r="J628" s="93">
        <v>3015</v>
      </c>
      <c r="K628" s="93">
        <v>2986</v>
      </c>
      <c r="L628" s="93">
        <v>3066</v>
      </c>
      <c r="M628" s="93">
        <v>3072</v>
      </c>
      <c r="N628" s="93">
        <v>2777</v>
      </c>
      <c r="O628" s="93">
        <v>2314</v>
      </c>
      <c r="P628" s="93">
        <v>3283</v>
      </c>
      <c r="Q628" s="93">
        <v>2177</v>
      </c>
      <c r="R628" s="123">
        <v>2037</v>
      </c>
      <c r="S628" s="123">
        <v>2086</v>
      </c>
      <c r="T628" s="123">
        <v>2075</v>
      </c>
      <c r="U628" s="149">
        <f t="shared" si="232"/>
        <v>-0.30509042196918956</v>
      </c>
      <c r="V628" s="149">
        <f t="shared" si="233"/>
        <v>-0.36795613767895219</v>
      </c>
      <c r="W628" s="149">
        <f t="shared" si="234"/>
        <v>-5.2732502396931925E-3</v>
      </c>
      <c r="X628" s="218">
        <f t="shared" si="236"/>
        <v>1.3040308693958095E-2</v>
      </c>
      <c r="Y628" s="219">
        <f t="shared" si="235"/>
        <v>-11</v>
      </c>
    </row>
    <row r="629" spans="1:25" x14ac:dyDescent="0.25">
      <c r="A629" s="88" t="s">
        <v>1</v>
      </c>
      <c r="B629" s="93">
        <v>2599</v>
      </c>
      <c r="C629" s="93">
        <v>2845</v>
      </c>
      <c r="D629" s="93">
        <v>3068</v>
      </c>
      <c r="E629" s="93">
        <v>2949</v>
      </c>
      <c r="F629" s="93">
        <v>3070</v>
      </c>
      <c r="G629" s="93">
        <v>3194</v>
      </c>
      <c r="H629" s="93">
        <v>3097</v>
      </c>
      <c r="I629" s="93">
        <v>3034</v>
      </c>
      <c r="J629" s="93">
        <v>3201</v>
      </c>
      <c r="K629" s="93">
        <v>3146</v>
      </c>
      <c r="L629" s="93">
        <v>3179</v>
      </c>
      <c r="M629" s="93">
        <v>3169</v>
      </c>
      <c r="N629" s="93">
        <v>2857</v>
      </c>
      <c r="O629" s="93">
        <v>2532</v>
      </c>
      <c r="P629" s="93">
        <v>3602</v>
      </c>
      <c r="Q629" s="93">
        <v>2738</v>
      </c>
      <c r="R629" s="123">
        <v>2641</v>
      </c>
      <c r="S629" s="123">
        <v>2799</v>
      </c>
      <c r="T629" s="123">
        <v>2930</v>
      </c>
      <c r="U629" s="149">
        <f t="shared" si="232"/>
        <v>-6.8658614113159572E-2</v>
      </c>
      <c r="V629" s="149">
        <f t="shared" si="233"/>
        <v>-0.18656302054414214</v>
      </c>
      <c r="W629" s="149">
        <f t="shared" si="234"/>
        <v>4.6802429439085386E-2</v>
      </c>
      <c r="X629" s="218">
        <f t="shared" si="236"/>
        <v>1.8413544324480589E-2</v>
      </c>
      <c r="Y629" s="219">
        <f t="shared" si="235"/>
        <v>131</v>
      </c>
    </row>
    <row r="630" spans="1:25" x14ac:dyDescent="0.25">
      <c r="A630" s="88" t="s">
        <v>66</v>
      </c>
      <c r="B630" s="123">
        <v>706</v>
      </c>
      <c r="C630" s="123">
        <v>178</v>
      </c>
      <c r="D630" s="123">
        <v>63</v>
      </c>
      <c r="E630" s="123">
        <v>945</v>
      </c>
      <c r="F630" s="123">
        <v>812</v>
      </c>
      <c r="G630" s="123">
        <v>686</v>
      </c>
      <c r="H630" s="123">
        <v>14</v>
      </c>
      <c r="I630" s="123">
        <v>18</v>
      </c>
      <c r="J630" s="123">
        <v>37</v>
      </c>
      <c r="K630" s="123">
        <v>5</v>
      </c>
      <c r="L630" s="123">
        <v>5</v>
      </c>
      <c r="M630" s="123">
        <v>69</v>
      </c>
      <c r="N630" s="123">
        <v>13</v>
      </c>
      <c r="O630" s="123">
        <v>7</v>
      </c>
      <c r="P630" s="123">
        <v>0</v>
      </c>
      <c r="Q630" s="123">
        <v>1</v>
      </c>
      <c r="R630" s="123">
        <v>1</v>
      </c>
      <c r="S630" s="123">
        <v>3</v>
      </c>
      <c r="T630" s="123">
        <v>1</v>
      </c>
      <c r="U630" s="149">
        <f t="shared" si="232"/>
        <v>-0.8</v>
      </c>
      <c r="V630" s="149" t="s">
        <v>130</v>
      </c>
      <c r="W630" s="149">
        <f t="shared" si="234"/>
        <v>-0.66666666666666663</v>
      </c>
      <c r="X630" s="218">
        <f t="shared" si="236"/>
        <v>6.2844861175701659E-6</v>
      </c>
      <c r="Y630" s="219">
        <f t="shared" si="235"/>
        <v>-2</v>
      </c>
    </row>
    <row r="631" spans="1:25" x14ac:dyDescent="0.25">
      <c r="A631" s="92" t="s">
        <v>0</v>
      </c>
      <c r="B631" s="2">
        <v>131339</v>
      </c>
      <c r="C631" s="2">
        <v>137196</v>
      </c>
      <c r="D631" s="2">
        <v>147263</v>
      </c>
      <c r="E631" s="2">
        <v>156757</v>
      </c>
      <c r="F631" s="2">
        <v>158726</v>
      </c>
      <c r="G631" s="2">
        <v>158461</v>
      </c>
      <c r="H631" s="2">
        <v>152012</v>
      </c>
      <c r="I631" s="2">
        <v>147176</v>
      </c>
      <c r="J631" s="2">
        <v>149828</v>
      </c>
      <c r="K631" s="2">
        <v>155263</v>
      </c>
      <c r="L631" s="2">
        <v>155580</v>
      </c>
      <c r="M631" s="2">
        <v>154181</v>
      </c>
      <c r="N631" s="2">
        <v>147853</v>
      </c>
      <c r="O631" s="2">
        <v>137646</v>
      </c>
      <c r="P631" s="2">
        <v>135217</v>
      </c>
      <c r="Q631" s="2">
        <v>132582</v>
      </c>
      <c r="R631" s="89">
        <v>149635</v>
      </c>
      <c r="S631" s="89">
        <v>153502</v>
      </c>
      <c r="T631" s="89">
        <v>159122</v>
      </c>
      <c r="U631" s="150">
        <f t="shared" si="232"/>
        <v>2.4854601547052421E-2</v>
      </c>
      <c r="V631" s="150">
        <f t="shared" si="233"/>
        <v>0.17678990067816916</v>
      </c>
      <c r="W631" s="150">
        <f t="shared" si="234"/>
        <v>3.6611900822139123E-2</v>
      </c>
      <c r="X631" s="220">
        <f t="shared" si="236"/>
        <v>1</v>
      </c>
      <c r="Y631" s="221">
        <f t="shared" si="235"/>
        <v>5620</v>
      </c>
    </row>
    <row r="632" spans="1:25" x14ac:dyDescent="0.25">
      <c r="A632" s="156" t="s">
        <v>489</v>
      </c>
      <c r="B632" s="157">
        <v>21.198380194897155</v>
      </c>
      <c r="C632" s="157">
        <v>21.29944240902655</v>
      </c>
      <c r="D632" s="157">
        <v>21.335149456521741</v>
      </c>
      <c r="E632" s="157">
        <v>21.379611326470361</v>
      </c>
      <c r="F632" s="157">
        <v>21.386811808959308</v>
      </c>
      <c r="G632" s="157">
        <v>21.422468705434955</v>
      </c>
      <c r="H632" s="157">
        <v>21.372156212581743</v>
      </c>
      <c r="I632" s="157">
        <v>21.302661085364029</v>
      </c>
      <c r="J632" s="157">
        <v>21.290791836625697</v>
      </c>
      <c r="K632" s="157">
        <v>21.206166509938296</v>
      </c>
      <c r="L632" s="157">
        <v>21.244807970432266</v>
      </c>
      <c r="M632" s="157">
        <v>21.161395608388705</v>
      </c>
      <c r="N632" s="157">
        <v>20.89135551948052</v>
      </c>
      <c r="O632" s="157">
        <v>20.628993235928771</v>
      </c>
      <c r="P632" s="157">
        <v>21.127092007661759</v>
      </c>
      <c r="Q632" s="157">
        <v>20.586154878904217</v>
      </c>
      <c r="R632" s="157">
        <v>20.329717844874828</v>
      </c>
      <c r="S632" s="157">
        <v>20.34953973641522</v>
      </c>
      <c r="T632" s="157">
        <v>20.29042678213435</v>
      </c>
      <c r="U632" s="159"/>
      <c r="V632" s="159"/>
      <c r="W632" s="159"/>
      <c r="X632" s="159"/>
      <c r="Y632" s="159"/>
    </row>
    <row r="633" spans="1:25" x14ac:dyDescent="0.25">
      <c r="A633" s="146" t="s">
        <v>686</v>
      </c>
      <c r="B633" s="3"/>
      <c r="C633" s="3"/>
      <c r="D633" s="3"/>
      <c r="E633" s="3"/>
      <c r="F633" s="3"/>
      <c r="G633" s="3"/>
      <c r="H633" s="3"/>
      <c r="I633" s="3"/>
      <c r="J633" s="3"/>
      <c r="K633" s="3"/>
      <c r="L633" s="3"/>
      <c r="N633" s="3"/>
      <c r="O633" s="3"/>
      <c r="P633" s="3"/>
      <c r="Q633" s="3"/>
      <c r="R633" s="3"/>
      <c r="S633" s="3"/>
      <c r="T633" s="3"/>
      <c r="U633" s="3"/>
      <c r="V633" s="3"/>
      <c r="W633" s="3"/>
      <c r="X633" s="3"/>
      <c r="Y633" s="3"/>
    </row>
    <row r="634" spans="1:25" x14ac:dyDescent="0.25">
      <c r="A634" s="3"/>
      <c r="B634" s="3"/>
      <c r="C634" s="3"/>
      <c r="D634" s="3"/>
      <c r="E634" s="3"/>
      <c r="F634" s="3"/>
      <c r="G634" s="3"/>
      <c r="H634" s="3"/>
      <c r="I634" s="3"/>
      <c r="J634" s="3"/>
      <c r="K634" s="3"/>
      <c r="L634" s="3"/>
      <c r="N634" s="3"/>
      <c r="O634" s="3"/>
      <c r="P634" s="3"/>
      <c r="Q634" s="3"/>
      <c r="R634" s="3"/>
      <c r="S634" s="3"/>
      <c r="T634" s="3"/>
      <c r="U634" s="3"/>
      <c r="V634" s="3"/>
      <c r="W634" s="3"/>
      <c r="X634" s="3"/>
      <c r="Y634" s="3"/>
    </row>
    <row r="635" spans="1:25" ht="15.75" x14ac:dyDescent="0.25">
      <c r="A635" s="22" t="s">
        <v>272</v>
      </c>
      <c r="B635" s="22"/>
      <c r="C635" s="22"/>
      <c r="D635" s="22"/>
      <c r="E635" s="22"/>
      <c r="F635" s="22"/>
      <c r="G635" s="22"/>
      <c r="H635" s="22"/>
      <c r="I635" s="3"/>
      <c r="J635" s="3"/>
      <c r="K635" s="3"/>
      <c r="L635" s="3"/>
      <c r="N635" s="3"/>
      <c r="O635" s="3"/>
      <c r="P635" s="3"/>
      <c r="Q635" s="3"/>
      <c r="R635" s="3"/>
      <c r="S635" s="3"/>
      <c r="T635" s="3"/>
      <c r="U635" s="27"/>
      <c r="V635" s="27"/>
      <c r="W635" s="27"/>
      <c r="X635" s="27"/>
      <c r="Y635" s="27"/>
    </row>
    <row r="636" spans="1:25" ht="30" customHeight="1" x14ac:dyDescent="0.25">
      <c r="A636" s="120" t="s">
        <v>316</v>
      </c>
      <c r="B636" s="105">
        <v>2007</v>
      </c>
      <c r="C636" s="105">
        <v>2008</v>
      </c>
      <c r="D636" s="105">
        <v>2009</v>
      </c>
      <c r="E636" s="105">
        <v>2010</v>
      </c>
      <c r="F636" s="105">
        <v>2011</v>
      </c>
      <c r="G636" s="105">
        <v>2012</v>
      </c>
      <c r="H636" s="105">
        <v>2013</v>
      </c>
      <c r="I636" s="105">
        <v>2014</v>
      </c>
      <c r="J636" s="105">
        <v>2015</v>
      </c>
      <c r="K636" s="105">
        <v>2016</v>
      </c>
      <c r="L636" s="105">
        <v>2017</v>
      </c>
      <c r="M636" s="132">
        <v>2018</v>
      </c>
      <c r="N636" s="105">
        <v>2019</v>
      </c>
      <c r="O636" s="105">
        <v>2020</v>
      </c>
      <c r="P636" s="105">
        <v>2021</v>
      </c>
      <c r="Q636" s="105">
        <v>2022</v>
      </c>
      <c r="R636" s="105">
        <v>2023</v>
      </c>
      <c r="S636" s="105">
        <v>2024</v>
      </c>
      <c r="T636" s="105">
        <v>2025</v>
      </c>
      <c r="U636" s="106" t="s">
        <v>546</v>
      </c>
      <c r="V636" s="106" t="s">
        <v>547</v>
      </c>
      <c r="W636" s="106" t="s">
        <v>548</v>
      </c>
      <c r="X636" s="106" t="s">
        <v>549</v>
      </c>
      <c r="Y636" s="216" t="s">
        <v>563</v>
      </c>
    </row>
    <row r="637" spans="1:25" x14ac:dyDescent="0.25">
      <c r="A637" s="88" t="s">
        <v>311</v>
      </c>
      <c r="B637" s="93">
        <v>344109</v>
      </c>
      <c r="C637" s="93">
        <v>409733</v>
      </c>
      <c r="D637" s="93">
        <v>479085</v>
      </c>
      <c r="E637" s="93">
        <v>547420</v>
      </c>
      <c r="F637" s="93">
        <v>604612</v>
      </c>
      <c r="G637" s="93">
        <v>643266</v>
      </c>
      <c r="H637" s="93">
        <v>681133</v>
      </c>
      <c r="I637" s="93">
        <v>704412</v>
      </c>
      <c r="J637" s="93">
        <v>727896</v>
      </c>
      <c r="K637" s="93">
        <v>744308</v>
      </c>
      <c r="L637" s="93">
        <v>753084</v>
      </c>
      <c r="M637" s="123">
        <v>768675</v>
      </c>
      <c r="N637" s="93">
        <v>780618</v>
      </c>
      <c r="O637" s="93">
        <v>766927</v>
      </c>
      <c r="P637" s="93">
        <v>804468</v>
      </c>
      <c r="Q637" s="93">
        <v>806542</v>
      </c>
      <c r="R637" s="93">
        <v>827937</v>
      </c>
      <c r="S637" s="93">
        <v>845094</v>
      </c>
      <c r="T637" s="93">
        <v>874396</v>
      </c>
      <c r="U637" s="149">
        <f t="shared" ref="U637" si="237">(T637-K637)/K637</f>
        <v>0.17477710840136074</v>
      </c>
      <c r="V637" s="149">
        <f t="shared" ref="V637" si="238">(T637-P637)/P637</f>
        <v>8.6924526519389214E-2</v>
      </c>
      <c r="W637" s="149">
        <f t="shared" ref="W637" si="239">(T637-S637)/S637</f>
        <v>3.4673065954793192E-2</v>
      </c>
      <c r="X637" s="218">
        <f t="shared" ref="X637:X639" si="240">T637/T$640</f>
        <v>0.65875613254740295</v>
      </c>
      <c r="Y637" s="219">
        <f t="shared" ref="Y637" si="241">T637-S637</f>
        <v>29302</v>
      </c>
    </row>
    <row r="638" spans="1:25" x14ac:dyDescent="0.25">
      <c r="A638" s="88" t="s">
        <v>292</v>
      </c>
      <c r="B638" s="93">
        <v>103078</v>
      </c>
      <c r="C638" s="93">
        <v>125963</v>
      </c>
      <c r="D638" s="93">
        <v>156782</v>
      </c>
      <c r="E638" s="93">
        <v>191236</v>
      </c>
      <c r="F638" s="93">
        <v>224422</v>
      </c>
      <c r="G638" s="93">
        <v>245500</v>
      </c>
      <c r="H638" s="93">
        <v>267679</v>
      </c>
      <c r="I638" s="93">
        <v>281683</v>
      </c>
      <c r="J638" s="93">
        <v>288077</v>
      </c>
      <c r="K638" s="93">
        <v>293552</v>
      </c>
      <c r="L638" s="93">
        <v>296600</v>
      </c>
      <c r="M638" s="123">
        <v>299360</v>
      </c>
      <c r="N638" s="93">
        <v>299417</v>
      </c>
      <c r="O638" s="93">
        <v>283226</v>
      </c>
      <c r="P638" s="93">
        <v>289240</v>
      </c>
      <c r="Q638" s="93">
        <v>292968</v>
      </c>
      <c r="R638" s="93">
        <v>306268</v>
      </c>
      <c r="S638" s="93">
        <v>317735</v>
      </c>
      <c r="T638" s="93">
        <v>333752</v>
      </c>
      <c r="U638" s="149">
        <f t="shared" ref="U638:U640" si="242">(T638-K638)/K638</f>
        <v>0.13694336948819971</v>
      </c>
      <c r="V638" s="149">
        <f t="shared" ref="V638:V640" si="243">(T638-P638)/P638</f>
        <v>0.15389296086295118</v>
      </c>
      <c r="W638" s="149">
        <f t="shared" ref="W638:W640" si="244">(T638-S638)/S638</f>
        <v>5.040993280563992E-2</v>
      </c>
      <c r="X638" s="218">
        <f t="shared" si="240"/>
        <v>0.25144348413071516</v>
      </c>
      <c r="Y638" s="219">
        <f t="shared" ref="Y638:Y640" si="245">T638-S638</f>
        <v>16017</v>
      </c>
    </row>
    <row r="639" spans="1:25" x14ac:dyDescent="0.25">
      <c r="A639" s="88" t="s">
        <v>66</v>
      </c>
      <c r="B639" s="93">
        <v>301157</v>
      </c>
      <c r="C639" s="93">
        <v>247653</v>
      </c>
      <c r="D639" s="93">
        <v>213473</v>
      </c>
      <c r="E639" s="93">
        <v>199602</v>
      </c>
      <c r="F639" s="93">
        <v>186043</v>
      </c>
      <c r="G639" s="93">
        <v>176050</v>
      </c>
      <c r="H639" s="93">
        <v>165465</v>
      </c>
      <c r="I639" s="93">
        <v>158286</v>
      </c>
      <c r="J639" s="93">
        <v>149933</v>
      </c>
      <c r="K639" s="93">
        <v>140620</v>
      </c>
      <c r="L639" s="93">
        <v>127608</v>
      </c>
      <c r="M639" s="123">
        <v>120010</v>
      </c>
      <c r="N639" s="93">
        <v>114424</v>
      </c>
      <c r="O639" s="93">
        <v>101681</v>
      </c>
      <c r="P639" s="93">
        <v>110668</v>
      </c>
      <c r="Q639" s="93">
        <v>114501</v>
      </c>
      <c r="R639" s="93">
        <v>115214</v>
      </c>
      <c r="S639" s="93">
        <v>114782</v>
      </c>
      <c r="T639" s="93">
        <v>119196</v>
      </c>
      <c r="U639" s="149">
        <f t="shared" si="242"/>
        <v>-0.15235386147063007</v>
      </c>
      <c r="V639" s="149">
        <f t="shared" si="243"/>
        <v>7.7059312538403146E-2</v>
      </c>
      <c r="W639" s="149">
        <f t="shared" si="244"/>
        <v>3.8455506961021763E-2</v>
      </c>
      <c r="X639" s="218">
        <f t="shared" si="240"/>
        <v>8.9800383321881894E-2</v>
      </c>
      <c r="Y639" s="219">
        <f t="shared" si="245"/>
        <v>4414</v>
      </c>
    </row>
    <row r="640" spans="1:25" s="42" customFormat="1" x14ac:dyDescent="0.25">
      <c r="A640" s="92" t="s">
        <v>0</v>
      </c>
      <c r="B640" s="2">
        <v>748344</v>
      </c>
      <c r="C640" s="2">
        <v>783349</v>
      </c>
      <c r="D640" s="2">
        <v>849340</v>
      </c>
      <c r="E640" s="2">
        <v>938258</v>
      </c>
      <c r="F640" s="2">
        <v>1015077</v>
      </c>
      <c r="G640" s="2">
        <v>1064816</v>
      </c>
      <c r="H640" s="2">
        <v>1114277</v>
      </c>
      <c r="I640" s="2">
        <v>1144381</v>
      </c>
      <c r="J640" s="2">
        <v>1165906</v>
      </c>
      <c r="K640" s="2">
        <v>1178480</v>
      </c>
      <c r="L640" s="2">
        <v>1177292</v>
      </c>
      <c r="M640" s="89">
        <v>1188045</v>
      </c>
      <c r="N640" s="2">
        <v>1194459</v>
      </c>
      <c r="O640" s="2">
        <v>1151834</v>
      </c>
      <c r="P640" s="2">
        <v>1204376</v>
      </c>
      <c r="Q640" s="2">
        <v>1214011</v>
      </c>
      <c r="R640" s="2">
        <v>1249419</v>
      </c>
      <c r="S640" s="2">
        <v>1277611</v>
      </c>
      <c r="T640" s="2">
        <v>1327344</v>
      </c>
      <c r="U640" s="150">
        <f t="shared" si="242"/>
        <v>0.1263186477496436</v>
      </c>
      <c r="V640" s="150">
        <f t="shared" si="243"/>
        <v>0.10210100500176025</v>
      </c>
      <c r="W640" s="150">
        <f t="shared" si="244"/>
        <v>3.8926559023051616E-2</v>
      </c>
      <c r="X640" s="220">
        <f>T640/T$640</f>
        <v>1</v>
      </c>
      <c r="Y640" s="221">
        <f t="shared" si="245"/>
        <v>49733</v>
      </c>
    </row>
    <row r="641" spans="1:25" x14ac:dyDescent="0.25">
      <c r="A641" s="3"/>
      <c r="B641" s="3"/>
      <c r="C641" s="3"/>
      <c r="D641" s="3"/>
      <c r="E641" s="3"/>
      <c r="F641" s="3"/>
      <c r="G641" s="3"/>
      <c r="H641" s="3"/>
      <c r="I641" s="3"/>
      <c r="J641" s="3"/>
      <c r="K641" s="3"/>
      <c r="L641" s="3"/>
      <c r="N641" s="3"/>
      <c r="O641" s="3"/>
      <c r="P641" s="3"/>
      <c r="Q641" s="3"/>
      <c r="R641" s="3"/>
      <c r="S641" s="3"/>
      <c r="T641" s="3"/>
      <c r="U641" s="3"/>
      <c r="V641" s="27"/>
      <c r="W641" s="27"/>
      <c r="X641" s="27"/>
      <c r="Y641" s="27"/>
    </row>
    <row r="642" spans="1:25" ht="15.75" x14ac:dyDescent="0.25">
      <c r="A642" s="160" t="s">
        <v>271</v>
      </c>
      <c r="B642" s="160"/>
      <c r="C642" s="160"/>
      <c r="D642" s="160"/>
      <c r="E642" s="160"/>
      <c r="F642" s="160"/>
      <c r="G642" s="160"/>
      <c r="H642" s="160"/>
      <c r="I642" s="161"/>
      <c r="J642" s="161"/>
      <c r="K642" s="161"/>
      <c r="L642" s="161"/>
      <c r="M642" s="161"/>
      <c r="N642" s="161"/>
      <c r="O642" s="161"/>
      <c r="P642" s="161"/>
      <c r="Q642" s="161"/>
      <c r="R642" s="161"/>
      <c r="S642" s="161"/>
      <c r="T642" s="161"/>
      <c r="U642" s="162"/>
      <c r="V642" s="162"/>
      <c r="W642" s="162"/>
      <c r="X642" s="162"/>
      <c r="Y642" s="162"/>
    </row>
    <row r="643" spans="1:25" ht="30" customHeight="1" x14ac:dyDescent="0.25">
      <c r="A643" s="120" t="s">
        <v>2</v>
      </c>
      <c r="B643" s="105">
        <v>2007</v>
      </c>
      <c r="C643" s="105">
        <v>2008</v>
      </c>
      <c r="D643" s="105">
        <v>2009</v>
      </c>
      <c r="E643" s="105">
        <v>2010</v>
      </c>
      <c r="F643" s="105">
        <v>2011</v>
      </c>
      <c r="G643" s="105">
        <v>2012</v>
      </c>
      <c r="H643" s="105">
        <v>2013</v>
      </c>
      <c r="I643" s="105">
        <v>2014</v>
      </c>
      <c r="J643" s="105">
        <v>2015</v>
      </c>
      <c r="K643" s="105">
        <v>2016</v>
      </c>
      <c r="L643" s="105">
        <v>2017</v>
      </c>
      <c r="M643" s="132">
        <v>2018</v>
      </c>
      <c r="N643" s="105">
        <v>2019</v>
      </c>
      <c r="O643" s="105">
        <v>2020</v>
      </c>
      <c r="P643" s="105">
        <v>2021</v>
      </c>
      <c r="Q643" s="105">
        <v>2022</v>
      </c>
      <c r="R643" s="105">
        <v>2023</v>
      </c>
      <c r="S643" s="105">
        <v>2024</v>
      </c>
      <c r="T643" s="105">
        <v>2025</v>
      </c>
      <c r="U643" s="106" t="s">
        <v>546</v>
      </c>
      <c r="V643" s="106" t="s">
        <v>547</v>
      </c>
      <c r="W643" s="106" t="s">
        <v>548</v>
      </c>
      <c r="X643" s="106" t="s">
        <v>549</v>
      </c>
      <c r="Y643" s="216" t="s">
        <v>563</v>
      </c>
    </row>
    <row r="644" spans="1:25" x14ac:dyDescent="0.25">
      <c r="A644" s="88" t="s">
        <v>311</v>
      </c>
      <c r="B644" s="93">
        <v>31130</v>
      </c>
      <c r="C644" s="93">
        <v>38067</v>
      </c>
      <c r="D644" s="93">
        <v>45987</v>
      </c>
      <c r="E644" s="93">
        <v>54613</v>
      </c>
      <c r="F644" s="93">
        <v>58917</v>
      </c>
      <c r="G644" s="93">
        <v>60201</v>
      </c>
      <c r="H644" s="93">
        <v>63369</v>
      </c>
      <c r="I644" s="93">
        <v>65855</v>
      </c>
      <c r="J644" s="93">
        <v>67442</v>
      </c>
      <c r="K644" s="93">
        <v>66207</v>
      </c>
      <c r="L644" s="93">
        <v>64530</v>
      </c>
      <c r="M644" s="123">
        <v>64748</v>
      </c>
      <c r="N644" s="93">
        <v>66344</v>
      </c>
      <c r="O644" s="93">
        <v>63951</v>
      </c>
      <c r="P644" s="93">
        <v>66644</v>
      </c>
      <c r="Q644" s="93">
        <v>65965</v>
      </c>
      <c r="R644" s="93">
        <v>68608</v>
      </c>
      <c r="S644" s="93">
        <v>72796</v>
      </c>
      <c r="T644" s="93">
        <v>76765</v>
      </c>
      <c r="U644" s="149">
        <f t="shared" ref="U644:U647" si="246">(T644-K644)/K644</f>
        <v>0.15946954249550652</v>
      </c>
      <c r="V644" s="149">
        <f t="shared" ref="V644:V647" si="247">(T644-P644)/P644</f>
        <v>0.15186663465578296</v>
      </c>
      <c r="W644" s="149">
        <f t="shared" ref="W644:W647" si="248">(T644-S644)/S644</f>
        <v>5.4522226495961314E-2</v>
      </c>
      <c r="X644" s="218">
        <f>T644/T$647</f>
        <v>0.50357848057255694</v>
      </c>
      <c r="Y644" s="219">
        <f t="shared" ref="Y644:Y647" si="249">T644-S644</f>
        <v>3969</v>
      </c>
    </row>
    <row r="645" spans="1:25" x14ac:dyDescent="0.25">
      <c r="A645" s="88" t="s">
        <v>292</v>
      </c>
      <c r="B645" s="93">
        <v>21162</v>
      </c>
      <c r="C645" s="93">
        <v>27059</v>
      </c>
      <c r="D645" s="93">
        <v>34513</v>
      </c>
      <c r="E645" s="93">
        <v>43008</v>
      </c>
      <c r="F645" s="93">
        <v>49156</v>
      </c>
      <c r="G645" s="93">
        <v>50939</v>
      </c>
      <c r="H645" s="93">
        <v>54521</v>
      </c>
      <c r="I645" s="93">
        <v>56937</v>
      </c>
      <c r="J645" s="93">
        <v>56678</v>
      </c>
      <c r="K645" s="93">
        <v>54880</v>
      </c>
      <c r="L645" s="93">
        <v>54336</v>
      </c>
      <c r="M645" s="123">
        <v>54930</v>
      </c>
      <c r="N645" s="93">
        <v>55156</v>
      </c>
      <c r="O645" s="93">
        <v>51572</v>
      </c>
      <c r="P645" s="93">
        <v>51110</v>
      </c>
      <c r="Q645" s="93">
        <v>49585</v>
      </c>
      <c r="R645" s="93">
        <v>51560</v>
      </c>
      <c r="S645" s="93">
        <v>54532</v>
      </c>
      <c r="T645" s="93">
        <v>56691</v>
      </c>
      <c r="U645" s="149">
        <f t="shared" si="246"/>
        <v>3.2999271137026241E-2</v>
      </c>
      <c r="V645" s="149">
        <f t="shared" si="247"/>
        <v>0.10919585208374095</v>
      </c>
      <c r="W645" s="149">
        <f t="shared" si="248"/>
        <v>3.9591432553363164E-2</v>
      </c>
      <c r="X645" s="218">
        <f t="shared" ref="X645:X647" si="250">T645/T$647</f>
        <v>0.37189301950288312</v>
      </c>
      <c r="Y645" s="219">
        <f t="shared" si="249"/>
        <v>2159</v>
      </c>
    </row>
    <row r="646" spans="1:25" x14ac:dyDescent="0.25">
      <c r="A646" s="88" t="s">
        <v>66</v>
      </c>
      <c r="B646" s="93">
        <v>34546</v>
      </c>
      <c r="C646" s="93">
        <v>30765</v>
      </c>
      <c r="D646" s="93">
        <v>29507</v>
      </c>
      <c r="E646" s="93">
        <v>30945</v>
      </c>
      <c r="F646" s="93">
        <v>30501</v>
      </c>
      <c r="G646" s="93">
        <v>28891</v>
      </c>
      <c r="H646" s="93">
        <v>26475</v>
      </c>
      <c r="I646" s="93">
        <v>25218</v>
      </c>
      <c r="J646" s="93">
        <v>22420</v>
      </c>
      <c r="K646" s="93">
        <v>20624</v>
      </c>
      <c r="L646" s="93">
        <v>17911</v>
      </c>
      <c r="M646" s="123">
        <v>17050</v>
      </c>
      <c r="N646" s="93">
        <v>16419</v>
      </c>
      <c r="O646" s="93">
        <v>14815</v>
      </c>
      <c r="P646" s="93">
        <v>16709</v>
      </c>
      <c r="Q646" s="93">
        <v>16197</v>
      </c>
      <c r="R646" s="93">
        <v>16575</v>
      </c>
      <c r="S646" s="93">
        <v>17971</v>
      </c>
      <c r="T646" s="93">
        <v>18983</v>
      </c>
      <c r="U646" s="149">
        <f t="shared" si="246"/>
        <v>-7.956749418153608E-2</v>
      </c>
      <c r="V646" s="149">
        <f t="shared" si="247"/>
        <v>0.13609432042611766</v>
      </c>
      <c r="W646" s="149">
        <f t="shared" si="248"/>
        <v>5.6312948639474711E-2</v>
      </c>
      <c r="X646" s="218">
        <f t="shared" si="250"/>
        <v>0.12452849992455998</v>
      </c>
      <c r="Y646" s="219">
        <f t="shared" si="249"/>
        <v>1012</v>
      </c>
    </row>
    <row r="647" spans="1:25" x14ac:dyDescent="0.25">
      <c r="A647" s="92" t="s">
        <v>0</v>
      </c>
      <c r="B647" s="2">
        <v>86838</v>
      </c>
      <c r="C647" s="2">
        <v>95891</v>
      </c>
      <c r="D647" s="2">
        <v>110007</v>
      </c>
      <c r="E647" s="2">
        <v>128566</v>
      </c>
      <c r="F647" s="2">
        <v>138574</v>
      </c>
      <c r="G647" s="2">
        <v>140031</v>
      </c>
      <c r="H647" s="2">
        <v>144365</v>
      </c>
      <c r="I647" s="2">
        <v>148010</v>
      </c>
      <c r="J647" s="2">
        <v>146540</v>
      </c>
      <c r="K647" s="2">
        <v>141711</v>
      </c>
      <c r="L647" s="2">
        <v>136777</v>
      </c>
      <c r="M647" s="89">
        <v>136728</v>
      </c>
      <c r="N647" s="2">
        <v>137919</v>
      </c>
      <c r="O647" s="2">
        <v>130338</v>
      </c>
      <c r="P647" s="2">
        <v>134463</v>
      </c>
      <c r="Q647" s="2">
        <v>131747</v>
      </c>
      <c r="R647" s="2">
        <v>136743</v>
      </c>
      <c r="S647" s="2">
        <v>145299</v>
      </c>
      <c r="T647" s="2">
        <v>152439</v>
      </c>
      <c r="U647" s="150">
        <f t="shared" si="246"/>
        <v>7.5703368122446393E-2</v>
      </c>
      <c r="V647" s="150">
        <f t="shared" si="247"/>
        <v>0.13368733406215835</v>
      </c>
      <c r="W647" s="150">
        <f t="shared" si="248"/>
        <v>4.9140049140049137E-2</v>
      </c>
      <c r="X647" s="220">
        <f t="shared" si="250"/>
        <v>1</v>
      </c>
      <c r="Y647" s="221">
        <f t="shared" si="249"/>
        <v>7140</v>
      </c>
    </row>
    <row r="648" spans="1:25" x14ac:dyDescent="0.25">
      <c r="A648" s="3"/>
      <c r="B648" s="3"/>
      <c r="C648" s="3"/>
      <c r="D648" s="3"/>
      <c r="E648" s="3"/>
      <c r="F648" s="3"/>
      <c r="G648" s="3"/>
      <c r="H648" s="3"/>
      <c r="I648" s="3"/>
      <c r="J648" s="3"/>
      <c r="K648" s="3"/>
      <c r="L648" s="3"/>
      <c r="N648" s="3"/>
      <c r="O648" s="3"/>
      <c r="P648" s="3"/>
      <c r="Q648" s="3"/>
      <c r="R648" s="3"/>
      <c r="S648" s="3"/>
      <c r="T648" s="3"/>
      <c r="U648" s="27"/>
      <c r="V648" s="27"/>
      <c r="W648" s="27"/>
      <c r="X648" s="27"/>
      <c r="Y648" s="27"/>
    </row>
    <row r="649" spans="1:25" ht="15.75" x14ac:dyDescent="0.25">
      <c r="A649" s="22" t="s">
        <v>270</v>
      </c>
      <c r="B649" s="22"/>
      <c r="C649" s="22"/>
      <c r="D649" s="22"/>
      <c r="E649" s="22"/>
      <c r="F649" s="22"/>
      <c r="G649" s="22"/>
      <c r="H649" s="22"/>
      <c r="I649" s="3"/>
      <c r="J649" s="3"/>
      <c r="K649" s="3"/>
      <c r="L649" s="3"/>
      <c r="N649" s="3"/>
      <c r="O649" s="3"/>
      <c r="P649" s="3"/>
      <c r="Q649" s="3"/>
      <c r="R649" s="3"/>
      <c r="S649" s="3"/>
      <c r="T649" s="3"/>
      <c r="U649" s="27"/>
      <c r="V649" s="27"/>
      <c r="W649" s="27"/>
      <c r="X649" s="27"/>
      <c r="Y649" s="27"/>
    </row>
    <row r="650" spans="1:25" ht="30" customHeight="1" x14ac:dyDescent="0.25">
      <c r="A650" s="120" t="s">
        <v>3</v>
      </c>
      <c r="B650" s="105">
        <v>2007</v>
      </c>
      <c r="C650" s="105">
        <v>2008</v>
      </c>
      <c r="D650" s="105">
        <v>2009</v>
      </c>
      <c r="E650" s="105">
        <v>2010</v>
      </c>
      <c r="F650" s="105">
        <v>2011</v>
      </c>
      <c r="G650" s="105">
        <v>2012</v>
      </c>
      <c r="H650" s="105">
        <v>2013</v>
      </c>
      <c r="I650" s="105">
        <v>2014</v>
      </c>
      <c r="J650" s="105">
        <v>2015</v>
      </c>
      <c r="K650" s="105">
        <v>2016</v>
      </c>
      <c r="L650" s="105">
        <v>2017</v>
      </c>
      <c r="M650" s="132">
        <v>2018</v>
      </c>
      <c r="N650" s="105">
        <v>2019</v>
      </c>
      <c r="O650" s="105">
        <v>2020</v>
      </c>
      <c r="P650" s="105">
        <v>2021</v>
      </c>
      <c r="Q650" s="105">
        <v>2022</v>
      </c>
      <c r="R650" s="105">
        <v>2023</v>
      </c>
      <c r="S650" s="105">
        <v>2024</v>
      </c>
      <c r="T650" s="105">
        <v>2025</v>
      </c>
      <c r="U650" s="106" t="s">
        <v>546</v>
      </c>
      <c r="V650" s="106" t="s">
        <v>547</v>
      </c>
      <c r="W650" s="106" t="s">
        <v>548</v>
      </c>
      <c r="X650" s="106" t="s">
        <v>549</v>
      </c>
      <c r="Y650" s="216" t="s">
        <v>563</v>
      </c>
    </row>
    <row r="651" spans="1:25" x14ac:dyDescent="0.25">
      <c r="A651" s="88" t="s">
        <v>311</v>
      </c>
      <c r="B651" s="93">
        <v>57969</v>
      </c>
      <c r="C651" s="93">
        <v>66560</v>
      </c>
      <c r="D651" s="93">
        <v>81364</v>
      </c>
      <c r="E651" s="93">
        <v>98199</v>
      </c>
      <c r="F651" s="93">
        <v>115093</v>
      </c>
      <c r="G651" s="93">
        <v>129654</v>
      </c>
      <c r="H651" s="93">
        <v>145961</v>
      </c>
      <c r="I651" s="93">
        <v>158841</v>
      </c>
      <c r="J651" s="93">
        <v>171647</v>
      </c>
      <c r="K651" s="93">
        <v>177724</v>
      </c>
      <c r="L651" s="93">
        <v>178254</v>
      </c>
      <c r="M651" s="123">
        <v>179911</v>
      </c>
      <c r="N651" s="93">
        <v>183789</v>
      </c>
      <c r="O651" s="93">
        <v>176893</v>
      </c>
      <c r="P651" s="93">
        <v>185698</v>
      </c>
      <c r="Q651" s="93">
        <v>193752</v>
      </c>
      <c r="R651" s="93">
        <v>204510</v>
      </c>
      <c r="S651" s="93">
        <v>208321</v>
      </c>
      <c r="T651" s="93">
        <v>214669</v>
      </c>
      <c r="U651" s="149">
        <f t="shared" ref="U651:U654" si="251">(T651-K651)/K651</f>
        <v>0.20787850824874524</v>
      </c>
      <c r="V651" s="149">
        <f t="shared" ref="V651:V654" si="252">(T651-P651)/P651</f>
        <v>0.15601137330504367</v>
      </c>
      <c r="W651" s="149">
        <f t="shared" ref="W651:W654" si="253">(T651-S651)/S651</f>
        <v>3.0472203954474104E-2</v>
      </c>
      <c r="X651" s="218">
        <f>T651/T$654</f>
        <v>0.48466328309145584</v>
      </c>
      <c r="Y651" s="219">
        <f t="shared" ref="Y651:Y654" si="254">T651-S651</f>
        <v>6348</v>
      </c>
    </row>
    <row r="652" spans="1:25" x14ac:dyDescent="0.25">
      <c r="A652" s="88" t="s">
        <v>292</v>
      </c>
      <c r="B652" s="93">
        <v>34539</v>
      </c>
      <c r="C652" s="93">
        <v>41551</v>
      </c>
      <c r="D652" s="93">
        <v>54787</v>
      </c>
      <c r="E652" s="93">
        <v>70201</v>
      </c>
      <c r="F652" s="93">
        <v>86724</v>
      </c>
      <c r="G652" s="93">
        <v>100483</v>
      </c>
      <c r="H652" s="93">
        <v>114895</v>
      </c>
      <c r="I652" s="93">
        <v>125726</v>
      </c>
      <c r="J652" s="93">
        <v>132617</v>
      </c>
      <c r="K652" s="93">
        <v>136425</v>
      </c>
      <c r="L652" s="93">
        <v>135495</v>
      </c>
      <c r="M652" s="123">
        <v>134873</v>
      </c>
      <c r="N652" s="93">
        <v>137356</v>
      </c>
      <c r="O652" s="93">
        <v>131091</v>
      </c>
      <c r="P652" s="93">
        <v>134109</v>
      </c>
      <c r="Q652" s="93">
        <v>139969</v>
      </c>
      <c r="R652" s="93">
        <v>148678</v>
      </c>
      <c r="S652" s="93">
        <v>152622</v>
      </c>
      <c r="T652" s="93">
        <v>158985</v>
      </c>
      <c r="U652" s="149">
        <f t="shared" si="251"/>
        <v>0.16536558548653107</v>
      </c>
      <c r="V652" s="149">
        <f t="shared" si="252"/>
        <v>0.18549090665056037</v>
      </c>
      <c r="W652" s="149">
        <f t="shared" si="253"/>
        <v>4.1691237174195067E-2</v>
      </c>
      <c r="X652" s="218">
        <f t="shared" ref="X652:X654" si="255">T652/T$654</f>
        <v>0.35894419810170591</v>
      </c>
      <c r="Y652" s="219">
        <f t="shared" si="254"/>
        <v>6363</v>
      </c>
    </row>
    <row r="653" spans="1:25" x14ac:dyDescent="0.25">
      <c r="A653" s="88" t="s">
        <v>66</v>
      </c>
      <c r="B653" s="93">
        <v>63616</v>
      </c>
      <c r="C653" s="93">
        <v>54737</v>
      </c>
      <c r="D653" s="93">
        <v>53446</v>
      </c>
      <c r="E653" s="93">
        <v>55901</v>
      </c>
      <c r="F653" s="93">
        <v>58875</v>
      </c>
      <c r="G653" s="93">
        <v>63382</v>
      </c>
      <c r="H653" s="93">
        <v>63723</v>
      </c>
      <c r="I653" s="93">
        <v>66437</v>
      </c>
      <c r="J653" s="93">
        <v>68907</v>
      </c>
      <c r="K653" s="93">
        <v>66839</v>
      </c>
      <c r="L653" s="93">
        <v>60960</v>
      </c>
      <c r="M653" s="123">
        <v>58320</v>
      </c>
      <c r="N653" s="93">
        <v>58311</v>
      </c>
      <c r="O653" s="93">
        <v>53403</v>
      </c>
      <c r="P653" s="93">
        <v>58731</v>
      </c>
      <c r="Q653" s="93">
        <v>63108</v>
      </c>
      <c r="R653" s="93">
        <v>65826</v>
      </c>
      <c r="S653" s="93">
        <v>65329</v>
      </c>
      <c r="T653" s="93">
        <v>69270</v>
      </c>
      <c r="U653" s="149">
        <f t="shared" si="251"/>
        <v>3.637098101407861E-2</v>
      </c>
      <c r="V653" s="149">
        <f t="shared" si="252"/>
        <v>0.17944526740562905</v>
      </c>
      <c r="W653" s="149">
        <f t="shared" si="253"/>
        <v>6.0325429747891443E-2</v>
      </c>
      <c r="X653" s="218">
        <f t="shared" si="255"/>
        <v>0.15639251880683819</v>
      </c>
      <c r="Y653" s="219">
        <f t="shared" si="254"/>
        <v>3941</v>
      </c>
    </row>
    <row r="654" spans="1:25" x14ac:dyDescent="0.25">
      <c r="A654" s="92" t="s">
        <v>0</v>
      </c>
      <c r="B654" s="2">
        <v>156124</v>
      </c>
      <c r="C654" s="2">
        <v>162848</v>
      </c>
      <c r="D654" s="2">
        <v>189597</v>
      </c>
      <c r="E654" s="2">
        <v>224301</v>
      </c>
      <c r="F654" s="2">
        <v>260692</v>
      </c>
      <c r="G654" s="2">
        <v>293519</v>
      </c>
      <c r="H654" s="2">
        <v>324579</v>
      </c>
      <c r="I654" s="2">
        <v>351004</v>
      </c>
      <c r="J654" s="2">
        <v>373171</v>
      </c>
      <c r="K654" s="2">
        <v>380988</v>
      </c>
      <c r="L654" s="2">
        <v>374709</v>
      </c>
      <c r="M654" s="89">
        <v>373104</v>
      </c>
      <c r="N654" s="2">
        <v>379456</v>
      </c>
      <c r="O654" s="2">
        <v>361387</v>
      </c>
      <c r="P654" s="2">
        <v>378538</v>
      </c>
      <c r="Q654" s="2">
        <v>396829</v>
      </c>
      <c r="R654" s="2">
        <v>419014</v>
      </c>
      <c r="S654" s="2">
        <v>426272</v>
      </c>
      <c r="T654" s="2">
        <v>442924</v>
      </c>
      <c r="U654" s="150">
        <f t="shared" si="251"/>
        <v>0.1625668000041996</v>
      </c>
      <c r="V654" s="150">
        <f t="shared" si="252"/>
        <v>0.17009124579302473</v>
      </c>
      <c r="W654" s="150">
        <f t="shared" si="253"/>
        <v>3.9064259439981985E-2</v>
      </c>
      <c r="X654" s="220">
        <f t="shared" si="255"/>
        <v>1</v>
      </c>
      <c r="Y654" s="221">
        <f t="shared" si="254"/>
        <v>16652</v>
      </c>
    </row>
    <row r="655" spans="1:25" x14ac:dyDescent="0.25">
      <c r="A655" s="3"/>
      <c r="B655" s="3"/>
      <c r="C655" s="3"/>
      <c r="D655" s="3"/>
      <c r="E655" s="3"/>
      <c r="F655" s="3"/>
      <c r="G655" s="3"/>
      <c r="H655" s="3"/>
      <c r="I655" s="3"/>
      <c r="J655" s="3"/>
      <c r="K655" s="3"/>
      <c r="L655" s="3"/>
      <c r="N655" s="3"/>
      <c r="O655" s="3"/>
      <c r="P655" s="3"/>
      <c r="Q655" s="3"/>
      <c r="R655" s="3"/>
      <c r="S655" s="3"/>
      <c r="T655" s="3"/>
      <c r="U655" s="27"/>
      <c r="V655" s="27"/>
      <c r="W655" s="27"/>
      <c r="X655" s="27"/>
      <c r="Y655" s="27"/>
    </row>
    <row r="656" spans="1:25" ht="15.75" x14ac:dyDescent="0.25">
      <c r="A656" s="22" t="s">
        <v>269</v>
      </c>
      <c r="B656" s="22"/>
      <c r="C656" s="22"/>
      <c r="D656" s="22"/>
      <c r="E656" s="22"/>
      <c r="F656" s="22"/>
      <c r="G656" s="22"/>
      <c r="H656" s="22"/>
      <c r="I656" s="3"/>
      <c r="J656" s="3"/>
      <c r="K656" s="3"/>
      <c r="L656" s="3"/>
      <c r="N656" s="3"/>
      <c r="O656" s="3"/>
      <c r="P656" s="3"/>
      <c r="Q656" s="3"/>
      <c r="R656" s="3"/>
      <c r="S656" s="3"/>
      <c r="T656" s="3"/>
      <c r="U656" s="27"/>
      <c r="V656" s="27"/>
      <c r="W656" s="27"/>
      <c r="X656" s="27"/>
      <c r="Y656" s="27"/>
    </row>
    <row r="657" spans="1:25" ht="30" customHeight="1" x14ac:dyDescent="0.25">
      <c r="A657" s="120" t="s">
        <v>4</v>
      </c>
      <c r="B657" s="105">
        <v>2007</v>
      </c>
      <c r="C657" s="105">
        <v>2008</v>
      </c>
      <c r="D657" s="105">
        <v>2009</v>
      </c>
      <c r="E657" s="105">
        <v>2010</v>
      </c>
      <c r="F657" s="105">
        <v>2011</v>
      </c>
      <c r="G657" s="105">
        <v>2012</v>
      </c>
      <c r="H657" s="105">
        <v>2013</v>
      </c>
      <c r="I657" s="105">
        <v>2014</v>
      </c>
      <c r="J657" s="105">
        <v>2015</v>
      </c>
      <c r="K657" s="105">
        <v>2016</v>
      </c>
      <c r="L657" s="105">
        <v>2017</v>
      </c>
      <c r="M657" s="132">
        <v>2018</v>
      </c>
      <c r="N657" s="105">
        <v>2019</v>
      </c>
      <c r="O657" s="105">
        <v>2020</v>
      </c>
      <c r="P657" s="105">
        <v>2021</v>
      </c>
      <c r="Q657" s="105">
        <v>2022</v>
      </c>
      <c r="R657" s="105">
        <v>2023</v>
      </c>
      <c r="S657" s="105">
        <v>2024</v>
      </c>
      <c r="T657" s="105">
        <v>2025</v>
      </c>
      <c r="U657" s="106" t="s">
        <v>546</v>
      </c>
      <c r="V657" s="106" t="s">
        <v>547</v>
      </c>
      <c r="W657" s="106" t="s">
        <v>548</v>
      </c>
      <c r="X657" s="106" t="s">
        <v>549</v>
      </c>
      <c r="Y657" s="216" t="s">
        <v>563</v>
      </c>
    </row>
    <row r="658" spans="1:25" x14ac:dyDescent="0.25">
      <c r="A658" s="88" t="s">
        <v>311</v>
      </c>
      <c r="B658" s="93">
        <v>255010</v>
      </c>
      <c r="C658" s="93">
        <v>305106</v>
      </c>
      <c r="D658" s="93">
        <v>351734</v>
      </c>
      <c r="E658" s="93">
        <v>394608</v>
      </c>
      <c r="F658" s="93">
        <v>430602</v>
      </c>
      <c r="G658" s="93">
        <v>453411</v>
      </c>
      <c r="H658" s="93">
        <v>471803</v>
      </c>
      <c r="I658" s="93">
        <v>479716</v>
      </c>
      <c r="J658" s="93">
        <v>488807</v>
      </c>
      <c r="K658" s="93">
        <v>500377</v>
      </c>
      <c r="L658" s="93">
        <v>510300</v>
      </c>
      <c r="M658" s="123">
        <v>524016</v>
      </c>
      <c r="N658" s="93">
        <v>530485</v>
      </c>
      <c r="O658" s="93">
        <v>526083</v>
      </c>
      <c r="P658" s="123">
        <v>552126</v>
      </c>
      <c r="Q658" s="123">
        <v>546825</v>
      </c>
      <c r="R658" s="123">
        <v>554819</v>
      </c>
      <c r="S658" s="123">
        <v>563977</v>
      </c>
      <c r="T658" s="123">
        <v>582962</v>
      </c>
      <c r="U658" s="149">
        <f t="shared" ref="U658:U661" si="256">(T658-K658)/K658</f>
        <v>0.16504555565103912</v>
      </c>
      <c r="V658" s="149">
        <f t="shared" ref="V658:V661" si="257">(T658-P658)/P658</f>
        <v>5.5849570569036777E-2</v>
      </c>
      <c r="W658" s="149">
        <f t="shared" ref="W658:W661" si="258">(T658-S658)/S658</f>
        <v>3.3662720288238704E-2</v>
      </c>
      <c r="X658" s="218">
        <f>T658/T$661</f>
        <v>0.79641684688536996</v>
      </c>
      <c r="Y658" s="219">
        <f t="shared" ref="Y658:Y661" si="259">T658-S658</f>
        <v>18985</v>
      </c>
    </row>
    <row r="659" spans="1:25" x14ac:dyDescent="0.25">
      <c r="A659" s="88" t="s">
        <v>292</v>
      </c>
      <c r="B659" s="93">
        <v>47377</v>
      </c>
      <c r="C659" s="93">
        <v>57353</v>
      </c>
      <c r="D659" s="93">
        <v>67482</v>
      </c>
      <c r="E659" s="93">
        <v>78027</v>
      </c>
      <c r="F659" s="93">
        <v>88542</v>
      </c>
      <c r="G659" s="93">
        <v>94078</v>
      </c>
      <c r="H659" s="93">
        <v>98263</v>
      </c>
      <c r="I659" s="93">
        <v>99020</v>
      </c>
      <c r="J659" s="93">
        <v>98782</v>
      </c>
      <c r="K659" s="93">
        <v>102247</v>
      </c>
      <c r="L659" s="93">
        <v>106769</v>
      </c>
      <c r="M659" s="123">
        <v>109557</v>
      </c>
      <c r="N659" s="93">
        <v>106905</v>
      </c>
      <c r="O659" s="93">
        <v>100563</v>
      </c>
      <c r="P659" s="93">
        <v>104021</v>
      </c>
      <c r="Q659" s="93">
        <v>103414</v>
      </c>
      <c r="R659" s="93">
        <v>106030</v>
      </c>
      <c r="S659" s="93">
        <v>110581</v>
      </c>
      <c r="T659" s="93">
        <v>118076</v>
      </c>
      <c r="U659" s="149">
        <f t="shared" si="256"/>
        <v>0.15481138810918657</v>
      </c>
      <c r="V659" s="149">
        <f t="shared" si="257"/>
        <v>0.13511694753943915</v>
      </c>
      <c r="W659" s="149">
        <f t="shared" si="258"/>
        <v>6.7778370606162E-2</v>
      </c>
      <c r="X659" s="218">
        <f t="shared" ref="X659:X661" si="260">T659/T$661</f>
        <v>0.16131019794229631</v>
      </c>
      <c r="Y659" s="219">
        <f t="shared" si="259"/>
        <v>7495</v>
      </c>
    </row>
    <row r="660" spans="1:25" x14ac:dyDescent="0.25">
      <c r="A660" s="88" t="s">
        <v>66</v>
      </c>
      <c r="B660" s="93">
        <v>202995</v>
      </c>
      <c r="C660" s="93">
        <v>162151</v>
      </c>
      <c r="D660" s="93">
        <v>130520</v>
      </c>
      <c r="E660" s="93">
        <v>112756</v>
      </c>
      <c r="F660" s="93">
        <v>96667</v>
      </c>
      <c r="G660" s="93">
        <v>83777</v>
      </c>
      <c r="H660" s="93">
        <v>75267</v>
      </c>
      <c r="I660" s="93">
        <v>66631</v>
      </c>
      <c r="J660" s="93">
        <v>58606</v>
      </c>
      <c r="K660" s="93">
        <v>53157</v>
      </c>
      <c r="L660" s="93">
        <v>48737</v>
      </c>
      <c r="M660" s="123">
        <v>44640</v>
      </c>
      <c r="N660" s="93">
        <v>39694</v>
      </c>
      <c r="O660" s="93">
        <v>33463</v>
      </c>
      <c r="P660" s="93">
        <v>35228</v>
      </c>
      <c r="Q660" s="93">
        <v>35196</v>
      </c>
      <c r="R660" s="93">
        <v>32813</v>
      </c>
      <c r="S660" s="93">
        <v>31482</v>
      </c>
      <c r="T660" s="93">
        <v>30943</v>
      </c>
      <c r="U660" s="149">
        <f t="shared" si="256"/>
        <v>-0.41789416257501366</v>
      </c>
      <c r="V660" s="149">
        <f t="shared" si="257"/>
        <v>-0.12163619847848302</v>
      </c>
      <c r="W660" s="149">
        <f t="shared" si="258"/>
        <v>-1.7120894479385047E-2</v>
      </c>
      <c r="X660" s="218">
        <f t="shared" si="260"/>
        <v>4.2272955172333711E-2</v>
      </c>
      <c r="Y660" s="219">
        <f t="shared" si="259"/>
        <v>-539</v>
      </c>
    </row>
    <row r="661" spans="1:25" x14ac:dyDescent="0.25">
      <c r="A661" s="92" t="s">
        <v>0</v>
      </c>
      <c r="B661" s="2">
        <v>505382</v>
      </c>
      <c r="C661" s="2">
        <v>524610</v>
      </c>
      <c r="D661" s="2">
        <v>549736</v>
      </c>
      <c r="E661" s="2">
        <v>585391</v>
      </c>
      <c r="F661" s="2">
        <v>615811</v>
      </c>
      <c r="G661" s="2">
        <v>631266</v>
      </c>
      <c r="H661" s="2">
        <v>645333</v>
      </c>
      <c r="I661" s="2">
        <v>645367</v>
      </c>
      <c r="J661" s="2">
        <v>646195</v>
      </c>
      <c r="K661" s="2">
        <v>655781</v>
      </c>
      <c r="L661" s="2">
        <v>665806</v>
      </c>
      <c r="M661" s="89">
        <v>678213</v>
      </c>
      <c r="N661" s="2">
        <v>677084</v>
      </c>
      <c r="O661" s="2">
        <v>660109</v>
      </c>
      <c r="P661" s="2">
        <v>691375</v>
      </c>
      <c r="Q661" s="2">
        <v>685435</v>
      </c>
      <c r="R661" s="2">
        <v>693662</v>
      </c>
      <c r="S661" s="2">
        <v>706040</v>
      </c>
      <c r="T661" s="2">
        <v>731981</v>
      </c>
      <c r="U661" s="150">
        <f t="shared" si="256"/>
        <v>0.11619732807141409</v>
      </c>
      <c r="V661" s="150">
        <f t="shared" si="257"/>
        <v>5.873223648526487E-2</v>
      </c>
      <c r="W661" s="150">
        <f t="shared" si="258"/>
        <v>3.6741544388419922E-2</v>
      </c>
      <c r="X661" s="220">
        <f t="shared" si="260"/>
        <v>1</v>
      </c>
      <c r="Y661" s="221">
        <f t="shared" si="259"/>
        <v>25941</v>
      </c>
    </row>
    <row r="662" spans="1:25" x14ac:dyDescent="0.25">
      <c r="A662" s="86"/>
      <c r="B662" s="87"/>
      <c r="C662" s="87"/>
      <c r="D662" s="87"/>
      <c r="E662" s="87"/>
      <c r="F662" s="87"/>
      <c r="G662" s="87"/>
      <c r="H662" s="87"/>
      <c r="I662" s="87"/>
      <c r="J662" s="87"/>
      <c r="K662" s="87"/>
      <c r="L662" s="87"/>
      <c r="M662" s="209"/>
      <c r="N662" s="87"/>
      <c r="O662" s="87"/>
      <c r="P662" s="87"/>
      <c r="Q662" s="87"/>
      <c r="R662" s="87"/>
      <c r="S662" s="87"/>
      <c r="T662" s="87"/>
      <c r="U662" s="49"/>
      <c r="V662" s="49"/>
      <c r="W662" s="49"/>
      <c r="X662" s="49"/>
      <c r="Y662" s="49"/>
    </row>
    <row r="663" spans="1:25" ht="15.75" x14ac:dyDescent="0.25">
      <c r="A663" s="22" t="s">
        <v>78</v>
      </c>
      <c r="B663" s="22"/>
      <c r="C663" s="22"/>
      <c r="D663" s="22"/>
      <c r="E663" s="22"/>
      <c r="F663" s="22"/>
      <c r="G663" s="22"/>
      <c r="H663" s="22"/>
      <c r="I663" s="3"/>
      <c r="J663" s="3"/>
      <c r="K663" s="3"/>
      <c r="L663" s="3"/>
      <c r="N663" s="3"/>
      <c r="O663" s="3"/>
      <c r="P663" s="3"/>
      <c r="Q663" s="3"/>
      <c r="R663" s="3"/>
      <c r="S663" s="3"/>
      <c r="T663" s="3"/>
      <c r="U663" s="27"/>
      <c r="V663" s="27"/>
      <c r="W663" s="27"/>
      <c r="X663" s="27"/>
      <c r="Y663" s="27"/>
    </row>
    <row r="664" spans="1:25" ht="25.5" x14ac:dyDescent="0.25">
      <c r="A664" s="120" t="s">
        <v>94</v>
      </c>
      <c r="B664" s="105">
        <v>2007</v>
      </c>
      <c r="C664" s="105">
        <v>2008</v>
      </c>
      <c r="D664" s="105">
        <v>2009</v>
      </c>
      <c r="E664" s="105">
        <v>2010</v>
      </c>
      <c r="F664" s="105">
        <v>2011</v>
      </c>
      <c r="G664" s="105">
        <v>2012</v>
      </c>
      <c r="H664" s="105">
        <v>2013</v>
      </c>
      <c r="I664" s="105">
        <v>2014</v>
      </c>
      <c r="J664" s="105">
        <v>2015</v>
      </c>
      <c r="K664" s="105">
        <v>2016</v>
      </c>
      <c r="L664" s="105">
        <v>2017</v>
      </c>
      <c r="M664" s="132">
        <v>2018</v>
      </c>
      <c r="N664" s="105">
        <v>2019</v>
      </c>
      <c r="O664" s="105">
        <v>2020</v>
      </c>
      <c r="P664" s="105">
        <v>2021</v>
      </c>
      <c r="Q664" s="105">
        <v>2022</v>
      </c>
      <c r="R664" s="105">
        <v>2023</v>
      </c>
      <c r="S664" s="105">
        <v>2024</v>
      </c>
      <c r="T664" s="105">
        <v>2025</v>
      </c>
      <c r="U664" s="106" t="s">
        <v>546</v>
      </c>
      <c r="V664" s="106" t="s">
        <v>547</v>
      </c>
      <c r="W664" s="106" t="s">
        <v>548</v>
      </c>
      <c r="X664" s="106" t="s">
        <v>549</v>
      </c>
      <c r="Y664" s="216" t="s">
        <v>563</v>
      </c>
    </row>
    <row r="665" spans="1:25" x14ac:dyDescent="0.25">
      <c r="A665" s="88" t="s">
        <v>364</v>
      </c>
      <c r="B665" s="93">
        <v>154571</v>
      </c>
      <c r="C665" s="93">
        <v>182470</v>
      </c>
      <c r="D665" s="93">
        <v>217220</v>
      </c>
      <c r="E665" s="93">
        <v>252748</v>
      </c>
      <c r="F665" s="93">
        <v>283027</v>
      </c>
      <c r="G665" s="93">
        <v>298986</v>
      </c>
      <c r="H665" s="93">
        <v>314721</v>
      </c>
      <c r="I665" s="93">
        <v>321874</v>
      </c>
      <c r="J665" s="93">
        <v>327404</v>
      </c>
      <c r="K665" s="93">
        <v>330856</v>
      </c>
      <c r="L665" s="93">
        <v>332424</v>
      </c>
      <c r="M665" s="123">
        <v>337715</v>
      </c>
      <c r="N665" s="123">
        <v>339074</v>
      </c>
      <c r="O665" s="123">
        <v>323087</v>
      </c>
      <c r="P665" s="123">
        <v>334645</v>
      </c>
      <c r="Q665" s="123">
        <v>334347</v>
      </c>
      <c r="R665" s="123">
        <v>343422</v>
      </c>
      <c r="S665" s="123">
        <v>349489</v>
      </c>
      <c r="T665" s="123">
        <v>360213</v>
      </c>
      <c r="U665" s="149">
        <f t="shared" ref="U665:U671" si="261">(T665-K665)/K665</f>
        <v>8.8730444664748415E-2</v>
      </c>
      <c r="V665" s="149">
        <f t="shared" ref="V665:V671" si="262">(T665-P665)/P665</f>
        <v>7.6403352806705613E-2</v>
      </c>
      <c r="W665" s="149">
        <f t="shared" ref="W665:W671" si="263">(T665-S665)/S665</f>
        <v>3.0684799807719269E-2</v>
      </c>
      <c r="X665" s="218">
        <f t="shared" ref="X665:X671" si="264">T665/T$640</f>
        <v>0.27137878349546163</v>
      </c>
      <c r="Y665" s="219">
        <f t="shared" ref="Y665:Y671" si="265">T665-S665</f>
        <v>10724</v>
      </c>
    </row>
    <row r="666" spans="1:25" x14ac:dyDescent="0.25">
      <c r="A666" s="88" t="s">
        <v>310</v>
      </c>
      <c r="B666" s="93">
        <v>0</v>
      </c>
      <c r="C666" s="93">
        <v>0</v>
      </c>
      <c r="D666" s="93">
        <v>0</v>
      </c>
      <c r="E666" s="93">
        <v>0</v>
      </c>
      <c r="F666" s="93">
        <v>0</v>
      </c>
      <c r="G666" s="93">
        <v>0</v>
      </c>
      <c r="H666" s="93">
        <v>0</v>
      </c>
      <c r="I666" s="93">
        <v>0</v>
      </c>
      <c r="J666" s="93">
        <v>0</v>
      </c>
      <c r="K666" s="93">
        <v>0</v>
      </c>
      <c r="L666" s="93">
        <v>0</v>
      </c>
      <c r="M666" s="123">
        <v>0</v>
      </c>
      <c r="N666" s="123">
        <v>1577</v>
      </c>
      <c r="O666" s="123">
        <v>4641</v>
      </c>
      <c r="P666" s="123">
        <v>7727</v>
      </c>
      <c r="Q666" s="123">
        <v>12539</v>
      </c>
      <c r="R666" s="123">
        <v>18282</v>
      </c>
      <c r="S666" s="123">
        <v>23378</v>
      </c>
      <c r="T666" s="123">
        <v>30027</v>
      </c>
      <c r="U666" s="149" t="s">
        <v>130</v>
      </c>
      <c r="V666" s="149">
        <f t="shared" si="262"/>
        <v>2.8859842112074543</v>
      </c>
      <c r="W666" s="149">
        <f t="shared" si="263"/>
        <v>0.28441269569680899</v>
      </c>
      <c r="X666" s="218">
        <f t="shared" si="264"/>
        <v>2.2621867428488773E-2</v>
      </c>
      <c r="Y666" s="219">
        <f t="shared" si="265"/>
        <v>6649</v>
      </c>
    </row>
    <row r="667" spans="1:25" x14ac:dyDescent="0.25">
      <c r="A667" s="88" t="s">
        <v>361</v>
      </c>
      <c r="B667" s="93">
        <v>199029</v>
      </c>
      <c r="C667" s="93">
        <v>243214</v>
      </c>
      <c r="D667" s="93">
        <v>294371</v>
      </c>
      <c r="E667" s="93">
        <v>348561</v>
      </c>
      <c r="F667" s="93">
        <v>398700</v>
      </c>
      <c r="G667" s="93">
        <v>436189</v>
      </c>
      <c r="H667" s="93">
        <v>472972</v>
      </c>
      <c r="I667" s="93">
        <v>499908</v>
      </c>
      <c r="J667" s="93">
        <v>522152</v>
      </c>
      <c r="K667" s="93">
        <v>539639</v>
      </c>
      <c r="L667" s="93">
        <v>550562</v>
      </c>
      <c r="M667" s="123">
        <v>563206</v>
      </c>
      <c r="N667" s="123">
        <v>570808</v>
      </c>
      <c r="O667" s="123">
        <v>556166</v>
      </c>
      <c r="P667" s="123">
        <v>579675</v>
      </c>
      <c r="Q667" s="123">
        <v>582607</v>
      </c>
      <c r="R667" s="123">
        <v>599166</v>
      </c>
      <c r="S667" s="123">
        <v>614754</v>
      </c>
      <c r="T667" s="123">
        <v>639115</v>
      </c>
      <c r="U667" s="149">
        <f t="shared" si="261"/>
        <v>0.18433804821371325</v>
      </c>
      <c r="V667" s="149">
        <f t="shared" si="262"/>
        <v>0.10254021650062535</v>
      </c>
      <c r="W667" s="149">
        <f t="shared" si="263"/>
        <v>3.9627233007023949E-2</v>
      </c>
      <c r="X667" s="218">
        <f t="shared" si="264"/>
        <v>0.48149914415554673</v>
      </c>
      <c r="Y667" s="219">
        <f t="shared" si="265"/>
        <v>24361</v>
      </c>
    </row>
    <row r="668" spans="1:25" x14ac:dyDescent="0.25">
      <c r="A668" s="88" t="s">
        <v>362</v>
      </c>
      <c r="B668" s="93">
        <v>76064</v>
      </c>
      <c r="C668" s="93">
        <v>89022</v>
      </c>
      <c r="D668" s="93">
        <v>98788</v>
      </c>
      <c r="E668" s="93">
        <v>106917</v>
      </c>
      <c r="F668" s="93">
        <v>112180</v>
      </c>
      <c r="G668" s="93">
        <v>115845</v>
      </c>
      <c r="H668" s="93">
        <v>120384</v>
      </c>
      <c r="I668" s="93">
        <v>122274</v>
      </c>
      <c r="J668" s="93">
        <v>123738</v>
      </c>
      <c r="K668" s="93">
        <v>125014</v>
      </c>
      <c r="L668" s="93">
        <v>124525</v>
      </c>
      <c r="M668" s="123">
        <v>125426</v>
      </c>
      <c r="N668" s="123">
        <v>127414</v>
      </c>
      <c r="O668" s="123">
        <v>127588</v>
      </c>
      <c r="P668" s="123">
        <v>132813</v>
      </c>
      <c r="Q668" s="123">
        <v>130603</v>
      </c>
      <c r="R668" s="123">
        <v>132430</v>
      </c>
      <c r="S668" s="123">
        <v>132705</v>
      </c>
      <c r="T668" s="123">
        <v>134454</v>
      </c>
      <c r="U668" s="149">
        <f t="shared" si="261"/>
        <v>7.5511542707216786E-2</v>
      </c>
      <c r="V668" s="149">
        <f t="shared" si="262"/>
        <v>1.2355718190237402E-2</v>
      </c>
      <c r="W668" s="149">
        <f t="shared" si="263"/>
        <v>1.3179608906974116E-2</v>
      </c>
      <c r="X668" s="218">
        <f t="shared" si="264"/>
        <v>0.10129551947347484</v>
      </c>
      <c r="Y668" s="219">
        <f t="shared" si="265"/>
        <v>1749</v>
      </c>
    </row>
    <row r="669" spans="1:25" x14ac:dyDescent="0.25">
      <c r="A669" s="88" t="s">
        <v>363</v>
      </c>
      <c r="B669" s="93">
        <v>17523</v>
      </c>
      <c r="C669" s="93">
        <v>20990</v>
      </c>
      <c r="D669" s="93">
        <v>25488</v>
      </c>
      <c r="E669" s="93">
        <v>30430</v>
      </c>
      <c r="F669" s="93">
        <v>35127</v>
      </c>
      <c r="G669" s="93">
        <v>37746</v>
      </c>
      <c r="H669" s="93">
        <v>40735</v>
      </c>
      <c r="I669" s="93">
        <v>42039</v>
      </c>
      <c r="J669" s="93">
        <v>42679</v>
      </c>
      <c r="K669" s="93">
        <v>42351</v>
      </c>
      <c r="L669" s="93">
        <v>42173</v>
      </c>
      <c r="M669" s="123">
        <v>41688</v>
      </c>
      <c r="N669" s="123">
        <v>41162</v>
      </c>
      <c r="O669" s="123">
        <v>38671</v>
      </c>
      <c r="P669" s="123">
        <v>38848</v>
      </c>
      <c r="Q669" s="123">
        <v>39414</v>
      </c>
      <c r="R669" s="123">
        <v>40905</v>
      </c>
      <c r="S669" s="123">
        <v>42503</v>
      </c>
      <c r="T669" s="123">
        <v>44339</v>
      </c>
      <c r="U669" s="149">
        <f t="shared" si="261"/>
        <v>4.6941040353238414E-2</v>
      </c>
      <c r="V669" s="149">
        <f t="shared" si="262"/>
        <v>0.14134575782537068</v>
      </c>
      <c r="W669" s="149">
        <f t="shared" si="263"/>
        <v>4.3196950803472696E-2</v>
      </c>
      <c r="X669" s="218">
        <f t="shared" si="264"/>
        <v>3.3404302125146154E-2</v>
      </c>
      <c r="Y669" s="219">
        <f t="shared" si="265"/>
        <v>1836</v>
      </c>
    </row>
    <row r="670" spans="1:25" x14ac:dyDescent="0.25">
      <c r="A670" s="88" t="s">
        <v>66</v>
      </c>
      <c r="B670" s="93">
        <v>301157</v>
      </c>
      <c r="C670" s="93">
        <v>247653</v>
      </c>
      <c r="D670" s="93">
        <v>213473</v>
      </c>
      <c r="E670" s="93">
        <v>199602</v>
      </c>
      <c r="F670" s="93">
        <v>186043</v>
      </c>
      <c r="G670" s="93">
        <v>176050</v>
      </c>
      <c r="H670" s="93">
        <v>165465</v>
      </c>
      <c r="I670" s="93">
        <v>158286</v>
      </c>
      <c r="J670" s="93">
        <v>149933</v>
      </c>
      <c r="K670" s="93">
        <v>140620</v>
      </c>
      <c r="L670" s="93">
        <v>127608</v>
      </c>
      <c r="M670" s="93">
        <v>120010</v>
      </c>
      <c r="N670" s="93">
        <v>114424</v>
      </c>
      <c r="O670" s="93">
        <v>101681</v>
      </c>
      <c r="P670" s="93">
        <v>110668</v>
      </c>
      <c r="Q670" s="93">
        <v>114501</v>
      </c>
      <c r="R670" s="93">
        <v>115214</v>
      </c>
      <c r="S670" s="93">
        <v>114782</v>
      </c>
      <c r="T670" s="93">
        <v>119196</v>
      </c>
      <c r="U670" s="149">
        <f t="shared" si="261"/>
        <v>-0.15235386147063007</v>
      </c>
      <c r="V670" s="149">
        <f t="shared" si="262"/>
        <v>7.7059312538403146E-2</v>
      </c>
      <c r="W670" s="149">
        <f t="shared" si="263"/>
        <v>3.8455506961021763E-2</v>
      </c>
      <c r="X670" s="218">
        <f t="shared" si="264"/>
        <v>8.9800383321881894E-2</v>
      </c>
      <c r="Y670" s="219">
        <f t="shared" si="265"/>
        <v>4414</v>
      </c>
    </row>
    <row r="671" spans="1:25" x14ac:dyDescent="0.25">
      <c r="A671" s="92" t="s">
        <v>0</v>
      </c>
      <c r="B671" s="2">
        <v>748344</v>
      </c>
      <c r="C671" s="2">
        <v>783349</v>
      </c>
      <c r="D671" s="2">
        <v>849340</v>
      </c>
      <c r="E671" s="2">
        <v>938258</v>
      </c>
      <c r="F671" s="2">
        <v>1015077</v>
      </c>
      <c r="G671" s="2">
        <v>1064816</v>
      </c>
      <c r="H671" s="2">
        <v>1114277</v>
      </c>
      <c r="I671" s="2">
        <v>1144381</v>
      </c>
      <c r="J671" s="2">
        <v>1165906</v>
      </c>
      <c r="K671" s="2">
        <v>1178480</v>
      </c>
      <c r="L671" s="2">
        <v>1177292</v>
      </c>
      <c r="M671" s="89">
        <v>1188045</v>
      </c>
      <c r="N671" s="2">
        <v>1194459</v>
      </c>
      <c r="O671" s="2">
        <v>1151834</v>
      </c>
      <c r="P671" s="2">
        <v>1204376</v>
      </c>
      <c r="Q671" s="2">
        <v>1214011</v>
      </c>
      <c r="R671" s="2">
        <v>1249419</v>
      </c>
      <c r="S671" s="2">
        <v>1277611</v>
      </c>
      <c r="T671" s="2">
        <v>1327344</v>
      </c>
      <c r="U671" s="150">
        <f t="shared" si="261"/>
        <v>0.1263186477496436</v>
      </c>
      <c r="V671" s="150">
        <f t="shared" si="262"/>
        <v>0.10210100500176025</v>
      </c>
      <c r="W671" s="150">
        <f t="shared" si="263"/>
        <v>3.8926559023051616E-2</v>
      </c>
      <c r="X671" s="220">
        <f t="shared" si="264"/>
        <v>1</v>
      </c>
      <c r="Y671" s="221">
        <f t="shared" si="265"/>
        <v>49733</v>
      </c>
    </row>
    <row r="672" spans="1:25" x14ac:dyDescent="0.25">
      <c r="A672" s="3"/>
      <c r="B672" s="3"/>
      <c r="C672" s="3"/>
      <c r="D672" s="3"/>
      <c r="E672" s="3"/>
      <c r="F672" s="3"/>
      <c r="G672" s="3"/>
      <c r="H672" s="3"/>
      <c r="I672" s="3"/>
      <c r="J672" s="3"/>
      <c r="K672" s="3"/>
      <c r="L672" s="3"/>
      <c r="N672" s="3"/>
      <c r="O672" s="3"/>
      <c r="P672" s="3"/>
      <c r="Q672" s="3"/>
      <c r="R672" s="3"/>
      <c r="S672" s="3"/>
      <c r="T672" s="3"/>
      <c r="U672" s="3"/>
      <c r="V672" s="3"/>
      <c r="W672" s="27"/>
      <c r="X672" s="27"/>
      <c r="Y672" s="27"/>
    </row>
    <row r="673" spans="1:25" ht="15.75" x14ac:dyDescent="0.25">
      <c r="A673" s="160" t="s">
        <v>106</v>
      </c>
      <c r="B673" s="160"/>
      <c r="C673" s="160"/>
      <c r="D673" s="160"/>
      <c r="E673" s="160"/>
      <c r="F673" s="160"/>
      <c r="G673" s="160"/>
      <c r="H673" s="160"/>
      <c r="I673" s="161"/>
      <c r="J673" s="161"/>
      <c r="K673" s="161"/>
      <c r="L673" s="161"/>
      <c r="M673" s="161"/>
      <c r="N673" s="161"/>
      <c r="O673" s="161"/>
      <c r="P673" s="161"/>
      <c r="Q673" s="161"/>
      <c r="R673" s="161"/>
      <c r="S673" s="161"/>
      <c r="T673" s="161"/>
      <c r="U673" s="162"/>
      <c r="V673" s="162"/>
      <c r="W673" s="162"/>
      <c r="X673" s="162"/>
      <c r="Y673" s="162"/>
    </row>
    <row r="674" spans="1:25" ht="25.5" x14ac:dyDescent="0.25">
      <c r="A674" s="120" t="s">
        <v>2</v>
      </c>
      <c r="B674" s="105">
        <v>2007</v>
      </c>
      <c r="C674" s="105">
        <v>2008</v>
      </c>
      <c r="D674" s="105">
        <v>2009</v>
      </c>
      <c r="E674" s="105">
        <v>2010</v>
      </c>
      <c r="F674" s="105">
        <v>2011</v>
      </c>
      <c r="G674" s="105">
        <v>2012</v>
      </c>
      <c r="H674" s="105">
        <v>2013</v>
      </c>
      <c r="I674" s="105">
        <v>2014</v>
      </c>
      <c r="J674" s="105">
        <v>2015</v>
      </c>
      <c r="K674" s="105">
        <v>2016</v>
      </c>
      <c r="L674" s="105">
        <v>2017</v>
      </c>
      <c r="M674" s="132">
        <v>2018</v>
      </c>
      <c r="N674" s="105">
        <v>2019</v>
      </c>
      <c r="O674" s="105">
        <v>2020</v>
      </c>
      <c r="P674" s="105">
        <v>2021</v>
      </c>
      <c r="Q674" s="105">
        <v>2022</v>
      </c>
      <c r="R674" s="105">
        <v>2023</v>
      </c>
      <c r="S674" s="105">
        <v>2024</v>
      </c>
      <c r="T674" s="105">
        <v>2025</v>
      </c>
      <c r="U674" s="106" t="s">
        <v>546</v>
      </c>
      <c r="V674" s="106" t="s">
        <v>547</v>
      </c>
      <c r="W674" s="106" t="s">
        <v>548</v>
      </c>
      <c r="X674" s="106" t="s">
        <v>549</v>
      </c>
      <c r="Y674" s="216" t="s">
        <v>563</v>
      </c>
    </row>
    <row r="675" spans="1:25" x14ac:dyDescent="0.25">
      <c r="A675" s="88" t="s">
        <v>364</v>
      </c>
      <c r="B675" s="93">
        <v>25611</v>
      </c>
      <c r="C675" s="93">
        <v>31352</v>
      </c>
      <c r="D675" s="93">
        <v>37810</v>
      </c>
      <c r="E675" s="93">
        <v>45205</v>
      </c>
      <c r="F675" s="93">
        <v>49677</v>
      </c>
      <c r="G675" s="93">
        <v>50619</v>
      </c>
      <c r="H675" s="93">
        <v>52824</v>
      </c>
      <c r="I675" s="93">
        <v>53618</v>
      </c>
      <c r="J675" s="93">
        <v>53616</v>
      </c>
      <c r="K675" s="93">
        <v>52031</v>
      </c>
      <c r="L675" s="93">
        <v>51536</v>
      </c>
      <c r="M675" s="123">
        <v>52821</v>
      </c>
      <c r="N675" s="123">
        <v>53198</v>
      </c>
      <c r="O675" s="123">
        <v>50004</v>
      </c>
      <c r="P675" s="123">
        <v>50495</v>
      </c>
      <c r="Q675" s="123">
        <v>49107</v>
      </c>
      <c r="R675" s="123">
        <v>50865</v>
      </c>
      <c r="S675" s="123">
        <v>53729</v>
      </c>
      <c r="T675" s="123">
        <v>55423</v>
      </c>
      <c r="U675" s="149">
        <f t="shared" ref="U675:U681" si="266">(T675-K675)/K675</f>
        <v>6.5191904825969135E-2</v>
      </c>
      <c r="V675" s="149">
        <f t="shared" ref="V675:V681" si="267">(T675-P675)/P675</f>
        <v>9.7593821170412917E-2</v>
      </c>
      <c r="W675" s="149">
        <f t="shared" ref="W675:W681" si="268">(T675-S675)/S675</f>
        <v>3.1528597219378736E-2</v>
      </c>
      <c r="X675" s="218">
        <f t="shared" ref="X675:X681" si="269">T675/T$647</f>
        <v>0.3635749381719901</v>
      </c>
      <c r="Y675" s="219">
        <f t="shared" ref="Y675:Y681" si="270">T675-S675</f>
        <v>1694</v>
      </c>
    </row>
    <row r="676" spans="1:25" x14ac:dyDescent="0.25">
      <c r="A676" s="88" t="s">
        <v>310</v>
      </c>
      <c r="B676" s="93">
        <v>0</v>
      </c>
      <c r="C676" s="93">
        <v>0</v>
      </c>
      <c r="D676" s="93">
        <v>0</v>
      </c>
      <c r="E676" s="93">
        <v>0</v>
      </c>
      <c r="F676" s="93">
        <v>0</v>
      </c>
      <c r="G676" s="93">
        <v>0</v>
      </c>
      <c r="H676" s="93">
        <v>0</v>
      </c>
      <c r="I676" s="93">
        <v>0</v>
      </c>
      <c r="J676" s="93">
        <v>0</v>
      </c>
      <c r="K676" s="93">
        <v>0</v>
      </c>
      <c r="L676" s="93">
        <v>0</v>
      </c>
      <c r="M676" s="123">
        <v>0</v>
      </c>
      <c r="N676" s="123">
        <v>455</v>
      </c>
      <c r="O676" s="123">
        <v>1214</v>
      </c>
      <c r="P676" s="123">
        <v>1818</v>
      </c>
      <c r="Q676" s="123">
        <v>2728</v>
      </c>
      <c r="R676" s="123">
        <v>3696</v>
      </c>
      <c r="S676" s="123">
        <v>4695</v>
      </c>
      <c r="T676" s="123">
        <v>5851</v>
      </c>
      <c r="U676" s="149" t="s">
        <v>130</v>
      </c>
      <c r="V676" s="149">
        <f t="shared" si="267"/>
        <v>2.2183718371837182</v>
      </c>
      <c r="W676" s="149">
        <f t="shared" si="268"/>
        <v>0.24621938232161875</v>
      </c>
      <c r="X676" s="218">
        <f t="shared" si="269"/>
        <v>3.8382566141210585E-2</v>
      </c>
      <c r="Y676" s="219">
        <f t="shared" si="270"/>
        <v>1156</v>
      </c>
    </row>
    <row r="677" spans="1:25" x14ac:dyDescent="0.25">
      <c r="A677" s="88" t="s">
        <v>361</v>
      </c>
      <c r="B677" s="93">
        <v>22151</v>
      </c>
      <c r="C677" s="93">
        <v>28100</v>
      </c>
      <c r="D677" s="93">
        <v>35803</v>
      </c>
      <c r="E677" s="93">
        <v>44312</v>
      </c>
      <c r="F677" s="93">
        <v>49446</v>
      </c>
      <c r="G677" s="93">
        <v>51400</v>
      </c>
      <c r="H677" s="93">
        <v>55267</v>
      </c>
      <c r="I677" s="93">
        <v>58991</v>
      </c>
      <c r="J677" s="93">
        <v>60185</v>
      </c>
      <c r="K677" s="93">
        <v>59017</v>
      </c>
      <c r="L677" s="93">
        <v>57691</v>
      </c>
      <c r="M677" s="123">
        <v>57438</v>
      </c>
      <c r="N677" s="123">
        <v>58428</v>
      </c>
      <c r="O677" s="123">
        <v>55662</v>
      </c>
      <c r="P677" s="123">
        <v>57067</v>
      </c>
      <c r="Q677" s="123">
        <v>55688</v>
      </c>
      <c r="R677" s="123">
        <v>57569</v>
      </c>
      <c r="S677" s="123">
        <v>60535</v>
      </c>
      <c r="T677" s="123">
        <v>63808</v>
      </c>
      <c r="U677" s="149">
        <f t="shared" si="266"/>
        <v>8.1179998983343785E-2</v>
      </c>
      <c r="V677" s="149">
        <f t="shared" si="267"/>
        <v>0.11812431002155362</v>
      </c>
      <c r="W677" s="149">
        <f t="shared" si="268"/>
        <v>5.4067894606426033E-2</v>
      </c>
      <c r="X677" s="218">
        <f t="shared" si="269"/>
        <v>0.41858054697288749</v>
      </c>
      <c r="Y677" s="219">
        <f t="shared" si="270"/>
        <v>3273</v>
      </c>
    </row>
    <row r="678" spans="1:25" x14ac:dyDescent="0.25">
      <c r="A678" s="88" t="s">
        <v>362</v>
      </c>
      <c r="B678" s="93">
        <v>1378</v>
      </c>
      <c r="C678" s="93">
        <v>1717</v>
      </c>
      <c r="D678" s="93">
        <v>2022</v>
      </c>
      <c r="E678" s="93">
        <v>2335</v>
      </c>
      <c r="F678" s="93">
        <v>2645</v>
      </c>
      <c r="G678" s="93">
        <v>2747</v>
      </c>
      <c r="H678" s="93">
        <v>3014</v>
      </c>
      <c r="I678" s="93">
        <v>3252</v>
      </c>
      <c r="J678" s="93">
        <v>3489</v>
      </c>
      <c r="K678" s="93">
        <v>3498</v>
      </c>
      <c r="L678" s="93">
        <v>3177</v>
      </c>
      <c r="M678" s="123">
        <v>3012</v>
      </c>
      <c r="N678" s="93">
        <v>3132</v>
      </c>
      <c r="O678" s="93">
        <v>2981</v>
      </c>
      <c r="P678" s="93">
        <v>2948</v>
      </c>
      <c r="Q678" s="93">
        <v>2798</v>
      </c>
      <c r="R678" s="93">
        <v>2692</v>
      </c>
      <c r="S678" s="93">
        <v>2588</v>
      </c>
      <c r="T678" s="93">
        <v>2559</v>
      </c>
      <c r="U678" s="149">
        <f t="shared" si="266"/>
        <v>-0.26843910806174959</v>
      </c>
      <c r="V678" s="149">
        <f t="shared" si="267"/>
        <v>-0.1319538670284939</v>
      </c>
      <c r="W678" s="149">
        <f t="shared" si="268"/>
        <v>-1.1205564142194745E-2</v>
      </c>
      <c r="X678" s="218">
        <f t="shared" si="269"/>
        <v>1.6787042685926831E-2</v>
      </c>
      <c r="Y678" s="219">
        <f t="shared" si="270"/>
        <v>-29</v>
      </c>
    </row>
    <row r="679" spans="1:25" x14ac:dyDescent="0.25">
      <c r="A679" s="88" t="s">
        <v>363</v>
      </c>
      <c r="B679" s="93">
        <v>3152</v>
      </c>
      <c r="C679" s="93">
        <v>3957</v>
      </c>
      <c r="D679" s="93">
        <v>4865</v>
      </c>
      <c r="E679" s="93">
        <v>5769</v>
      </c>
      <c r="F679" s="93">
        <v>6305</v>
      </c>
      <c r="G679" s="93">
        <v>6374</v>
      </c>
      <c r="H679" s="93">
        <v>6785</v>
      </c>
      <c r="I679" s="93">
        <v>6931</v>
      </c>
      <c r="J679" s="93">
        <v>6830</v>
      </c>
      <c r="K679" s="93">
        <v>6541</v>
      </c>
      <c r="L679" s="93">
        <v>6462</v>
      </c>
      <c r="M679" s="123">
        <v>6407</v>
      </c>
      <c r="N679" s="93">
        <v>6287</v>
      </c>
      <c r="O679" s="93">
        <v>5662</v>
      </c>
      <c r="P679" s="93">
        <v>5426</v>
      </c>
      <c r="Q679" s="93">
        <v>5229</v>
      </c>
      <c r="R679" s="93">
        <v>5346</v>
      </c>
      <c r="S679" s="93">
        <v>5781</v>
      </c>
      <c r="T679" s="93">
        <v>5815</v>
      </c>
      <c r="U679" s="149">
        <f t="shared" si="266"/>
        <v>-0.11099220302706009</v>
      </c>
      <c r="V679" s="149">
        <f t="shared" si="267"/>
        <v>7.1691854036122368E-2</v>
      </c>
      <c r="W679" s="149">
        <f t="shared" si="268"/>
        <v>5.8813354090987719E-3</v>
      </c>
      <c r="X679" s="218">
        <f t="shared" si="269"/>
        <v>3.8146406103424978E-2</v>
      </c>
      <c r="Y679" s="219">
        <f t="shared" si="270"/>
        <v>34</v>
      </c>
    </row>
    <row r="680" spans="1:25" x14ac:dyDescent="0.25">
      <c r="A680" s="88" t="s">
        <v>66</v>
      </c>
      <c r="B680" s="93">
        <v>34546</v>
      </c>
      <c r="C680" s="93">
        <v>30765</v>
      </c>
      <c r="D680" s="93">
        <v>29507</v>
      </c>
      <c r="E680" s="93">
        <v>30945</v>
      </c>
      <c r="F680" s="93">
        <v>30501</v>
      </c>
      <c r="G680" s="93">
        <v>28891</v>
      </c>
      <c r="H680" s="93">
        <v>26475</v>
      </c>
      <c r="I680" s="93">
        <v>25218</v>
      </c>
      <c r="J680" s="93">
        <v>22420</v>
      </c>
      <c r="K680" s="93">
        <v>20624</v>
      </c>
      <c r="L680" s="93">
        <v>17911</v>
      </c>
      <c r="M680" s="123">
        <v>17050</v>
      </c>
      <c r="N680" s="93">
        <v>16419</v>
      </c>
      <c r="O680" s="93">
        <v>14815</v>
      </c>
      <c r="P680" s="93">
        <v>16709</v>
      </c>
      <c r="Q680" s="93">
        <v>16197</v>
      </c>
      <c r="R680" s="93">
        <v>16575</v>
      </c>
      <c r="S680" s="93">
        <v>17971</v>
      </c>
      <c r="T680" s="93">
        <v>18983</v>
      </c>
      <c r="U680" s="149">
        <f t="shared" si="266"/>
        <v>-7.956749418153608E-2</v>
      </c>
      <c r="V680" s="149">
        <f t="shared" si="267"/>
        <v>0.13609432042611766</v>
      </c>
      <c r="W680" s="149">
        <f t="shared" si="268"/>
        <v>5.6312948639474711E-2</v>
      </c>
      <c r="X680" s="218">
        <f t="shared" si="269"/>
        <v>0.12452849992455998</v>
      </c>
      <c r="Y680" s="219">
        <f t="shared" si="270"/>
        <v>1012</v>
      </c>
    </row>
    <row r="681" spans="1:25" x14ac:dyDescent="0.25">
      <c r="A681" s="92" t="s">
        <v>0</v>
      </c>
      <c r="B681" s="2">
        <v>86838</v>
      </c>
      <c r="C681" s="2">
        <v>95891</v>
      </c>
      <c r="D681" s="2">
        <v>110007</v>
      </c>
      <c r="E681" s="2">
        <v>128566</v>
      </c>
      <c r="F681" s="2">
        <v>138574</v>
      </c>
      <c r="G681" s="2">
        <v>140031</v>
      </c>
      <c r="H681" s="2">
        <v>144365</v>
      </c>
      <c r="I681" s="2">
        <v>148010</v>
      </c>
      <c r="J681" s="2">
        <v>146540</v>
      </c>
      <c r="K681" s="2">
        <v>141711</v>
      </c>
      <c r="L681" s="2">
        <v>136777</v>
      </c>
      <c r="M681" s="89">
        <v>136728</v>
      </c>
      <c r="N681" s="2">
        <v>137919</v>
      </c>
      <c r="O681" s="2">
        <v>130338</v>
      </c>
      <c r="P681" s="2">
        <v>134463</v>
      </c>
      <c r="Q681" s="2">
        <v>131747</v>
      </c>
      <c r="R681" s="2">
        <v>136743</v>
      </c>
      <c r="S681" s="2">
        <v>145299</v>
      </c>
      <c r="T681" s="2">
        <v>152439</v>
      </c>
      <c r="U681" s="150">
        <f t="shared" si="266"/>
        <v>7.5703368122446393E-2</v>
      </c>
      <c r="V681" s="150">
        <f t="shared" si="267"/>
        <v>0.13368733406215835</v>
      </c>
      <c r="W681" s="150">
        <f t="shared" si="268"/>
        <v>4.9140049140049137E-2</v>
      </c>
      <c r="X681" s="220">
        <f t="shared" si="269"/>
        <v>1</v>
      </c>
      <c r="Y681" s="221">
        <f t="shared" si="270"/>
        <v>7140</v>
      </c>
    </row>
    <row r="682" spans="1:25" x14ac:dyDescent="0.25">
      <c r="A682" s="3"/>
      <c r="B682" s="3"/>
      <c r="C682" s="3"/>
      <c r="D682" s="3"/>
      <c r="E682" s="3"/>
      <c r="F682" s="3"/>
      <c r="G682" s="3"/>
      <c r="H682" s="3"/>
      <c r="I682" s="3"/>
      <c r="J682" s="3"/>
      <c r="K682" s="3"/>
      <c r="L682" s="3"/>
      <c r="N682" s="3"/>
      <c r="O682" s="3"/>
      <c r="P682" s="3"/>
      <c r="Q682" s="3"/>
      <c r="R682" s="3"/>
      <c r="S682" s="3"/>
      <c r="T682" s="3"/>
      <c r="U682" s="3"/>
      <c r="V682" s="27"/>
      <c r="W682" s="27"/>
      <c r="X682" s="27"/>
      <c r="Y682" s="27"/>
    </row>
    <row r="683" spans="1:25" ht="15.75" x14ac:dyDescent="0.25">
      <c r="A683" s="22" t="s">
        <v>107</v>
      </c>
      <c r="B683" s="22"/>
      <c r="C683" s="22"/>
      <c r="D683" s="22"/>
      <c r="E683" s="22"/>
      <c r="F683" s="22"/>
      <c r="G683" s="22"/>
      <c r="H683" s="22"/>
      <c r="I683" s="3"/>
      <c r="J683" s="3"/>
      <c r="K683" s="3"/>
      <c r="L683" s="3"/>
      <c r="N683" s="3"/>
      <c r="O683" s="3"/>
      <c r="P683" s="3"/>
      <c r="Q683" s="3"/>
      <c r="R683" s="3"/>
      <c r="S683" s="3"/>
      <c r="T683" s="3"/>
      <c r="U683" s="27"/>
      <c r="V683" s="27"/>
      <c r="W683" s="27"/>
      <c r="X683" s="27"/>
      <c r="Y683" s="27"/>
    </row>
    <row r="684" spans="1:25" ht="25.5" x14ac:dyDescent="0.25">
      <c r="A684" s="120" t="s">
        <v>3</v>
      </c>
      <c r="B684" s="105">
        <v>2007</v>
      </c>
      <c r="C684" s="105">
        <v>2008</v>
      </c>
      <c r="D684" s="105">
        <v>2009</v>
      </c>
      <c r="E684" s="105">
        <v>2010</v>
      </c>
      <c r="F684" s="105">
        <v>2011</v>
      </c>
      <c r="G684" s="105">
        <v>2012</v>
      </c>
      <c r="H684" s="105">
        <v>2013</v>
      </c>
      <c r="I684" s="105">
        <v>2014</v>
      </c>
      <c r="J684" s="105">
        <v>2015</v>
      </c>
      <c r="K684" s="105">
        <v>2016</v>
      </c>
      <c r="L684" s="105">
        <v>2017</v>
      </c>
      <c r="M684" s="132">
        <v>2018</v>
      </c>
      <c r="N684" s="105">
        <v>2019</v>
      </c>
      <c r="O684" s="105">
        <v>2020</v>
      </c>
      <c r="P684" s="105">
        <v>2021</v>
      </c>
      <c r="Q684" s="105">
        <v>2022</v>
      </c>
      <c r="R684" s="105">
        <v>2023</v>
      </c>
      <c r="S684" s="105">
        <v>2024</v>
      </c>
      <c r="T684" s="105">
        <v>2025</v>
      </c>
      <c r="U684" s="106" t="s">
        <v>546</v>
      </c>
      <c r="V684" s="106" t="s">
        <v>547</v>
      </c>
      <c r="W684" s="106" t="s">
        <v>548</v>
      </c>
      <c r="X684" s="106" t="s">
        <v>549</v>
      </c>
      <c r="Y684" s="216" t="s">
        <v>563</v>
      </c>
    </row>
    <row r="685" spans="1:25" x14ac:dyDescent="0.25">
      <c r="A685" s="88" t="s">
        <v>364</v>
      </c>
      <c r="B685" s="93">
        <v>36538</v>
      </c>
      <c r="C685" s="93">
        <v>42151</v>
      </c>
      <c r="D685" s="93">
        <v>53981</v>
      </c>
      <c r="E685" s="93">
        <v>66823</v>
      </c>
      <c r="F685" s="93">
        <v>80438</v>
      </c>
      <c r="G685" s="93">
        <v>91544</v>
      </c>
      <c r="H685" s="93">
        <v>102839</v>
      </c>
      <c r="I685" s="93">
        <v>110681</v>
      </c>
      <c r="J685" s="93">
        <v>117190</v>
      </c>
      <c r="K685" s="93">
        <v>120529</v>
      </c>
      <c r="L685" s="93">
        <v>119328</v>
      </c>
      <c r="M685" s="123">
        <v>119318</v>
      </c>
      <c r="N685" s="123">
        <v>121377</v>
      </c>
      <c r="O685" s="123">
        <v>115174</v>
      </c>
      <c r="P685" s="123">
        <v>119350</v>
      </c>
      <c r="Q685" s="123">
        <v>123694</v>
      </c>
      <c r="R685" s="123">
        <v>130295</v>
      </c>
      <c r="S685" s="123">
        <v>131630</v>
      </c>
      <c r="T685" s="123">
        <v>135482</v>
      </c>
      <c r="U685" s="149">
        <f t="shared" ref="U685:U691" si="271">(T685-K685)/K685</f>
        <v>0.12406142919961172</v>
      </c>
      <c r="V685" s="149">
        <f t="shared" ref="V685:V691" si="272">(T685-P685)/P685</f>
        <v>0.13516547968160872</v>
      </c>
      <c r="W685" s="149">
        <f t="shared" ref="W685:W691" si="273">(T685-S685)/S685</f>
        <v>2.9263845627896377E-2</v>
      </c>
      <c r="X685" s="218">
        <f t="shared" ref="X685:X691" si="274">T685/T$654</f>
        <v>0.30588091862260797</v>
      </c>
      <c r="Y685" s="219">
        <f t="shared" ref="Y685:Y691" si="275">T685-S685</f>
        <v>3852</v>
      </c>
    </row>
    <row r="686" spans="1:25" x14ac:dyDescent="0.25">
      <c r="A686" s="88" t="s">
        <v>310</v>
      </c>
      <c r="B686" s="93">
        <v>0</v>
      </c>
      <c r="C686" s="93">
        <v>0</v>
      </c>
      <c r="D686" s="93">
        <v>0</v>
      </c>
      <c r="E686" s="93">
        <v>0</v>
      </c>
      <c r="F686" s="93">
        <v>0</v>
      </c>
      <c r="G686" s="93">
        <v>0</v>
      </c>
      <c r="H686" s="93">
        <v>0</v>
      </c>
      <c r="I686" s="93">
        <v>0</v>
      </c>
      <c r="J686" s="93">
        <v>0</v>
      </c>
      <c r="K686" s="93">
        <v>0</v>
      </c>
      <c r="L686" s="93">
        <v>0</v>
      </c>
      <c r="M686" s="123">
        <v>0</v>
      </c>
      <c r="N686" s="123">
        <v>425</v>
      </c>
      <c r="O686" s="123">
        <v>1305</v>
      </c>
      <c r="P686" s="123">
        <v>2194</v>
      </c>
      <c r="Q686" s="123">
        <v>3799</v>
      </c>
      <c r="R686" s="123">
        <v>5512</v>
      </c>
      <c r="S686" s="123">
        <v>6818</v>
      </c>
      <c r="T686" s="123">
        <v>8566</v>
      </c>
      <c r="U686" s="149" t="s">
        <v>130</v>
      </c>
      <c r="V686" s="149">
        <f t="shared" si="272"/>
        <v>2.9042844120328168</v>
      </c>
      <c r="W686" s="149">
        <f t="shared" si="273"/>
        <v>0.25638017013787034</v>
      </c>
      <c r="X686" s="218">
        <f t="shared" si="274"/>
        <v>1.9339660980213311E-2</v>
      </c>
      <c r="Y686" s="219">
        <f t="shared" si="275"/>
        <v>1748</v>
      </c>
    </row>
    <row r="687" spans="1:25" x14ac:dyDescent="0.25">
      <c r="A687" s="88" t="s">
        <v>361</v>
      </c>
      <c r="B687" s="93">
        <v>43717</v>
      </c>
      <c r="C687" s="93">
        <v>52333</v>
      </c>
      <c r="D687" s="93">
        <v>65760</v>
      </c>
      <c r="E687" s="93">
        <v>82113</v>
      </c>
      <c r="F687" s="93">
        <v>98883</v>
      </c>
      <c r="G687" s="93">
        <v>113922</v>
      </c>
      <c r="H687" s="93">
        <v>130390</v>
      </c>
      <c r="I687" s="93">
        <v>144178</v>
      </c>
      <c r="J687" s="93">
        <v>155576</v>
      </c>
      <c r="K687" s="93">
        <v>161885</v>
      </c>
      <c r="L687" s="93">
        <v>163060</v>
      </c>
      <c r="M687" s="123">
        <v>164581</v>
      </c>
      <c r="N687" s="123">
        <v>167968</v>
      </c>
      <c r="O687" s="123">
        <v>161672</v>
      </c>
      <c r="P687" s="123">
        <v>167688</v>
      </c>
      <c r="Q687" s="123">
        <v>174960</v>
      </c>
      <c r="R687" s="123">
        <v>184376</v>
      </c>
      <c r="S687" s="123">
        <v>188849</v>
      </c>
      <c r="T687" s="123">
        <v>195014</v>
      </c>
      <c r="U687" s="149">
        <f t="shared" si="271"/>
        <v>0.2046452728788955</v>
      </c>
      <c r="V687" s="149">
        <f t="shared" si="272"/>
        <v>0.16295739707075044</v>
      </c>
      <c r="W687" s="149">
        <f t="shared" si="273"/>
        <v>3.26451291772792E-2</v>
      </c>
      <c r="X687" s="218">
        <f t="shared" si="274"/>
        <v>0.44028772430484686</v>
      </c>
      <c r="Y687" s="219">
        <f t="shared" si="275"/>
        <v>6165</v>
      </c>
    </row>
    <row r="688" spans="1:25" x14ac:dyDescent="0.25">
      <c r="A688" s="88" t="s">
        <v>362</v>
      </c>
      <c r="B688" s="93">
        <v>5970</v>
      </c>
      <c r="C688" s="93">
        <v>6271</v>
      </c>
      <c r="D688" s="93">
        <v>6967</v>
      </c>
      <c r="E688" s="93">
        <v>7724</v>
      </c>
      <c r="F688" s="93">
        <v>8266</v>
      </c>
      <c r="G688" s="93">
        <v>8709</v>
      </c>
      <c r="H688" s="93">
        <v>9609</v>
      </c>
      <c r="I688" s="93">
        <v>10359</v>
      </c>
      <c r="J688" s="93">
        <v>11184</v>
      </c>
      <c r="K688" s="93">
        <v>11531</v>
      </c>
      <c r="L688" s="93">
        <v>11645</v>
      </c>
      <c r="M688" s="123">
        <v>11567</v>
      </c>
      <c r="N688" s="93">
        <v>11903</v>
      </c>
      <c r="O688" s="93">
        <v>11253</v>
      </c>
      <c r="P688" s="93">
        <v>11795</v>
      </c>
      <c r="Q688" s="93">
        <v>11700</v>
      </c>
      <c r="R688" s="93">
        <v>12086</v>
      </c>
      <c r="S688" s="93">
        <v>12089</v>
      </c>
      <c r="T688" s="93">
        <v>12128</v>
      </c>
      <c r="U688" s="149">
        <f t="shared" si="271"/>
        <v>5.1773480183852222E-2</v>
      </c>
      <c r="V688" s="149">
        <f t="shared" si="272"/>
        <v>2.8232301822806272E-2</v>
      </c>
      <c r="W688" s="149">
        <f t="shared" si="273"/>
        <v>3.2260732897675575E-3</v>
      </c>
      <c r="X688" s="218">
        <f t="shared" si="274"/>
        <v>2.7381672702314619E-2</v>
      </c>
      <c r="Y688" s="219">
        <f t="shared" si="275"/>
        <v>39</v>
      </c>
    </row>
    <row r="689" spans="1:25" x14ac:dyDescent="0.25">
      <c r="A689" s="88" t="s">
        <v>363</v>
      </c>
      <c r="B689" s="93">
        <v>6283</v>
      </c>
      <c r="C689" s="93">
        <v>7356</v>
      </c>
      <c r="D689" s="93">
        <v>9443</v>
      </c>
      <c r="E689" s="93">
        <v>11740</v>
      </c>
      <c r="F689" s="93">
        <v>14230</v>
      </c>
      <c r="G689" s="93">
        <v>15962</v>
      </c>
      <c r="H689" s="93">
        <v>18018</v>
      </c>
      <c r="I689" s="93">
        <v>19349</v>
      </c>
      <c r="J689" s="93">
        <v>20314</v>
      </c>
      <c r="K689" s="93">
        <v>20204</v>
      </c>
      <c r="L689" s="93">
        <v>19716</v>
      </c>
      <c r="M689" s="123">
        <v>19318</v>
      </c>
      <c r="N689" s="93">
        <v>19472</v>
      </c>
      <c r="O689" s="93">
        <v>18580</v>
      </c>
      <c r="P689" s="93">
        <v>18780</v>
      </c>
      <c r="Q689" s="93">
        <v>19568</v>
      </c>
      <c r="R689" s="93">
        <v>20919</v>
      </c>
      <c r="S689" s="93">
        <v>21557</v>
      </c>
      <c r="T689" s="93">
        <v>22464</v>
      </c>
      <c r="U689" s="149">
        <f t="shared" si="271"/>
        <v>0.1118590378142942</v>
      </c>
      <c r="V689" s="149">
        <f t="shared" si="272"/>
        <v>0.19616613418530351</v>
      </c>
      <c r="W689" s="149">
        <f t="shared" si="273"/>
        <v>4.2074500162360251E-2</v>
      </c>
      <c r="X689" s="218">
        <f t="shared" si="274"/>
        <v>5.0717504583179057E-2</v>
      </c>
      <c r="Y689" s="219">
        <f t="shared" si="275"/>
        <v>907</v>
      </c>
    </row>
    <row r="690" spans="1:25" x14ac:dyDescent="0.25">
      <c r="A690" s="88" t="s">
        <v>66</v>
      </c>
      <c r="B690" s="93">
        <v>63616</v>
      </c>
      <c r="C690" s="93">
        <v>54737</v>
      </c>
      <c r="D690" s="93">
        <v>53446</v>
      </c>
      <c r="E690" s="93">
        <v>55901</v>
      </c>
      <c r="F690" s="93">
        <v>58875</v>
      </c>
      <c r="G690" s="93">
        <v>63382</v>
      </c>
      <c r="H690" s="93">
        <v>63723</v>
      </c>
      <c r="I690" s="93">
        <v>66437</v>
      </c>
      <c r="J690" s="93">
        <v>68907</v>
      </c>
      <c r="K690" s="93">
        <v>66839</v>
      </c>
      <c r="L690" s="93">
        <v>60960</v>
      </c>
      <c r="M690" s="123">
        <v>58320</v>
      </c>
      <c r="N690" s="93">
        <v>58311</v>
      </c>
      <c r="O690" s="93">
        <v>53403</v>
      </c>
      <c r="P690" s="93">
        <v>58731</v>
      </c>
      <c r="Q690" s="93">
        <v>63108</v>
      </c>
      <c r="R690" s="93">
        <v>65826</v>
      </c>
      <c r="S690" s="93">
        <v>65329</v>
      </c>
      <c r="T690" s="93">
        <v>69270</v>
      </c>
      <c r="U690" s="149">
        <f t="shared" si="271"/>
        <v>3.637098101407861E-2</v>
      </c>
      <c r="V690" s="149">
        <f t="shared" si="272"/>
        <v>0.17944526740562905</v>
      </c>
      <c r="W690" s="149">
        <f t="shared" si="273"/>
        <v>6.0325429747891443E-2</v>
      </c>
      <c r="X690" s="218">
        <f t="shared" si="274"/>
        <v>0.15639251880683819</v>
      </c>
      <c r="Y690" s="219">
        <f t="shared" si="275"/>
        <v>3941</v>
      </c>
    </row>
    <row r="691" spans="1:25" x14ac:dyDescent="0.25">
      <c r="A691" s="92" t="s">
        <v>0</v>
      </c>
      <c r="B691" s="2">
        <v>156124</v>
      </c>
      <c r="C691" s="2">
        <v>162848</v>
      </c>
      <c r="D691" s="2">
        <v>189597</v>
      </c>
      <c r="E691" s="2">
        <v>224301</v>
      </c>
      <c r="F691" s="2">
        <v>260692</v>
      </c>
      <c r="G691" s="2">
        <v>293519</v>
      </c>
      <c r="H691" s="2">
        <v>324579</v>
      </c>
      <c r="I691" s="2">
        <v>351004</v>
      </c>
      <c r="J691" s="2">
        <v>373171</v>
      </c>
      <c r="K691" s="2">
        <v>380988</v>
      </c>
      <c r="L691" s="2">
        <v>374709</v>
      </c>
      <c r="M691" s="89">
        <v>373104</v>
      </c>
      <c r="N691" s="2">
        <v>379456</v>
      </c>
      <c r="O691" s="2">
        <v>361387</v>
      </c>
      <c r="P691" s="2">
        <v>378538</v>
      </c>
      <c r="Q691" s="2">
        <v>396829</v>
      </c>
      <c r="R691" s="2">
        <v>419014</v>
      </c>
      <c r="S691" s="2">
        <v>426272</v>
      </c>
      <c r="T691" s="2">
        <v>442924</v>
      </c>
      <c r="U691" s="150">
        <f t="shared" si="271"/>
        <v>0.1625668000041996</v>
      </c>
      <c r="V691" s="150">
        <f t="shared" si="272"/>
        <v>0.17009124579302473</v>
      </c>
      <c r="W691" s="150">
        <f t="shared" si="273"/>
        <v>3.9064259439981985E-2</v>
      </c>
      <c r="X691" s="220">
        <f t="shared" si="274"/>
        <v>1</v>
      </c>
      <c r="Y691" s="221">
        <f t="shared" si="275"/>
        <v>16652</v>
      </c>
    </row>
    <row r="692" spans="1:25" x14ac:dyDescent="0.25">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row>
    <row r="693" spans="1:25" ht="15.75" x14ac:dyDescent="0.25">
      <c r="A693" s="22" t="s">
        <v>80</v>
      </c>
      <c r="B693" s="22"/>
      <c r="C693" s="22"/>
      <c r="D693" s="22"/>
      <c r="E693" s="22"/>
      <c r="F693" s="22"/>
      <c r="G693" s="22"/>
      <c r="H693" s="22"/>
      <c r="I693" s="3"/>
      <c r="J693" s="3"/>
      <c r="K693" s="3"/>
      <c r="L693" s="3"/>
      <c r="N693" s="3"/>
      <c r="O693" s="3"/>
      <c r="P693" s="3"/>
      <c r="Q693" s="3"/>
      <c r="R693" s="3"/>
      <c r="S693" s="3"/>
      <c r="T693" s="3"/>
      <c r="U693" s="27"/>
      <c r="V693" s="27"/>
      <c r="W693" s="27"/>
      <c r="X693" s="27"/>
      <c r="Y693" s="27"/>
    </row>
    <row r="694" spans="1:25" ht="25.5" x14ac:dyDescent="0.25">
      <c r="A694" s="120" t="s">
        <v>4</v>
      </c>
      <c r="B694" s="105">
        <v>2007</v>
      </c>
      <c r="C694" s="105">
        <v>2008</v>
      </c>
      <c r="D694" s="105">
        <v>2009</v>
      </c>
      <c r="E694" s="105">
        <v>2010</v>
      </c>
      <c r="F694" s="105">
        <v>2011</v>
      </c>
      <c r="G694" s="105">
        <v>2012</v>
      </c>
      <c r="H694" s="105">
        <v>2013</v>
      </c>
      <c r="I694" s="105">
        <v>2014</v>
      </c>
      <c r="J694" s="105">
        <v>2015</v>
      </c>
      <c r="K694" s="105">
        <v>2016</v>
      </c>
      <c r="L694" s="105">
        <v>2017</v>
      </c>
      <c r="M694" s="132">
        <v>2018</v>
      </c>
      <c r="N694" s="105">
        <v>2019</v>
      </c>
      <c r="O694" s="105">
        <v>2020</v>
      </c>
      <c r="P694" s="105">
        <v>2021</v>
      </c>
      <c r="Q694" s="105">
        <v>2022</v>
      </c>
      <c r="R694" s="105">
        <v>2023</v>
      </c>
      <c r="S694" s="105">
        <v>2024</v>
      </c>
      <c r="T694" s="105">
        <v>2025</v>
      </c>
      <c r="U694" s="106" t="s">
        <v>546</v>
      </c>
      <c r="V694" s="106" t="s">
        <v>547</v>
      </c>
      <c r="W694" s="106" t="s">
        <v>548</v>
      </c>
      <c r="X694" s="106" t="s">
        <v>549</v>
      </c>
      <c r="Y694" s="216" t="s">
        <v>563</v>
      </c>
    </row>
    <row r="695" spans="1:25" x14ac:dyDescent="0.25">
      <c r="A695" s="88" t="s">
        <v>364</v>
      </c>
      <c r="B695" s="11">
        <v>92422</v>
      </c>
      <c r="C695" s="11">
        <v>108967</v>
      </c>
      <c r="D695" s="11">
        <v>125429</v>
      </c>
      <c r="E695" s="11">
        <v>140720</v>
      </c>
      <c r="F695" s="11">
        <v>152912</v>
      </c>
      <c r="G695" s="11">
        <v>156823</v>
      </c>
      <c r="H695" s="11">
        <v>159058</v>
      </c>
      <c r="I695" s="11">
        <v>157575</v>
      </c>
      <c r="J695" s="11">
        <v>156598</v>
      </c>
      <c r="K695" s="11">
        <v>158296</v>
      </c>
      <c r="L695" s="11">
        <v>161560</v>
      </c>
      <c r="M695" s="60">
        <v>165576</v>
      </c>
      <c r="N695" s="60">
        <v>164499</v>
      </c>
      <c r="O695" s="60">
        <v>157909</v>
      </c>
      <c r="P695" s="60">
        <v>164800</v>
      </c>
      <c r="Q695" s="60">
        <v>161546</v>
      </c>
      <c r="R695" s="60">
        <v>162262</v>
      </c>
      <c r="S695" s="60">
        <v>164130</v>
      </c>
      <c r="T695" s="60">
        <v>169308</v>
      </c>
      <c r="U695" s="149">
        <f t="shared" ref="U695:U701" si="276">(T695-K695)/K695</f>
        <v>6.9565876585637038E-2</v>
      </c>
      <c r="V695" s="149">
        <f t="shared" ref="V695:V701" si="277">(T695-P695)/P695</f>
        <v>2.7354368932038835E-2</v>
      </c>
      <c r="W695" s="149">
        <f t="shared" ref="W695:W701" si="278">(T695-S695)/S695</f>
        <v>3.1548163041491502E-2</v>
      </c>
      <c r="X695" s="218">
        <f t="shared" ref="X695:X701" si="279">T695/T$661</f>
        <v>0.23130108568391802</v>
      </c>
      <c r="Y695" s="219">
        <f t="shared" ref="Y695:Y701" si="280">T695-S695</f>
        <v>5178</v>
      </c>
    </row>
    <row r="696" spans="1:25" x14ac:dyDescent="0.25">
      <c r="A696" s="88" t="s">
        <v>310</v>
      </c>
      <c r="B696" s="93">
        <v>0</v>
      </c>
      <c r="C696" s="93">
        <v>0</v>
      </c>
      <c r="D696" s="93">
        <v>0</v>
      </c>
      <c r="E696" s="93">
        <v>0</v>
      </c>
      <c r="F696" s="93">
        <v>0</v>
      </c>
      <c r="G696" s="93">
        <v>0</v>
      </c>
      <c r="H696" s="93">
        <v>0</v>
      </c>
      <c r="I696" s="93">
        <v>0</v>
      </c>
      <c r="J696" s="93">
        <v>0</v>
      </c>
      <c r="K696" s="93">
        <v>0</v>
      </c>
      <c r="L696" s="93">
        <v>0</v>
      </c>
      <c r="M696" s="123">
        <v>0</v>
      </c>
      <c r="N696" s="60">
        <v>697</v>
      </c>
      <c r="O696" s="60">
        <v>2122</v>
      </c>
      <c r="P696" s="60">
        <v>3715</v>
      </c>
      <c r="Q696" s="60">
        <v>6012</v>
      </c>
      <c r="R696" s="60">
        <v>9074</v>
      </c>
      <c r="S696" s="60">
        <v>11865</v>
      </c>
      <c r="T696" s="60">
        <v>15610</v>
      </c>
      <c r="U696" s="149" t="s">
        <v>130</v>
      </c>
      <c r="V696" s="149">
        <f t="shared" si="277"/>
        <v>3.2018842530282638</v>
      </c>
      <c r="W696" s="149">
        <f t="shared" si="278"/>
        <v>0.31563421828908556</v>
      </c>
      <c r="X696" s="218">
        <f t="shared" si="279"/>
        <v>2.132569014769509E-2</v>
      </c>
      <c r="Y696" s="219">
        <f t="shared" si="280"/>
        <v>3745</v>
      </c>
    </row>
    <row r="697" spans="1:25" x14ac:dyDescent="0.25">
      <c r="A697" s="88" t="s">
        <v>361</v>
      </c>
      <c r="B697" s="11">
        <v>133161</v>
      </c>
      <c r="C697" s="11">
        <v>162781</v>
      </c>
      <c r="D697" s="11">
        <v>192808</v>
      </c>
      <c r="E697" s="11">
        <v>222136</v>
      </c>
      <c r="F697" s="11">
        <v>250371</v>
      </c>
      <c r="G697" s="11">
        <v>270867</v>
      </c>
      <c r="H697" s="11">
        <v>287315</v>
      </c>
      <c r="I697" s="11">
        <v>296739</v>
      </c>
      <c r="J697" s="11">
        <v>306391</v>
      </c>
      <c r="K697" s="11">
        <v>318737</v>
      </c>
      <c r="L697" s="11">
        <v>329811</v>
      </c>
      <c r="M697" s="60">
        <v>341187</v>
      </c>
      <c r="N697" s="60">
        <v>344412</v>
      </c>
      <c r="O697" s="60">
        <v>338832</v>
      </c>
      <c r="P697" s="60">
        <v>354920</v>
      </c>
      <c r="Q697" s="60">
        <v>351959</v>
      </c>
      <c r="R697" s="60">
        <v>357221</v>
      </c>
      <c r="S697" s="60">
        <v>365370</v>
      </c>
      <c r="T697" s="60">
        <v>380293</v>
      </c>
      <c r="U697" s="149">
        <f t="shared" si="276"/>
        <v>0.19312473920504994</v>
      </c>
      <c r="V697" s="149">
        <f t="shared" si="277"/>
        <v>7.1489349712611297E-2</v>
      </c>
      <c r="W697" s="149">
        <f t="shared" si="278"/>
        <v>4.0843528477981221E-2</v>
      </c>
      <c r="X697" s="218">
        <f t="shared" si="279"/>
        <v>0.51953944159752785</v>
      </c>
      <c r="Y697" s="219">
        <f t="shared" si="280"/>
        <v>14923</v>
      </c>
    </row>
    <row r="698" spans="1:25" x14ac:dyDescent="0.25">
      <c r="A698" s="88" t="s">
        <v>362</v>
      </c>
      <c r="B698" s="11">
        <v>68716</v>
      </c>
      <c r="C698" s="11">
        <v>81034</v>
      </c>
      <c r="D698" s="11">
        <v>89799</v>
      </c>
      <c r="E698" s="11">
        <v>96858</v>
      </c>
      <c r="F698" s="11">
        <v>101269</v>
      </c>
      <c r="G698" s="11">
        <v>104389</v>
      </c>
      <c r="H698" s="11">
        <v>107761</v>
      </c>
      <c r="I698" s="11">
        <v>108663</v>
      </c>
      <c r="J698" s="11">
        <v>109065</v>
      </c>
      <c r="K698" s="11">
        <v>109985</v>
      </c>
      <c r="L698" s="11">
        <v>109703</v>
      </c>
      <c r="M698" s="60">
        <v>110847</v>
      </c>
      <c r="N698" s="11">
        <v>112379</v>
      </c>
      <c r="O698" s="11">
        <v>113354</v>
      </c>
      <c r="P698" s="11">
        <v>118070</v>
      </c>
      <c r="Q698" s="11">
        <v>116105</v>
      </c>
      <c r="R698" s="11">
        <v>117652</v>
      </c>
      <c r="S698" s="11">
        <v>118028</v>
      </c>
      <c r="T698" s="11">
        <v>119767</v>
      </c>
      <c r="U698" s="149">
        <f t="shared" si="276"/>
        <v>8.8939400827385551E-2</v>
      </c>
      <c r="V698" s="149">
        <f t="shared" si="277"/>
        <v>1.4372829677310071E-2</v>
      </c>
      <c r="W698" s="149">
        <f t="shared" si="278"/>
        <v>1.4733791981563696E-2</v>
      </c>
      <c r="X698" s="218">
        <f t="shared" si="279"/>
        <v>0.16362036719532339</v>
      </c>
      <c r="Y698" s="219">
        <f t="shared" si="280"/>
        <v>1739</v>
      </c>
    </row>
    <row r="699" spans="1:25" x14ac:dyDescent="0.25">
      <c r="A699" s="88" t="s">
        <v>363</v>
      </c>
      <c r="B699" s="11">
        <v>8088</v>
      </c>
      <c r="C699" s="11">
        <v>9677</v>
      </c>
      <c r="D699" s="11">
        <v>11180</v>
      </c>
      <c r="E699" s="11">
        <v>12921</v>
      </c>
      <c r="F699" s="11">
        <v>14592</v>
      </c>
      <c r="G699" s="11">
        <v>15410</v>
      </c>
      <c r="H699" s="11">
        <v>15932</v>
      </c>
      <c r="I699" s="11">
        <v>15759</v>
      </c>
      <c r="J699" s="11">
        <v>15535</v>
      </c>
      <c r="K699" s="11">
        <v>15606</v>
      </c>
      <c r="L699" s="11">
        <v>15995</v>
      </c>
      <c r="M699" s="60">
        <v>15963</v>
      </c>
      <c r="N699" s="11">
        <v>15403</v>
      </c>
      <c r="O699" s="11">
        <v>14429</v>
      </c>
      <c r="P699" s="11">
        <v>14642</v>
      </c>
      <c r="Q699" s="11">
        <v>14617</v>
      </c>
      <c r="R699" s="11">
        <v>14640</v>
      </c>
      <c r="S699" s="11">
        <v>15165</v>
      </c>
      <c r="T699" s="11">
        <v>16060</v>
      </c>
      <c r="U699" s="149">
        <f t="shared" si="276"/>
        <v>2.9091375112136358E-2</v>
      </c>
      <c r="V699" s="149">
        <f t="shared" si="277"/>
        <v>9.6844693347903285E-2</v>
      </c>
      <c r="W699" s="149">
        <f t="shared" si="278"/>
        <v>5.9017474447741511E-2</v>
      </c>
      <c r="X699" s="218">
        <f t="shared" si="279"/>
        <v>2.1940460203201995E-2</v>
      </c>
      <c r="Y699" s="219">
        <f t="shared" si="280"/>
        <v>895</v>
      </c>
    </row>
    <row r="700" spans="1:25" x14ac:dyDescent="0.25">
      <c r="A700" s="88" t="s">
        <v>66</v>
      </c>
      <c r="B700" s="93">
        <v>202995</v>
      </c>
      <c r="C700" s="93">
        <v>162151</v>
      </c>
      <c r="D700" s="93">
        <v>130520</v>
      </c>
      <c r="E700" s="93">
        <v>112756</v>
      </c>
      <c r="F700" s="93">
        <v>96667</v>
      </c>
      <c r="G700" s="93">
        <v>83777</v>
      </c>
      <c r="H700" s="93">
        <v>75267</v>
      </c>
      <c r="I700" s="93">
        <v>66631</v>
      </c>
      <c r="J700" s="93">
        <v>58606</v>
      </c>
      <c r="K700" s="93">
        <v>53157</v>
      </c>
      <c r="L700" s="93">
        <v>48737</v>
      </c>
      <c r="M700" s="123">
        <v>44640</v>
      </c>
      <c r="N700" s="93">
        <v>39694</v>
      </c>
      <c r="O700" s="93">
        <v>33463</v>
      </c>
      <c r="P700" s="93">
        <v>35228</v>
      </c>
      <c r="Q700" s="93">
        <v>35196</v>
      </c>
      <c r="R700" s="93">
        <v>32813</v>
      </c>
      <c r="S700" s="93">
        <v>31482</v>
      </c>
      <c r="T700" s="93">
        <v>30943</v>
      </c>
      <c r="U700" s="149">
        <f t="shared" si="276"/>
        <v>-0.41789416257501366</v>
      </c>
      <c r="V700" s="149">
        <f t="shared" si="277"/>
        <v>-0.12163619847848302</v>
      </c>
      <c r="W700" s="149">
        <f t="shared" si="278"/>
        <v>-1.7120894479385047E-2</v>
      </c>
      <c r="X700" s="218">
        <f t="shared" si="279"/>
        <v>4.2272955172333711E-2</v>
      </c>
      <c r="Y700" s="219">
        <f t="shared" si="280"/>
        <v>-539</v>
      </c>
    </row>
    <row r="701" spans="1:25" x14ac:dyDescent="0.25">
      <c r="A701" s="92" t="s">
        <v>0</v>
      </c>
      <c r="B701" s="2">
        <v>505382</v>
      </c>
      <c r="C701" s="2">
        <v>524610</v>
      </c>
      <c r="D701" s="2">
        <v>549736</v>
      </c>
      <c r="E701" s="2">
        <v>585391</v>
      </c>
      <c r="F701" s="2">
        <v>615811</v>
      </c>
      <c r="G701" s="2">
        <v>631266</v>
      </c>
      <c r="H701" s="2">
        <v>645333</v>
      </c>
      <c r="I701" s="2">
        <v>645367</v>
      </c>
      <c r="J701" s="2">
        <v>646195</v>
      </c>
      <c r="K701" s="2">
        <v>655781</v>
      </c>
      <c r="L701" s="2">
        <v>665806</v>
      </c>
      <c r="M701" s="89">
        <v>678213</v>
      </c>
      <c r="N701" s="2">
        <v>677084</v>
      </c>
      <c r="O701" s="2">
        <v>660109</v>
      </c>
      <c r="P701" s="2">
        <v>691375</v>
      </c>
      <c r="Q701" s="2">
        <v>685435</v>
      </c>
      <c r="R701" s="2">
        <v>693662</v>
      </c>
      <c r="S701" s="2">
        <v>706040</v>
      </c>
      <c r="T701" s="2">
        <v>731981</v>
      </c>
      <c r="U701" s="150">
        <f t="shared" si="276"/>
        <v>0.11619732807141409</v>
      </c>
      <c r="V701" s="150">
        <f t="shared" si="277"/>
        <v>5.873223648526487E-2</v>
      </c>
      <c r="W701" s="150">
        <f t="shared" si="278"/>
        <v>3.6741544388419922E-2</v>
      </c>
      <c r="X701" s="220">
        <f t="shared" si="279"/>
        <v>1</v>
      </c>
      <c r="Y701" s="221">
        <f t="shared" si="280"/>
        <v>25941</v>
      </c>
    </row>
    <row r="702" spans="1:25" x14ac:dyDescent="0.25">
      <c r="A702" s="3"/>
      <c r="B702" s="3"/>
      <c r="C702" s="3"/>
      <c r="D702" s="3"/>
      <c r="E702" s="3"/>
      <c r="F702" s="3"/>
      <c r="G702" s="3"/>
      <c r="H702" s="3"/>
      <c r="I702" s="3"/>
      <c r="J702" s="3"/>
      <c r="K702" s="3"/>
      <c r="L702" s="3"/>
      <c r="N702" s="3"/>
      <c r="O702" s="3"/>
      <c r="P702" s="3"/>
      <c r="Q702" s="3"/>
      <c r="R702" s="3"/>
      <c r="S702" s="3"/>
      <c r="T702" s="3"/>
      <c r="U702" s="3"/>
      <c r="V702" s="3"/>
      <c r="W702" s="3"/>
      <c r="X702" s="27"/>
      <c r="Y702" s="27"/>
    </row>
    <row r="703" spans="1:25" ht="15.75" x14ac:dyDescent="0.25">
      <c r="A703" s="22" t="s">
        <v>620</v>
      </c>
    </row>
    <row r="704" spans="1:25" ht="25.5" x14ac:dyDescent="0.25">
      <c r="A704" s="120" t="s">
        <v>298</v>
      </c>
      <c r="B704" s="105">
        <v>2007</v>
      </c>
      <c r="C704" s="105">
        <v>2008</v>
      </c>
      <c r="D704" s="105">
        <v>2009</v>
      </c>
      <c r="E704" s="105">
        <v>2010</v>
      </c>
      <c r="F704" s="105">
        <v>2011</v>
      </c>
      <c r="G704" s="105">
        <v>2012</v>
      </c>
      <c r="H704" s="105">
        <v>2013</v>
      </c>
      <c r="I704" s="105">
        <v>2014</v>
      </c>
      <c r="J704" s="105">
        <v>2015</v>
      </c>
      <c r="K704" s="105">
        <v>2016</v>
      </c>
      <c r="L704" s="105">
        <v>2017</v>
      </c>
      <c r="M704" s="132">
        <v>2018</v>
      </c>
      <c r="N704" s="105">
        <v>2019</v>
      </c>
      <c r="O704" s="105">
        <v>2020</v>
      </c>
      <c r="P704" s="105">
        <v>2021</v>
      </c>
      <c r="Q704" s="105">
        <v>2022</v>
      </c>
      <c r="R704" s="105">
        <v>2023</v>
      </c>
      <c r="S704" s="105">
        <v>2024</v>
      </c>
      <c r="T704" s="105">
        <v>2025</v>
      </c>
      <c r="U704" s="106" t="s">
        <v>546</v>
      </c>
      <c r="V704" s="106" t="s">
        <v>547</v>
      </c>
      <c r="W704" s="106" t="s">
        <v>548</v>
      </c>
      <c r="X704" s="106" t="s">
        <v>549</v>
      </c>
      <c r="Y704" s="216" t="s">
        <v>563</v>
      </c>
    </row>
    <row r="705" spans="1:25" x14ac:dyDescent="0.25">
      <c r="A705" s="66" t="s">
        <v>288</v>
      </c>
      <c r="B705" s="163">
        <v>607459</v>
      </c>
      <c r="C705" s="163">
        <v>661901</v>
      </c>
      <c r="D705" s="163">
        <v>718732</v>
      </c>
      <c r="E705" s="163">
        <v>808264</v>
      </c>
      <c r="F705" s="163">
        <v>918315</v>
      </c>
      <c r="G705" s="163">
        <v>956917</v>
      </c>
      <c r="H705" s="163">
        <v>1006008</v>
      </c>
      <c r="I705" s="163">
        <v>1002126</v>
      </c>
      <c r="J705" s="163">
        <v>1036885</v>
      </c>
      <c r="K705" s="163">
        <v>1075491</v>
      </c>
      <c r="L705" s="163">
        <v>1063268</v>
      </c>
      <c r="M705" s="163">
        <v>1085649</v>
      </c>
      <c r="N705" s="163">
        <v>1101600</v>
      </c>
      <c r="O705" s="163">
        <v>1094068</v>
      </c>
      <c r="P705" s="163">
        <v>1140622</v>
      </c>
      <c r="Q705" s="163">
        <v>1151742</v>
      </c>
      <c r="R705" s="163">
        <v>1206162</v>
      </c>
      <c r="S705" s="163">
        <v>1237761</v>
      </c>
      <c r="T705" s="163">
        <v>1293754</v>
      </c>
      <c r="U705" s="150">
        <f t="shared" ref="U705:U716" si="281">(T705-K705)/K705</f>
        <v>0.20294265595899919</v>
      </c>
      <c r="V705" s="150">
        <f t="shared" ref="V705:V716" si="282">(T705-P705)/P705</f>
        <v>0.13425306543272003</v>
      </c>
      <c r="W705" s="150">
        <f t="shared" ref="W705:W716" si="283">(T705-S705)/S705</f>
        <v>4.5237327723203428E-2</v>
      </c>
      <c r="X705" s="220">
        <f>T705/T$716</f>
        <v>0.97469382466037435</v>
      </c>
      <c r="Y705" s="221">
        <f t="shared" ref="Y705:Y716" si="284">T705-S705</f>
        <v>55993</v>
      </c>
    </row>
    <row r="706" spans="1:25" ht="15.75" customHeight="1" x14ac:dyDescent="0.25">
      <c r="A706" s="164" t="s">
        <v>2</v>
      </c>
      <c r="B706" s="60">
        <v>51249</v>
      </c>
      <c r="C706" s="60">
        <v>59385</v>
      </c>
      <c r="D706" s="60">
        <v>69847</v>
      </c>
      <c r="E706" s="60">
        <v>83548</v>
      </c>
      <c r="F706" s="60">
        <v>94236</v>
      </c>
      <c r="G706" s="60">
        <v>98091</v>
      </c>
      <c r="H706" s="60">
        <v>114109</v>
      </c>
      <c r="I706" s="60">
        <v>127311</v>
      </c>
      <c r="J706" s="60">
        <v>133753</v>
      </c>
      <c r="K706" s="60">
        <v>130906</v>
      </c>
      <c r="L706" s="60">
        <v>120218</v>
      </c>
      <c r="M706" s="60">
        <v>120251</v>
      </c>
      <c r="N706" s="60">
        <v>125977</v>
      </c>
      <c r="O706" s="60">
        <v>118139</v>
      </c>
      <c r="P706" s="60">
        <v>117417</v>
      </c>
      <c r="Q706" s="60">
        <v>114862</v>
      </c>
      <c r="R706" s="60">
        <v>121249</v>
      </c>
      <c r="S706" s="60">
        <v>126701</v>
      </c>
      <c r="T706" s="60">
        <v>131182</v>
      </c>
      <c r="U706" s="149">
        <f t="shared" si="281"/>
        <v>2.1083831146013168E-3</v>
      </c>
      <c r="V706" s="149">
        <f t="shared" si="282"/>
        <v>0.11723174668063398</v>
      </c>
      <c r="W706" s="149">
        <f t="shared" si="283"/>
        <v>3.5366729544360341E-2</v>
      </c>
      <c r="X706" s="218">
        <f t="shared" ref="X706:X716" si="285">T706/T$716</f>
        <v>9.8830446365071906E-2</v>
      </c>
      <c r="Y706" s="219">
        <f t="shared" si="284"/>
        <v>4481</v>
      </c>
    </row>
    <row r="707" spans="1:25" x14ac:dyDescent="0.25">
      <c r="A707" s="164" t="s">
        <v>3</v>
      </c>
      <c r="B707" s="60">
        <v>132473</v>
      </c>
      <c r="C707" s="60">
        <v>139209</v>
      </c>
      <c r="D707" s="60">
        <v>159600</v>
      </c>
      <c r="E707" s="60">
        <v>196132</v>
      </c>
      <c r="F707" s="60">
        <v>230481</v>
      </c>
      <c r="G707" s="60">
        <v>262305</v>
      </c>
      <c r="H707" s="60">
        <v>294847</v>
      </c>
      <c r="I707" s="60">
        <v>306148</v>
      </c>
      <c r="J707" s="60">
        <v>328664</v>
      </c>
      <c r="K707" s="60">
        <v>332411</v>
      </c>
      <c r="L707" s="60">
        <v>320670</v>
      </c>
      <c r="M707" s="60">
        <v>329624</v>
      </c>
      <c r="N707" s="60">
        <v>334035</v>
      </c>
      <c r="O707" s="60">
        <v>341729</v>
      </c>
      <c r="P707" s="60">
        <v>358034</v>
      </c>
      <c r="Q707" s="60">
        <v>382760</v>
      </c>
      <c r="R707" s="60">
        <v>404211</v>
      </c>
      <c r="S707" s="60">
        <v>413122</v>
      </c>
      <c r="T707" s="60">
        <v>438220</v>
      </c>
      <c r="U707" s="149">
        <f t="shared" si="281"/>
        <v>0.31830775756518287</v>
      </c>
      <c r="V707" s="149">
        <f t="shared" si="282"/>
        <v>0.22396197009222588</v>
      </c>
      <c r="W707" s="149">
        <f t="shared" si="283"/>
        <v>6.075202966678124E-2</v>
      </c>
      <c r="X707" s="218">
        <f t="shared" si="285"/>
        <v>0.33014802492797646</v>
      </c>
      <c r="Y707" s="219">
        <f t="shared" si="284"/>
        <v>25098</v>
      </c>
    </row>
    <row r="708" spans="1:25" x14ac:dyDescent="0.25">
      <c r="A708" s="164" t="s">
        <v>4</v>
      </c>
      <c r="B708" s="60">
        <v>423737</v>
      </c>
      <c r="C708" s="60">
        <v>463307</v>
      </c>
      <c r="D708" s="60">
        <v>489285</v>
      </c>
      <c r="E708" s="60">
        <v>528584</v>
      </c>
      <c r="F708" s="60">
        <v>593598</v>
      </c>
      <c r="G708" s="60">
        <v>596521</v>
      </c>
      <c r="H708" s="60">
        <v>597052</v>
      </c>
      <c r="I708" s="60">
        <v>568667</v>
      </c>
      <c r="J708" s="60">
        <v>574468</v>
      </c>
      <c r="K708" s="60">
        <v>612174</v>
      </c>
      <c r="L708" s="60">
        <v>622380</v>
      </c>
      <c r="M708" s="60">
        <v>635774</v>
      </c>
      <c r="N708" s="60">
        <v>641588</v>
      </c>
      <c r="O708" s="60">
        <v>634200</v>
      </c>
      <c r="P708" s="60">
        <v>665171</v>
      </c>
      <c r="Q708" s="60">
        <v>654120</v>
      </c>
      <c r="R708" s="60">
        <v>680702</v>
      </c>
      <c r="S708" s="60">
        <v>697938</v>
      </c>
      <c r="T708" s="60">
        <v>724352</v>
      </c>
      <c r="U708" s="149">
        <f t="shared" si="281"/>
        <v>0.18324528647083999</v>
      </c>
      <c r="V708" s="149">
        <f t="shared" si="282"/>
        <v>8.8971106677831716E-2</v>
      </c>
      <c r="W708" s="149">
        <f t="shared" si="283"/>
        <v>3.7845768535314024E-2</v>
      </c>
      <c r="X708" s="218">
        <f t="shared" si="285"/>
        <v>0.54571535336732602</v>
      </c>
      <c r="Y708" s="219">
        <f t="shared" si="284"/>
        <v>26414</v>
      </c>
    </row>
    <row r="709" spans="1:25" x14ac:dyDescent="0.25">
      <c r="A709" s="66" t="s">
        <v>347</v>
      </c>
      <c r="B709" s="163">
        <v>0</v>
      </c>
      <c r="C709" s="163">
        <v>0</v>
      </c>
      <c r="D709" s="163">
        <v>0</v>
      </c>
      <c r="E709" s="163">
        <v>0</v>
      </c>
      <c r="F709" s="163">
        <v>0</v>
      </c>
      <c r="G709" s="163">
        <v>0</v>
      </c>
      <c r="H709" s="163">
        <v>0</v>
      </c>
      <c r="I709" s="163">
        <v>0</v>
      </c>
      <c r="J709" s="163">
        <v>0</v>
      </c>
      <c r="K709" s="163">
        <v>0</v>
      </c>
      <c r="L709" s="163">
        <v>528</v>
      </c>
      <c r="M709" s="163">
        <v>1736</v>
      </c>
      <c r="N709" s="163">
        <v>3644</v>
      </c>
      <c r="O709" s="163">
        <v>6875</v>
      </c>
      <c r="P709" s="163">
        <v>11615</v>
      </c>
      <c r="Q709" s="163">
        <v>14069</v>
      </c>
      <c r="R709" s="163">
        <v>11447</v>
      </c>
      <c r="S709" s="163">
        <v>15041</v>
      </c>
      <c r="T709" s="163">
        <v>18476</v>
      </c>
      <c r="U709" s="150" t="s">
        <v>130</v>
      </c>
      <c r="V709" s="150">
        <f t="shared" si="282"/>
        <v>0.59070167886353853</v>
      </c>
      <c r="W709" s="150">
        <f t="shared" si="283"/>
        <v>0.22837577288744099</v>
      </c>
      <c r="X709" s="220">
        <f t="shared" si="285"/>
        <v>1.391952651309683E-2</v>
      </c>
      <c r="Y709" s="221">
        <f t="shared" si="284"/>
        <v>3435</v>
      </c>
    </row>
    <row r="710" spans="1:25" x14ac:dyDescent="0.25">
      <c r="A710" s="164" t="s">
        <v>2</v>
      </c>
      <c r="B710" s="60">
        <v>0</v>
      </c>
      <c r="C710" s="60">
        <v>0</v>
      </c>
      <c r="D710" s="60">
        <v>0</v>
      </c>
      <c r="E710" s="60">
        <v>0</v>
      </c>
      <c r="F710" s="60">
        <v>0</v>
      </c>
      <c r="G710" s="60">
        <v>0</v>
      </c>
      <c r="H710" s="60">
        <v>0</v>
      </c>
      <c r="I710" s="60">
        <v>0</v>
      </c>
      <c r="J710" s="60">
        <v>0</v>
      </c>
      <c r="K710" s="60">
        <v>0</v>
      </c>
      <c r="L710" s="60">
        <v>0</v>
      </c>
      <c r="M710" s="60">
        <v>209</v>
      </c>
      <c r="N710" s="60">
        <v>1074</v>
      </c>
      <c r="O710" s="60">
        <v>3159</v>
      </c>
      <c r="P710" s="60">
        <v>6940</v>
      </c>
      <c r="Q710" s="60">
        <v>8435</v>
      </c>
      <c r="R710" s="60">
        <v>11447</v>
      </c>
      <c r="S710" s="60">
        <v>15041</v>
      </c>
      <c r="T710" s="60">
        <v>18476</v>
      </c>
      <c r="U710" s="149" t="s">
        <v>130</v>
      </c>
      <c r="V710" s="149">
        <f t="shared" si="282"/>
        <v>1.6622478386167148</v>
      </c>
      <c r="W710" s="149">
        <f t="shared" si="283"/>
        <v>0.22837577288744099</v>
      </c>
      <c r="X710" s="218">
        <f t="shared" si="285"/>
        <v>1.391952651309683E-2</v>
      </c>
      <c r="Y710" s="219">
        <f t="shared" si="284"/>
        <v>3435</v>
      </c>
    </row>
    <row r="711" spans="1:25" x14ac:dyDescent="0.25">
      <c r="A711" s="164" t="s">
        <v>4</v>
      </c>
      <c r="B711" s="60">
        <v>0</v>
      </c>
      <c r="C711" s="60">
        <v>0</v>
      </c>
      <c r="D711" s="60">
        <v>0</v>
      </c>
      <c r="E711" s="60">
        <v>0</v>
      </c>
      <c r="F711" s="60">
        <v>0</v>
      </c>
      <c r="G711" s="60">
        <v>0</v>
      </c>
      <c r="H711" s="60">
        <v>0</v>
      </c>
      <c r="I711" s="60">
        <v>0</v>
      </c>
      <c r="J711" s="60">
        <v>0</v>
      </c>
      <c r="K711" s="60">
        <v>0</v>
      </c>
      <c r="L711" s="60">
        <v>528</v>
      </c>
      <c r="M711" s="60">
        <v>1527</v>
      </c>
      <c r="N711" s="60">
        <v>2570</v>
      </c>
      <c r="O711" s="60">
        <v>3716</v>
      </c>
      <c r="P711" s="60">
        <v>4675</v>
      </c>
      <c r="Q711" s="60">
        <v>5634</v>
      </c>
      <c r="R711" s="60">
        <v>0</v>
      </c>
      <c r="S711" s="60">
        <v>0</v>
      </c>
      <c r="T711" s="60">
        <v>0</v>
      </c>
      <c r="U711" s="149" t="s">
        <v>130</v>
      </c>
      <c r="V711" s="149">
        <f t="shared" si="282"/>
        <v>-1</v>
      </c>
      <c r="W711" s="149" t="s">
        <v>130</v>
      </c>
      <c r="X711" s="218">
        <f t="shared" si="285"/>
        <v>0</v>
      </c>
      <c r="Y711" s="219">
        <f t="shared" si="284"/>
        <v>0</v>
      </c>
    </row>
    <row r="712" spans="1:25" x14ac:dyDescent="0.25">
      <c r="A712" s="66" t="s">
        <v>289</v>
      </c>
      <c r="B712" s="163">
        <v>140885</v>
      </c>
      <c r="C712" s="163">
        <v>121448</v>
      </c>
      <c r="D712" s="163">
        <v>130608</v>
      </c>
      <c r="E712" s="163">
        <v>129994</v>
      </c>
      <c r="F712" s="163">
        <v>96762</v>
      </c>
      <c r="G712" s="163">
        <v>107899</v>
      </c>
      <c r="H712" s="163">
        <v>108269</v>
      </c>
      <c r="I712" s="163">
        <v>142255</v>
      </c>
      <c r="J712" s="163">
        <v>129021</v>
      </c>
      <c r="K712" s="163">
        <v>102989</v>
      </c>
      <c r="L712" s="163">
        <v>113496</v>
      </c>
      <c r="M712" s="163">
        <v>100660</v>
      </c>
      <c r="N712" s="163">
        <v>89215</v>
      </c>
      <c r="O712" s="163">
        <v>50891</v>
      </c>
      <c r="P712" s="163">
        <v>52139</v>
      </c>
      <c r="Q712" s="163">
        <v>48200</v>
      </c>
      <c r="R712" s="163">
        <v>31810</v>
      </c>
      <c r="S712" s="163">
        <v>24809</v>
      </c>
      <c r="T712" s="163">
        <v>15114</v>
      </c>
      <c r="U712" s="150">
        <f t="shared" si="281"/>
        <v>-0.85324646321451802</v>
      </c>
      <c r="V712" s="150">
        <f t="shared" si="282"/>
        <v>-0.71012102265099064</v>
      </c>
      <c r="W712" s="150">
        <f t="shared" si="283"/>
        <v>-0.39078560199927448</v>
      </c>
      <c r="X712" s="220">
        <f t="shared" si="285"/>
        <v>1.1386648826528767E-2</v>
      </c>
      <c r="Y712" s="221">
        <f t="shared" si="284"/>
        <v>-9695</v>
      </c>
    </row>
    <row r="713" spans="1:25" x14ac:dyDescent="0.25">
      <c r="A713" s="164" t="s">
        <v>2</v>
      </c>
      <c r="B713" s="60">
        <v>35589</v>
      </c>
      <c r="C713" s="60">
        <v>36506</v>
      </c>
      <c r="D713" s="60">
        <v>40160</v>
      </c>
      <c r="E713" s="60">
        <v>45018</v>
      </c>
      <c r="F713" s="60">
        <v>44338</v>
      </c>
      <c r="G713" s="60">
        <v>41940</v>
      </c>
      <c r="H713" s="60">
        <v>30256</v>
      </c>
      <c r="I713" s="60">
        <v>20699</v>
      </c>
      <c r="J713" s="60">
        <v>12787</v>
      </c>
      <c r="K713" s="60">
        <v>10805</v>
      </c>
      <c r="L713" s="60">
        <v>16559</v>
      </c>
      <c r="M713" s="60">
        <v>16268</v>
      </c>
      <c r="N713" s="60">
        <v>10868</v>
      </c>
      <c r="O713" s="60">
        <v>9040</v>
      </c>
      <c r="P713" s="60">
        <v>10106</v>
      </c>
      <c r="Q713" s="60">
        <v>8450</v>
      </c>
      <c r="R713" s="60">
        <v>4047</v>
      </c>
      <c r="S713" s="60">
        <v>3557</v>
      </c>
      <c r="T713" s="60">
        <v>2781</v>
      </c>
      <c r="U713" s="149">
        <f t="shared" si="281"/>
        <v>-0.74261915779731602</v>
      </c>
      <c r="V713" s="149">
        <f t="shared" si="282"/>
        <v>-0.72481694043142686</v>
      </c>
      <c r="W713" s="149">
        <f t="shared" si="283"/>
        <v>-0.21816137194264829</v>
      </c>
      <c r="X713" s="218">
        <f t="shared" si="285"/>
        <v>2.095161465302137E-3</v>
      </c>
      <c r="Y713" s="219">
        <f t="shared" si="284"/>
        <v>-776</v>
      </c>
    </row>
    <row r="714" spans="1:25" x14ac:dyDescent="0.25">
      <c r="A714" s="164" t="s">
        <v>3</v>
      </c>
      <c r="B714" s="60">
        <v>23651</v>
      </c>
      <c r="C714" s="60">
        <v>23639</v>
      </c>
      <c r="D714" s="60">
        <v>29997</v>
      </c>
      <c r="E714" s="60">
        <v>28169</v>
      </c>
      <c r="F714" s="60">
        <v>30211</v>
      </c>
      <c r="G714" s="60">
        <v>31214</v>
      </c>
      <c r="H714" s="60">
        <v>29732</v>
      </c>
      <c r="I714" s="60">
        <v>44856</v>
      </c>
      <c r="J714" s="60">
        <v>44507</v>
      </c>
      <c r="K714" s="60">
        <v>48577</v>
      </c>
      <c r="L714" s="60">
        <v>54039</v>
      </c>
      <c r="M714" s="60">
        <v>43480</v>
      </c>
      <c r="N714" s="60">
        <v>45421</v>
      </c>
      <c r="O714" s="60">
        <v>19658</v>
      </c>
      <c r="P714" s="60">
        <v>20504</v>
      </c>
      <c r="Q714" s="60">
        <v>14069</v>
      </c>
      <c r="R714" s="60">
        <v>14803</v>
      </c>
      <c r="S714" s="60">
        <v>13150</v>
      </c>
      <c r="T714" s="60">
        <v>4704</v>
      </c>
      <c r="U714" s="149">
        <f t="shared" si="281"/>
        <v>-0.90316404882969303</v>
      </c>
      <c r="V714" s="149">
        <f t="shared" si="282"/>
        <v>-0.77058134998049166</v>
      </c>
      <c r="W714" s="149">
        <f t="shared" si="283"/>
        <v>-0.64228136882129283</v>
      </c>
      <c r="X714" s="218">
        <f t="shared" si="285"/>
        <v>3.5439192854301521E-3</v>
      </c>
      <c r="Y714" s="219">
        <f t="shared" si="284"/>
        <v>-8446</v>
      </c>
    </row>
    <row r="715" spans="1:25" x14ac:dyDescent="0.25">
      <c r="A715" s="164" t="s">
        <v>4</v>
      </c>
      <c r="B715" s="60">
        <v>81645</v>
      </c>
      <c r="C715" s="60">
        <v>61303</v>
      </c>
      <c r="D715" s="60">
        <v>60451</v>
      </c>
      <c r="E715" s="60">
        <v>56807</v>
      </c>
      <c r="F715" s="60">
        <v>22213</v>
      </c>
      <c r="G715" s="60">
        <v>34745</v>
      </c>
      <c r="H715" s="60">
        <v>48281</v>
      </c>
      <c r="I715" s="60">
        <v>76700</v>
      </c>
      <c r="J715" s="60">
        <v>71727</v>
      </c>
      <c r="K715" s="60">
        <v>43607</v>
      </c>
      <c r="L715" s="60">
        <v>42898</v>
      </c>
      <c r="M715" s="60">
        <v>40912</v>
      </c>
      <c r="N715" s="60">
        <v>32926</v>
      </c>
      <c r="O715" s="60">
        <v>22193</v>
      </c>
      <c r="P715" s="60">
        <v>21529</v>
      </c>
      <c r="Q715" s="60">
        <v>25681</v>
      </c>
      <c r="R715" s="60">
        <v>12960</v>
      </c>
      <c r="S715" s="60">
        <v>8102</v>
      </c>
      <c r="T715" s="60">
        <v>7629</v>
      </c>
      <c r="U715" s="149">
        <f t="shared" si="281"/>
        <v>-0.82505102391817831</v>
      </c>
      <c r="V715" s="149">
        <f t="shared" si="282"/>
        <v>-0.64564076362116218</v>
      </c>
      <c r="W715" s="149">
        <f t="shared" si="283"/>
        <v>-5.8380646753887926E-2</v>
      </c>
      <c r="X715" s="218">
        <f t="shared" si="285"/>
        <v>5.7475680757964774E-3</v>
      </c>
      <c r="Y715" s="219">
        <f t="shared" si="284"/>
        <v>-473</v>
      </c>
    </row>
    <row r="716" spans="1:25" x14ac:dyDescent="0.25">
      <c r="A716" s="73" t="s">
        <v>0</v>
      </c>
      <c r="B716" s="163">
        <v>748344</v>
      </c>
      <c r="C716" s="163">
        <v>783349</v>
      </c>
      <c r="D716" s="163">
        <v>849340</v>
      </c>
      <c r="E716" s="163">
        <v>938258</v>
      </c>
      <c r="F716" s="163">
        <v>1015077</v>
      </c>
      <c r="G716" s="163">
        <v>1064816</v>
      </c>
      <c r="H716" s="163">
        <v>1114277</v>
      </c>
      <c r="I716" s="163">
        <v>1144381</v>
      </c>
      <c r="J716" s="163">
        <v>1165906</v>
      </c>
      <c r="K716" s="163">
        <v>1178480</v>
      </c>
      <c r="L716" s="163">
        <v>1177292</v>
      </c>
      <c r="M716" s="163">
        <v>1188045</v>
      </c>
      <c r="N716" s="163">
        <v>1194459</v>
      </c>
      <c r="O716" s="163">
        <v>1151834</v>
      </c>
      <c r="P716" s="163">
        <v>1204376</v>
      </c>
      <c r="Q716" s="163">
        <v>1214011</v>
      </c>
      <c r="R716" s="163">
        <v>1249419</v>
      </c>
      <c r="S716" s="163">
        <v>1277611</v>
      </c>
      <c r="T716" s="163">
        <v>1327344</v>
      </c>
      <c r="U716" s="150">
        <f t="shared" si="281"/>
        <v>0.1263186477496436</v>
      </c>
      <c r="V716" s="150">
        <f t="shared" si="282"/>
        <v>0.10210100500176025</v>
      </c>
      <c r="W716" s="150">
        <f t="shared" si="283"/>
        <v>3.8926559023051616E-2</v>
      </c>
      <c r="X716" s="220">
        <f t="shared" si="285"/>
        <v>1</v>
      </c>
      <c r="Y716" s="221">
        <f t="shared" si="284"/>
        <v>49733</v>
      </c>
    </row>
    <row r="717" spans="1:25" s="146" customFormat="1" ht="17.25" customHeight="1" x14ac:dyDescent="0.25">
      <c r="A717" s="179" t="s">
        <v>297</v>
      </c>
      <c r="B717" s="158">
        <f t="shared" ref="B717:T717" si="286">B705/B716</f>
        <v>0.81173765006467613</v>
      </c>
      <c r="C717" s="158">
        <f t="shared" si="286"/>
        <v>0.8449631007379852</v>
      </c>
      <c r="D717" s="158">
        <f t="shared" si="286"/>
        <v>0.84622412696917604</v>
      </c>
      <c r="E717" s="158">
        <f t="shared" si="286"/>
        <v>0.86145175420833076</v>
      </c>
      <c r="F717" s="158">
        <f t="shared" si="286"/>
        <v>0.90467521183122068</v>
      </c>
      <c r="G717" s="158">
        <f t="shared" si="286"/>
        <v>0.89866887800333584</v>
      </c>
      <c r="H717" s="158">
        <f t="shared" si="286"/>
        <v>0.9028347529384525</v>
      </c>
      <c r="I717" s="158">
        <f t="shared" si="286"/>
        <v>0.87569262334834286</v>
      </c>
      <c r="J717" s="158">
        <f t="shared" si="286"/>
        <v>0.88933842007846253</v>
      </c>
      <c r="K717" s="158">
        <f t="shared" si="286"/>
        <v>0.91260861448645714</v>
      </c>
      <c r="L717" s="158">
        <f t="shared" si="286"/>
        <v>0.90314722260917424</v>
      </c>
      <c r="M717" s="158">
        <f t="shared" si="286"/>
        <v>0.913811345529841</v>
      </c>
      <c r="N717" s="158">
        <f t="shared" si="286"/>
        <v>0.92225852875653325</v>
      </c>
      <c r="O717" s="158">
        <f t="shared" si="286"/>
        <v>0.94984867611131463</v>
      </c>
      <c r="P717" s="158">
        <f t="shared" si="286"/>
        <v>0.94706470404591259</v>
      </c>
      <c r="Q717" s="158">
        <f t="shared" si="286"/>
        <v>0.9487080430078475</v>
      </c>
      <c r="R717" s="158">
        <f t="shared" si="286"/>
        <v>0.96537830783748291</v>
      </c>
      <c r="S717" s="158">
        <f t="shared" si="286"/>
        <v>0.96880897237108943</v>
      </c>
      <c r="T717" s="158">
        <f t="shared" si="286"/>
        <v>0.97469382466037435</v>
      </c>
      <c r="U717" s="180"/>
      <c r="V717" s="180"/>
      <c r="W717" s="180"/>
      <c r="X717" s="180"/>
      <c r="Y717" s="180"/>
    </row>
    <row r="718" spans="1:25" x14ac:dyDescent="0.25">
      <c r="A718" s="146" t="s">
        <v>688</v>
      </c>
      <c r="B718" s="3"/>
      <c r="C718" s="3"/>
      <c r="D718" s="3"/>
      <c r="E718" s="3"/>
      <c r="F718" s="3"/>
      <c r="G718" s="3"/>
      <c r="H718" s="3"/>
      <c r="I718" s="3"/>
      <c r="J718" s="3"/>
      <c r="K718" s="3"/>
      <c r="L718" s="3"/>
      <c r="N718" s="3"/>
      <c r="O718" s="3"/>
      <c r="P718" s="3"/>
      <c r="Q718" s="3"/>
      <c r="R718" s="3"/>
      <c r="S718" s="3"/>
      <c r="T718" s="3"/>
      <c r="U718" s="3"/>
      <c r="V718" s="3"/>
      <c r="W718" s="3"/>
      <c r="X718" s="27"/>
      <c r="Y718" s="27"/>
    </row>
    <row r="719" spans="1:25" x14ac:dyDescent="0.25">
      <c r="S719" s="188"/>
      <c r="T719" s="188"/>
      <c r="U719" s="15"/>
      <c r="V719" s="15"/>
      <c r="W719" s="15"/>
    </row>
    <row r="720" spans="1:25" ht="18" x14ac:dyDescent="0.25">
      <c r="A720" s="22" t="s">
        <v>621</v>
      </c>
    </row>
    <row r="721" spans="1:25" ht="25.5" x14ac:dyDescent="0.25">
      <c r="A721" s="120" t="s">
        <v>298</v>
      </c>
      <c r="B721" s="105">
        <v>2007</v>
      </c>
      <c r="C721" s="105">
        <v>2008</v>
      </c>
      <c r="D721" s="105">
        <v>2009</v>
      </c>
      <c r="E721" s="105">
        <v>2010</v>
      </c>
      <c r="F721" s="105">
        <v>2011</v>
      </c>
      <c r="G721" s="105">
        <v>2012</v>
      </c>
      <c r="H721" s="105">
        <v>2013</v>
      </c>
      <c r="I721" s="105">
        <v>2014</v>
      </c>
      <c r="J721" s="105">
        <v>2015</v>
      </c>
      <c r="K721" s="105">
        <v>2016</v>
      </c>
      <c r="L721" s="105">
        <v>2017</v>
      </c>
      <c r="M721" s="132">
        <v>2018</v>
      </c>
      <c r="N721" s="105">
        <v>2019</v>
      </c>
      <c r="O721" s="105">
        <v>2020</v>
      </c>
      <c r="P721" s="105">
        <v>2021</v>
      </c>
      <c r="Q721" s="105">
        <v>2022</v>
      </c>
      <c r="R721" s="105">
        <v>2023</v>
      </c>
      <c r="S721" s="105">
        <v>2024</v>
      </c>
      <c r="T721" s="105">
        <v>2025</v>
      </c>
      <c r="U721" s="106" t="s">
        <v>546</v>
      </c>
      <c r="V721" s="106" t="s">
        <v>547</v>
      </c>
      <c r="W721" s="106" t="s">
        <v>548</v>
      </c>
      <c r="X721" s="106" t="s">
        <v>549</v>
      </c>
      <c r="Y721" s="216" t="s">
        <v>563</v>
      </c>
    </row>
    <row r="722" spans="1:25" x14ac:dyDescent="0.25">
      <c r="A722" s="66" t="s">
        <v>288</v>
      </c>
      <c r="B722" s="163">
        <v>194237</v>
      </c>
      <c r="C722" s="163">
        <v>207978</v>
      </c>
      <c r="D722" s="163">
        <v>226870</v>
      </c>
      <c r="E722" s="163">
        <v>258587</v>
      </c>
      <c r="F722" s="163">
        <v>285261</v>
      </c>
      <c r="G722" s="163">
        <v>287955</v>
      </c>
      <c r="H722" s="163">
        <v>308639</v>
      </c>
      <c r="I722" s="163">
        <v>303783</v>
      </c>
      <c r="J722" s="163">
        <v>305098</v>
      </c>
      <c r="K722" s="163">
        <v>307727</v>
      </c>
      <c r="L722" s="163">
        <v>298912</v>
      </c>
      <c r="M722" s="163">
        <v>301175</v>
      </c>
      <c r="N722" s="163">
        <v>301471</v>
      </c>
      <c r="O722" s="163">
        <v>286660</v>
      </c>
      <c r="P722" s="163">
        <v>294193</v>
      </c>
      <c r="Q722" s="163">
        <v>302446</v>
      </c>
      <c r="R722" s="163">
        <v>333071</v>
      </c>
      <c r="S722" s="163">
        <v>339029</v>
      </c>
      <c r="T722" s="163">
        <v>352320</v>
      </c>
      <c r="U722" s="150">
        <f t="shared" ref="U722:U733" si="287">(T722-K722)/K722</f>
        <v>0.1449109112947515</v>
      </c>
      <c r="V722" s="150">
        <f t="shared" ref="V722:V733" si="288">(T722-P722)/P722</f>
        <v>0.1975811797017604</v>
      </c>
      <c r="W722" s="150">
        <f t="shared" ref="W722:W733" si="289">(T722-S722)/S722</f>
        <v>3.9203136014913181E-2</v>
      </c>
      <c r="X722" s="220">
        <f>T722/T$733</f>
        <v>0.97146433800517829</v>
      </c>
      <c r="Y722" s="221">
        <f t="shared" ref="Y722:Y733" si="290">T722-S722</f>
        <v>13291</v>
      </c>
    </row>
    <row r="723" spans="1:25" x14ac:dyDescent="0.25">
      <c r="A723" s="164" t="s">
        <v>2</v>
      </c>
      <c r="B723" s="60">
        <v>25925</v>
      </c>
      <c r="C723" s="60">
        <v>29315</v>
      </c>
      <c r="D723" s="60">
        <v>33133</v>
      </c>
      <c r="E723" s="60">
        <v>39576</v>
      </c>
      <c r="F723" s="60">
        <v>43216</v>
      </c>
      <c r="G723" s="60">
        <v>42827</v>
      </c>
      <c r="H723" s="60">
        <v>52428</v>
      </c>
      <c r="I723" s="60">
        <v>57448</v>
      </c>
      <c r="J723" s="60">
        <v>58580</v>
      </c>
      <c r="K723" s="60">
        <v>55664</v>
      </c>
      <c r="L723" s="60">
        <v>53542</v>
      </c>
      <c r="M723" s="60">
        <v>53613</v>
      </c>
      <c r="N723" s="60">
        <v>55863</v>
      </c>
      <c r="O723" s="60">
        <v>50212</v>
      </c>
      <c r="P723" s="60">
        <v>50557</v>
      </c>
      <c r="Q723" s="60">
        <v>48799</v>
      </c>
      <c r="R723" s="60">
        <v>52784</v>
      </c>
      <c r="S723" s="60">
        <v>58172</v>
      </c>
      <c r="T723" s="60">
        <v>59466</v>
      </c>
      <c r="U723" s="149">
        <f t="shared" si="287"/>
        <v>6.8302673181948839E-2</v>
      </c>
      <c r="V723" s="149">
        <f t="shared" si="288"/>
        <v>0.17621694325217083</v>
      </c>
      <c r="W723" s="149">
        <f t="shared" si="289"/>
        <v>2.2244378738912191E-2</v>
      </c>
      <c r="X723" s="218">
        <f t="shared" ref="X723:X733" si="291">T723/T$733</f>
        <v>0.16396769506078546</v>
      </c>
      <c r="Y723" s="219">
        <f t="shared" si="290"/>
        <v>1294</v>
      </c>
    </row>
    <row r="724" spans="1:25" x14ac:dyDescent="0.25">
      <c r="A724" s="164" t="s">
        <v>3</v>
      </c>
      <c r="B724" s="60">
        <v>57099</v>
      </c>
      <c r="C724" s="60">
        <v>58351</v>
      </c>
      <c r="D724" s="60">
        <v>65561</v>
      </c>
      <c r="E724" s="60">
        <v>81407</v>
      </c>
      <c r="F724" s="60">
        <v>91313</v>
      </c>
      <c r="G724" s="60">
        <v>98729</v>
      </c>
      <c r="H724" s="60">
        <v>114915</v>
      </c>
      <c r="I724" s="60">
        <v>113834</v>
      </c>
      <c r="J724" s="60">
        <v>111550</v>
      </c>
      <c r="K724" s="60">
        <v>106941</v>
      </c>
      <c r="L724" s="60">
        <v>101351</v>
      </c>
      <c r="M724" s="60">
        <v>104468</v>
      </c>
      <c r="N724" s="60">
        <v>105320</v>
      </c>
      <c r="O724" s="60">
        <v>104575</v>
      </c>
      <c r="P724" s="60">
        <v>114881</v>
      </c>
      <c r="Q724" s="60">
        <v>125835</v>
      </c>
      <c r="R724" s="60">
        <v>131851</v>
      </c>
      <c r="S724" s="60">
        <v>127913</v>
      </c>
      <c r="T724" s="60">
        <v>134514</v>
      </c>
      <c r="U724" s="149">
        <f t="shared" si="287"/>
        <v>0.25783375880158216</v>
      </c>
      <c r="V724" s="149">
        <f t="shared" si="288"/>
        <v>0.17089858201095046</v>
      </c>
      <c r="W724" s="149">
        <f t="shared" si="289"/>
        <v>5.1605388037181524E-2</v>
      </c>
      <c r="X724" s="218">
        <f t="shared" si="291"/>
        <v>0.37090018722306012</v>
      </c>
      <c r="Y724" s="219">
        <f t="shared" si="290"/>
        <v>6601</v>
      </c>
    </row>
    <row r="725" spans="1:25" x14ac:dyDescent="0.25">
      <c r="A725" s="164" t="s">
        <v>4</v>
      </c>
      <c r="B725" s="60">
        <v>111213</v>
      </c>
      <c r="C725" s="60">
        <v>120312</v>
      </c>
      <c r="D725" s="60">
        <v>128176</v>
      </c>
      <c r="E725" s="60">
        <v>137604</v>
      </c>
      <c r="F725" s="60">
        <v>150732</v>
      </c>
      <c r="G725" s="60">
        <v>146399</v>
      </c>
      <c r="H725" s="60">
        <v>141296</v>
      </c>
      <c r="I725" s="60">
        <v>132501</v>
      </c>
      <c r="J725" s="60">
        <v>134968</v>
      </c>
      <c r="K725" s="60">
        <v>145122</v>
      </c>
      <c r="L725" s="60">
        <v>144019</v>
      </c>
      <c r="M725" s="60">
        <v>143094</v>
      </c>
      <c r="N725" s="60">
        <v>140288</v>
      </c>
      <c r="O725" s="60">
        <v>131873</v>
      </c>
      <c r="P725" s="60">
        <v>128755</v>
      </c>
      <c r="Q725" s="60">
        <v>127812</v>
      </c>
      <c r="R725" s="60">
        <v>148436</v>
      </c>
      <c r="S725" s="60">
        <v>152944</v>
      </c>
      <c r="T725" s="60">
        <v>158340</v>
      </c>
      <c r="U725" s="149">
        <f t="shared" si="287"/>
        <v>9.1081986190929012E-2</v>
      </c>
      <c r="V725" s="149">
        <f t="shared" si="288"/>
        <v>0.22977748436953904</v>
      </c>
      <c r="W725" s="149">
        <f t="shared" si="289"/>
        <v>3.5280887122083902E-2</v>
      </c>
      <c r="X725" s="218">
        <f t="shared" si="291"/>
        <v>0.43659645572133265</v>
      </c>
      <c r="Y725" s="219">
        <f t="shared" si="290"/>
        <v>5396</v>
      </c>
    </row>
    <row r="726" spans="1:25" x14ac:dyDescent="0.25">
      <c r="A726" s="66" t="s">
        <v>347</v>
      </c>
      <c r="B726" s="163">
        <v>0</v>
      </c>
      <c r="C726" s="163">
        <v>0</v>
      </c>
      <c r="D726" s="163">
        <v>0</v>
      </c>
      <c r="E726" s="163">
        <v>0</v>
      </c>
      <c r="F726" s="163">
        <v>0</v>
      </c>
      <c r="G726" s="163">
        <v>0</v>
      </c>
      <c r="H726" s="163">
        <v>0</v>
      </c>
      <c r="I726" s="163">
        <v>0</v>
      </c>
      <c r="J726" s="163">
        <v>0</v>
      </c>
      <c r="K726" s="163">
        <v>0</v>
      </c>
      <c r="L726" s="163">
        <v>528</v>
      </c>
      <c r="M726" s="163">
        <v>1254</v>
      </c>
      <c r="N726" s="163">
        <v>2120</v>
      </c>
      <c r="O726" s="163">
        <v>3683</v>
      </c>
      <c r="P726" s="163">
        <v>4470</v>
      </c>
      <c r="Q726" s="163">
        <v>5756</v>
      </c>
      <c r="R726" s="163">
        <v>6419</v>
      </c>
      <c r="S726" s="163">
        <v>7854</v>
      </c>
      <c r="T726" s="163">
        <v>9025</v>
      </c>
      <c r="U726" s="150" t="s">
        <v>130</v>
      </c>
      <c r="V726" s="150">
        <f t="shared" si="288"/>
        <v>1.0190156599552573</v>
      </c>
      <c r="W726" s="150">
        <f t="shared" si="289"/>
        <v>0.14909600203717852</v>
      </c>
      <c r="X726" s="220">
        <f t="shared" si="291"/>
        <v>2.4884950188739593E-2</v>
      </c>
      <c r="Y726" s="221">
        <f t="shared" si="290"/>
        <v>1171</v>
      </c>
    </row>
    <row r="727" spans="1:25" x14ac:dyDescent="0.25">
      <c r="A727" s="164" t="s">
        <v>2</v>
      </c>
      <c r="B727" s="60">
        <v>0</v>
      </c>
      <c r="C727" s="60">
        <v>0</v>
      </c>
      <c r="D727" s="60">
        <v>0</v>
      </c>
      <c r="E727" s="60">
        <v>0</v>
      </c>
      <c r="F727" s="60">
        <v>0</v>
      </c>
      <c r="G727" s="60">
        <v>0</v>
      </c>
      <c r="H727" s="60">
        <v>0</v>
      </c>
      <c r="I727" s="60">
        <v>0</v>
      </c>
      <c r="J727" s="60">
        <v>0</v>
      </c>
      <c r="K727" s="60">
        <v>0</v>
      </c>
      <c r="L727" s="60">
        <v>0</v>
      </c>
      <c r="M727" s="60">
        <v>209</v>
      </c>
      <c r="N727" s="60">
        <v>912</v>
      </c>
      <c r="O727" s="60">
        <v>2322</v>
      </c>
      <c r="P727" s="60">
        <v>3283</v>
      </c>
      <c r="Q727" s="60">
        <v>4251</v>
      </c>
      <c r="R727" s="60">
        <v>6419</v>
      </c>
      <c r="S727" s="60">
        <v>7854</v>
      </c>
      <c r="T727" s="60">
        <v>9025</v>
      </c>
      <c r="U727" s="149" t="s">
        <v>130</v>
      </c>
      <c r="V727" s="149">
        <f t="shared" si="288"/>
        <v>1.7490100517819067</v>
      </c>
      <c r="W727" s="149">
        <f t="shared" si="289"/>
        <v>0.14909600203717852</v>
      </c>
      <c r="X727" s="218">
        <f t="shared" si="291"/>
        <v>2.4884950188739593E-2</v>
      </c>
      <c r="Y727" s="219">
        <f t="shared" si="290"/>
        <v>1171</v>
      </c>
    </row>
    <row r="728" spans="1:25" x14ac:dyDescent="0.25">
      <c r="A728" s="164" t="s">
        <v>4</v>
      </c>
      <c r="B728" s="60">
        <v>0</v>
      </c>
      <c r="C728" s="60">
        <v>0</v>
      </c>
      <c r="D728" s="60">
        <v>0</v>
      </c>
      <c r="E728" s="60">
        <v>0</v>
      </c>
      <c r="F728" s="60">
        <v>0</v>
      </c>
      <c r="G728" s="60">
        <v>0</v>
      </c>
      <c r="H728" s="60">
        <v>0</v>
      </c>
      <c r="I728" s="60">
        <v>0</v>
      </c>
      <c r="J728" s="60">
        <v>0</v>
      </c>
      <c r="K728" s="60">
        <v>0</v>
      </c>
      <c r="L728" s="60">
        <v>528</v>
      </c>
      <c r="M728" s="60">
        <v>1045</v>
      </c>
      <c r="N728" s="60">
        <v>1208</v>
      </c>
      <c r="O728" s="60">
        <v>1361</v>
      </c>
      <c r="P728" s="60">
        <v>1187</v>
      </c>
      <c r="Q728" s="60">
        <v>1505</v>
      </c>
      <c r="R728" s="60">
        <v>0</v>
      </c>
      <c r="S728" s="60">
        <v>0</v>
      </c>
      <c r="T728" s="60">
        <v>0</v>
      </c>
      <c r="U728" s="149" t="s">
        <v>130</v>
      </c>
      <c r="V728" s="149">
        <f t="shared" si="288"/>
        <v>-1</v>
      </c>
      <c r="W728" s="149" t="s">
        <v>130</v>
      </c>
      <c r="X728" s="218">
        <f t="shared" si="291"/>
        <v>0</v>
      </c>
      <c r="Y728" s="219">
        <f t="shared" si="290"/>
        <v>0</v>
      </c>
    </row>
    <row r="729" spans="1:25" x14ac:dyDescent="0.25">
      <c r="A729" s="66" t="s">
        <v>289</v>
      </c>
      <c r="B729" s="163">
        <v>49142</v>
      </c>
      <c r="C729" s="163">
        <v>44986</v>
      </c>
      <c r="D729" s="163">
        <v>54777</v>
      </c>
      <c r="E729" s="163">
        <v>56471</v>
      </c>
      <c r="F729" s="163">
        <v>43062</v>
      </c>
      <c r="G729" s="163">
        <v>44873</v>
      </c>
      <c r="H729" s="163">
        <v>34361</v>
      </c>
      <c r="I729" s="163">
        <v>37677</v>
      </c>
      <c r="J729" s="163">
        <v>32661</v>
      </c>
      <c r="K729" s="163">
        <v>30179</v>
      </c>
      <c r="L729" s="163">
        <v>35831</v>
      </c>
      <c r="M729" s="163">
        <v>32461</v>
      </c>
      <c r="N729" s="163">
        <v>27062</v>
      </c>
      <c r="O729" s="163">
        <v>13079</v>
      </c>
      <c r="P729" s="163">
        <v>15788</v>
      </c>
      <c r="Q729" s="163">
        <v>10209</v>
      </c>
      <c r="R729" s="163">
        <v>6039</v>
      </c>
      <c r="S729" s="163">
        <v>3800</v>
      </c>
      <c r="T729" s="163">
        <v>1324</v>
      </c>
      <c r="U729" s="150">
        <f t="shared" si="287"/>
        <v>-0.95612843367904832</v>
      </c>
      <c r="V729" s="150">
        <f t="shared" si="288"/>
        <v>-0.91613883962503162</v>
      </c>
      <c r="W729" s="150">
        <f t="shared" si="289"/>
        <v>-0.65157894736842104</v>
      </c>
      <c r="X729" s="220">
        <f t="shared" si="291"/>
        <v>3.6507118060821299E-3</v>
      </c>
      <c r="Y729" s="221">
        <f t="shared" si="290"/>
        <v>-2476</v>
      </c>
    </row>
    <row r="730" spans="1:25" x14ac:dyDescent="0.25">
      <c r="A730" s="164" t="s">
        <v>2</v>
      </c>
      <c r="B730" s="60">
        <v>17987</v>
      </c>
      <c r="C730" s="60">
        <v>17741</v>
      </c>
      <c r="D730" s="60">
        <v>20069</v>
      </c>
      <c r="E730" s="60">
        <v>23539</v>
      </c>
      <c r="F730" s="60">
        <v>20819</v>
      </c>
      <c r="G730" s="60">
        <v>19757</v>
      </c>
      <c r="H730" s="60">
        <v>12296</v>
      </c>
      <c r="I730" s="60">
        <v>8493</v>
      </c>
      <c r="J730" s="60">
        <v>4971</v>
      </c>
      <c r="K730" s="60">
        <v>3759</v>
      </c>
      <c r="L730" s="60">
        <v>6492</v>
      </c>
      <c r="M730" s="60">
        <v>5381</v>
      </c>
      <c r="N730" s="60">
        <v>4131</v>
      </c>
      <c r="O730" s="60">
        <v>3625</v>
      </c>
      <c r="P730" s="60">
        <v>4459</v>
      </c>
      <c r="Q730" s="60">
        <v>2978</v>
      </c>
      <c r="R730" s="60">
        <v>981</v>
      </c>
      <c r="S730" s="60">
        <v>745</v>
      </c>
      <c r="T730" s="60">
        <v>409</v>
      </c>
      <c r="U730" s="149">
        <f t="shared" si="287"/>
        <v>-0.89119446661346102</v>
      </c>
      <c r="V730" s="149">
        <f t="shared" si="288"/>
        <v>-0.90827539807131641</v>
      </c>
      <c r="W730" s="149">
        <f t="shared" si="289"/>
        <v>-0.45100671140939597</v>
      </c>
      <c r="X730" s="218">
        <f t="shared" si="291"/>
        <v>1.1277500971960659E-3</v>
      </c>
      <c r="Y730" s="219">
        <f t="shared" si="290"/>
        <v>-336</v>
      </c>
    </row>
    <row r="731" spans="1:25" x14ac:dyDescent="0.25">
      <c r="A731" s="164" t="s">
        <v>3</v>
      </c>
      <c r="B731" s="60">
        <v>11029</v>
      </c>
      <c r="C731" s="60">
        <v>10361</v>
      </c>
      <c r="D731" s="60">
        <v>15621</v>
      </c>
      <c r="E731" s="60">
        <v>13779</v>
      </c>
      <c r="F731" s="60">
        <v>14249</v>
      </c>
      <c r="G731" s="60">
        <v>13054</v>
      </c>
      <c r="H731" s="60">
        <v>11349</v>
      </c>
      <c r="I731" s="60">
        <v>14509</v>
      </c>
      <c r="J731" s="60">
        <v>12830</v>
      </c>
      <c r="K731" s="60">
        <v>16279</v>
      </c>
      <c r="L731" s="60">
        <v>18306</v>
      </c>
      <c r="M731" s="60">
        <v>17038</v>
      </c>
      <c r="N731" s="60">
        <v>16574</v>
      </c>
      <c r="O731" s="60">
        <v>5042</v>
      </c>
      <c r="P731" s="60">
        <v>6054</v>
      </c>
      <c r="Q731" s="60">
        <v>3966</v>
      </c>
      <c r="R731" s="60">
        <v>3859</v>
      </c>
      <c r="S731" s="60">
        <v>2497</v>
      </c>
      <c r="T731" s="60">
        <v>133</v>
      </c>
      <c r="U731" s="149">
        <f t="shared" si="287"/>
        <v>-0.99182996498556419</v>
      </c>
      <c r="V731" s="149">
        <f t="shared" si="288"/>
        <v>-0.97803105384869504</v>
      </c>
      <c r="W731" s="149">
        <f t="shared" si="289"/>
        <v>-0.94673608329995995</v>
      </c>
      <c r="X731" s="218">
        <f t="shared" si="291"/>
        <v>3.6672558172879402E-4</v>
      </c>
      <c r="Y731" s="219">
        <f t="shared" si="290"/>
        <v>-2364</v>
      </c>
    </row>
    <row r="732" spans="1:25" x14ac:dyDescent="0.25">
      <c r="A732" s="164" t="s">
        <v>4</v>
      </c>
      <c r="B732" s="60">
        <v>20126</v>
      </c>
      <c r="C732" s="60">
        <v>16884</v>
      </c>
      <c r="D732" s="60">
        <v>19087</v>
      </c>
      <c r="E732" s="60">
        <v>19153</v>
      </c>
      <c r="F732" s="60">
        <v>7994</v>
      </c>
      <c r="G732" s="60">
        <v>12062</v>
      </c>
      <c r="H732" s="60">
        <v>10716</v>
      </c>
      <c r="I732" s="60">
        <v>14675</v>
      </c>
      <c r="J732" s="60">
        <v>14860</v>
      </c>
      <c r="K732" s="60">
        <v>10141</v>
      </c>
      <c r="L732" s="60">
        <v>11033</v>
      </c>
      <c r="M732" s="60">
        <v>10042</v>
      </c>
      <c r="N732" s="60">
        <v>6357</v>
      </c>
      <c r="O732" s="60">
        <v>4412</v>
      </c>
      <c r="P732" s="60">
        <v>5275</v>
      </c>
      <c r="Q732" s="60">
        <v>3265</v>
      </c>
      <c r="R732" s="60">
        <v>1199</v>
      </c>
      <c r="S732" s="60">
        <v>558</v>
      </c>
      <c r="T732" s="60">
        <v>782</v>
      </c>
      <c r="U732" s="149">
        <f t="shared" si="287"/>
        <v>-0.92288728922197028</v>
      </c>
      <c r="V732" s="149">
        <f t="shared" si="288"/>
        <v>-0.85175355450236967</v>
      </c>
      <c r="W732" s="149">
        <f t="shared" si="289"/>
        <v>0.40143369175627241</v>
      </c>
      <c r="X732" s="218">
        <f t="shared" si="291"/>
        <v>2.1562361271572701E-3</v>
      </c>
      <c r="Y732" s="219">
        <f t="shared" si="290"/>
        <v>224</v>
      </c>
    </row>
    <row r="733" spans="1:25" x14ac:dyDescent="0.25">
      <c r="A733" s="73" t="s">
        <v>0</v>
      </c>
      <c r="B733" s="163">
        <v>243379</v>
      </c>
      <c r="C733" s="163">
        <v>252964</v>
      </c>
      <c r="D733" s="163">
        <v>281647</v>
      </c>
      <c r="E733" s="163">
        <v>315058</v>
      </c>
      <c r="F733" s="163">
        <v>328323</v>
      </c>
      <c r="G733" s="163">
        <v>332828</v>
      </c>
      <c r="H733" s="163">
        <v>343000</v>
      </c>
      <c r="I733" s="163">
        <v>341460</v>
      </c>
      <c r="J733" s="163">
        <v>337759</v>
      </c>
      <c r="K733" s="163">
        <v>337906</v>
      </c>
      <c r="L733" s="163">
        <v>335271</v>
      </c>
      <c r="M733" s="163">
        <v>334890</v>
      </c>
      <c r="N733" s="163">
        <v>330653</v>
      </c>
      <c r="O733" s="163">
        <v>303422</v>
      </c>
      <c r="P733" s="163">
        <v>314451</v>
      </c>
      <c r="Q733" s="163">
        <v>318411</v>
      </c>
      <c r="R733" s="163">
        <v>345529</v>
      </c>
      <c r="S733" s="163">
        <v>350683</v>
      </c>
      <c r="T733" s="163">
        <v>362669</v>
      </c>
      <c r="U733" s="150">
        <f t="shared" si="287"/>
        <v>7.3283694281841699E-2</v>
      </c>
      <c r="V733" s="150">
        <f t="shared" si="288"/>
        <v>0.15334026605099046</v>
      </c>
      <c r="W733" s="150">
        <f t="shared" si="289"/>
        <v>3.4179016376613636E-2</v>
      </c>
      <c r="X733" s="220">
        <f t="shared" si="291"/>
        <v>1</v>
      </c>
      <c r="Y733" s="221">
        <f t="shared" si="290"/>
        <v>11986</v>
      </c>
    </row>
    <row r="734" spans="1:25" s="146" customFormat="1" ht="15.75" customHeight="1" x14ac:dyDescent="0.25">
      <c r="A734" s="179" t="s">
        <v>297</v>
      </c>
      <c r="B734" s="158">
        <f>B722/B733</f>
        <v>0.79808446907909059</v>
      </c>
      <c r="C734" s="158">
        <f t="shared" ref="C734:T734" si="292">C722/C733</f>
        <v>0.82216441865245649</v>
      </c>
      <c r="D734" s="158">
        <f t="shared" si="292"/>
        <v>0.80551186414199338</v>
      </c>
      <c r="E734" s="158">
        <f t="shared" si="292"/>
        <v>0.82075998705000353</v>
      </c>
      <c r="F734" s="158">
        <f t="shared" si="292"/>
        <v>0.86884257271041021</v>
      </c>
      <c r="G734" s="158">
        <f t="shared" si="292"/>
        <v>0.86517660773732974</v>
      </c>
      <c r="H734" s="158">
        <f t="shared" si="292"/>
        <v>0.8998221574344023</v>
      </c>
      <c r="I734" s="158">
        <f t="shared" si="292"/>
        <v>0.88965911087682303</v>
      </c>
      <c r="J734" s="158">
        <f t="shared" si="292"/>
        <v>0.90330087429202477</v>
      </c>
      <c r="K734" s="158">
        <f t="shared" si="292"/>
        <v>0.91068817955289338</v>
      </c>
      <c r="L734" s="158">
        <f t="shared" si="292"/>
        <v>0.89155340008530415</v>
      </c>
      <c r="M734" s="158">
        <f t="shared" si="292"/>
        <v>0.89932515154229742</v>
      </c>
      <c r="N734" s="158">
        <f t="shared" si="292"/>
        <v>0.91174433620744411</v>
      </c>
      <c r="O734" s="158">
        <f t="shared" si="292"/>
        <v>0.94475680735081835</v>
      </c>
      <c r="P734" s="158">
        <f t="shared" si="292"/>
        <v>0.93557660812018406</v>
      </c>
      <c r="Q734" s="158">
        <f t="shared" si="292"/>
        <v>0.94986040055148846</v>
      </c>
      <c r="R734" s="158">
        <f t="shared" si="292"/>
        <v>0.96394513919236879</v>
      </c>
      <c r="S734" s="158">
        <f t="shared" si="292"/>
        <v>0.96676770758776442</v>
      </c>
      <c r="T734" s="158">
        <f t="shared" si="292"/>
        <v>0.97146433800517829</v>
      </c>
      <c r="U734" s="180"/>
      <c r="V734" s="180"/>
      <c r="W734" s="180"/>
      <c r="X734" s="180"/>
      <c r="Y734" s="180"/>
    </row>
    <row r="735" spans="1:25" x14ac:dyDescent="0.25">
      <c r="A735" s="146" t="s">
        <v>688</v>
      </c>
      <c r="B735" s="16"/>
      <c r="C735" s="16"/>
      <c r="D735" s="16"/>
      <c r="E735" s="16"/>
      <c r="F735" s="16"/>
      <c r="G735" s="16"/>
      <c r="H735" s="16"/>
      <c r="I735" s="16"/>
      <c r="J735" s="16"/>
      <c r="K735" s="16"/>
      <c r="L735" s="16"/>
      <c r="M735" s="27"/>
      <c r="N735" s="16"/>
      <c r="O735" s="16"/>
      <c r="P735" s="16"/>
      <c r="Q735" s="16"/>
      <c r="R735" s="16"/>
      <c r="S735" s="16"/>
      <c r="T735" s="16"/>
    </row>
    <row r="736" spans="1:25" x14ac:dyDescent="0.25">
      <c r="U736" s="15"/>
      <c r="V736" s="15"/>
    </row>
    <row r="737" spans="1:25" x14ac:dyDescent="0.25">
      <c r="A737" s="83" t="s">
        <v>254</v>
      </c>
    </row>
    <row r="738" spans="1:25" x14ac:dyDescent="0.25">
      <c r="A738" s="23" t="s">
        <v>243</v>
      </c>
    </row>
    <row r="740" spans="1:25" x14ac:dyDescent="0.25">
      <c r="A740" s="3"/>
      <c r="B740" s="3"/>
      <c r="C740" s="3"/>
      <c r="D740" s="3"/>
      <c r="E740" s="3"/>
      <c r="F740" s="3"/>
      <c r="G740" s="3"/>
      <c r="H740" s="3"/>
      <c r="I740" s="3"/>
      <c r="J740" s="3"/>
      <c r="K740" s="3"/>
      <c r="L740" s="3"/>
      <c r="N740" s="3"/>
      <c r="O740" s="3"/>
      <c r="P740" s="3"/>
      <c r="Q740" s="3"/>
      <c r="R740" s="3"/>
      <c r="S740" s="3"/>
      <c r="T740" s="3"/>
      <c r="U740" s="3"/>
      <c r="V740" s="3"/>
      <c r="W740" s="3"/>
      <c r="X740" s="3"/>
      <c r="Y740" s="3"/>
    </row>
    <row r="741" spans="1:25" x14ac:dyDescent="0.25">
      <c r="A741" s="3"/>
      <c r="B741" s="3"/>
      <c r="C741" s="3"/>
      <c r="D741" s="3"/>
      <c r="E741" s="3"/>
      <c r="F741" s="3"/>
      <c r="G741" s="3"/>
      <c r="H741" s="3"/>
      <c r="I741" s="3"/>
      <c r="J741" s="3"/>
      <c r="K741" s="3"/>
      <c r="L741" s="3"/>
      <c r="N741" s="3"/>
      <c r="O741" s="3"/>
      <c r="P741" s="3"/>
      <c r="Q741" s="3"/>
      <c r="R741" s="3"/>
      <c r="S741" s="3"/>
      <c r="T741" s="3"/>
      <c r="U741" s="3"/>
      <c r="V741" s="3"/>
      <c r="W741" s="3"/>
      <c r="X741" s="3"/>
      <c r="Y741" s="3"/>
    </row>
    <row r="742" spans="1:25" x14ac:dyDescent="0.25">
      <c r="A742" s="3"/>
      <c r="B742" s="3"/>
      <c r="C742" s="3"/>
      <c r="D742" s="3"/>
      <c r="E742" s="3"/>
      <c r="F742" s="3"/>
      <c r="G742" s="3"/>
      <c r="H742" s="3"/>
      <c r="I742" s="3"/>
      <c r="J742" s="3"/>
      <c r="K742" s="3"/>
      <c r="L742" s="3"/>
      <c r="N742" s="3"/>
      <c r="O742" s="3"/>
      <c r="P742" s="3"/>
      <c r="Q742" s="3"/>
      <c r="R742" s="3"/>
      <c r="S742" s="3"/>
      <c r="T742" s="3"/>
      <c r="U742" s="3"/>
      <c r="V742" s="3"/>
      <c r="W742" s="3"/>
      <c r="X742" s="3"/>
      <c r="Y742" s="3"/>
    </row>
    <row r="743" spans="1:25" x14ac:dyDescent="0.25">
      <c r="A743" s="3"/>
      <c r="B743" s="3"/>
      <c r="C743" s="3"/>
      <c r="D743" s="3"/>
      <c r="E743" s="3"/>
      <c r="F743" s="3"/>
      <c r="G743" s="3"/>
      <c r="H743" s="3"/>
      <c r="I743" s="3"/>
      <c r="J743" s="3"/>
      <c r="K743" s="3"/>
      <c r="L743" s="3"/>
      <c r="N743" s="3"/>
      <c r="O743" s="3"/>
      <c r="P743" s="3"/>
      <c r="Q743" s="3"/>
      <c r="R743" s="3"/>
      <c r="S743" s="3"/>
      <c r="T743" s="3"/>
      <c r="U743" s="3"/>
      <c r="V743" s="3"/>
      <c r="W743" s="3"/>
      <c r="X743" s="3"/>
      <c r="Y743" s="3"/>
    </row>
    <row r="744" spans="1:25" x14ac:dyDescent="0.25">
      <c r="A744" s="3"/>
      <c r="B744" s="3"/>
      <c r="C744" s="3"/>
      <c r="D744" s="3"/>
      <c r="E744" s="3"/>
      <c r="F744" s="3"/>
      <c r="G744" s="3"/>
      <c r="H744" s="3"/>
      <c r="I744" s="3"/>
      <c r="J744" s="3"/>
      <c r="K744" s="3"/>
      <c r="L744" s="3"/>
      <c r="N744" s="3"/>
      <c r="O744" s="3"/>
      <c r="P744" s="3"/>
      <c r="Q744" s="3"/>
      <c r="R744" s="3"/>
      <c r="S744" s="3"/>
      <c r="T744" s="3"/>
      <c r="U744" s="3"/>
      <c r="V744" s="3"/>
      <c r="W744" s="3"/>
      <c r="X744" s="3"/>
      <c r="Y744" s="3"/>
    </row>
    <row r="745" spans="1:25" x14ac:dyDescent="0.25">
      <c r="A745" s="3"/>
      <c r="B745" s="3"/>
      <c r="C745" s="3"/>
      <c r="D745" s="3"/>
      <c r="E745" s="3"/>
      <c r="F745" s="3"/>
      <c r="G745" s="3"/>
      <c r="H745" s="3"/>
      <c r="I745" s="3"/>
      <c r="J745" s="3"/>
      <c r="K745" s="3"/>
      <c r="L745" s="3"/>
      <c r="N745" s="3"/>
      <c r="O745" s="3"/>
      <c r="P745" s="3"/>
      <c r="Q745" s="3"/>
      <c r="R745" s="3"/>
      <c r="S745" s="3"/>
      <c r="T745" s="3"/>
      <c r="U745" s="3"/>
      <c r="V745" s="3"/>
      <c r="W745" s="3"/>
      <c r="X745" s="3"/>
      <c r="Y745" s="3"/>
    </row>
    <row r="746" spans="1:25" x14ac:dyDescent="0.25">
      <c r="A746" s="3"/>
      <c r="B746" s="3"/>
      <c r="C746" s="3"/>
      <c r="D746" s="3"/>
      <c r="E746" s="3"/>
      <c r="F746" s="3"/>
      <c r="G746" s="3"/>
      <c r="H746" s="3"/>
      <c r="I746" s="3"/>
      <c r="J746" s="3"/>
      <c r="K746" s="3"/>
      <c r="L746" s="3"/>
      <c r="N746" s="3"/>
      <c r="O746" s="3"/>
      <c r="P746" s="3"/>
      <c r="Q746" s="3"/>
      <c r="R746" s="3"/>
      <c r="S746" s="3"/>
      <c r="T746" s="3"/>
      <c r="U746" s="3"/>
      <c r="V746" s="3"/>
      <c r="W746" s="3"/>
      <c r="X746" s="3"/>
      <c r="Y746" s="3"/>
    </row>
    <row r="747" spans="1:25" x14ac:dyDescent="0.25">
      <c r="A747" s="3"/>
      <c r="B747" s="3"/>
      <c r="C747" s="3"/>
      <c r="D747" s="3"/>
      <c r="E747" s="3"/>
      <c r="F747" s="3"/>
      <c r="G747" s="3"/>
      <c r="H747" s="3"/>
      <c r="I747" s="3"/>
      <c r="J747" s="3"/>
      <c r="K747" s="3"/>
      <c r="L747" s="3"/>
      <c r="N747" s="3"/>
      <c r="O747" s="3"/>
      <c r="P747" s="3"/>
      <c r="Q747" s="3"/>
      <c r="R747" s="3"/>
      <c r="S747" s="3"/>
      <c r="T747" s="3"/>
      <c r="U747" s="3"/>
      <c r="V747" s="3"/>
      <c r="W747" s="3"/>
      <c r="X747" s="3"/>
      <c r="Y747" s="3"/>
    </row>
    <row r="748" spans="1:25" x14ac:dyDescent="0.25">
      <c r="A748" s="3"/>
      <c r="B748" s="3"/>
      <c r="C748" s="3"/>
      <c r="D748" s="3"/>
      <c r="E748" s="3"/>
      <c r="F748" s="3"/>
      <c r="G748" s="3"/>
      <c r="H748" s="3"/>
      <c r="I748" s="3"/>
      <c r="J748" s="3"/>
      <c r="K748" s="3"/>
      <c r="L748" s="3"/>
      <c r="N748" s="3"/>
      <c r="O748" s="3"/>
      <c r="P748" s="3"/>
      <c r="Q748" s="3"/>
      <c r="R748" s="3"/>
      <c r="S748" s="3"/>
      <c r="T748" s="3"/>
      <c r="U748" s="3"/>
      <c r="V748" s="3"/>
      <c r="W748" s="3"/>
      <c r="X748" s="3"/>
      <c r="Y748" s="3"/>
    </row>
    <row r="749" spans="1:25" x14ac:dyDescent="0.25">
      <c r="A749" s="3"/>
      <c r="B749" s="3"/>
      <c r="C749" s="3"/>
      <c r="D749" s="3"/>
      <c r="E749" s="3"/>
      <c r="F749" s="3"/>
      <c r="G749" s="3"/>
      <c r="H749" s="3"/>
      <c r="I749" s="3"/>
      <c r="J749" s="3"/>
      <c r="K749" s="3"/>
      <c r="L749" s="3"/>
      <c r="N749" s="3"/>
      <c r="O749" s="3"/>
      <c r="P749" s="3"/>
      <c r="Q749" s="3"/>
      <c r="R749" s="3"/>
      <c r="S749" s="3"/>
      <c r="T749" s="3"/>
      <c r="U749" s="3"/>
      <c r="V749" s="3"/>
      <c r="W749" s="3"/>
      <c r="X749" s="3"/>
      <c r="Y749" s="3"/>
    </row>
    <row r="750" spans="1:25" x14ac:dyDescent="0.25">
      <c r="A750" s="3"/>
      <c r="B750" s="3"/>
      <c r="C750" s="3"/>
      <c r="D750" s="3"/>
      <c r="E750" s="3"/>
      <c r="F750" s="3"/>
      <c r="G750" s="3"/>
      <c r="H750" s="3"/>
      <c r="I750" s="3"/>
      <c r="J750" s="3"/>
      <c r="K750" s="3"/>
      <c r="L750" s="3"/>
      <c r="N750" s="3"/>
      <c r="O750" s="3"/>
      <c r="P750" s="3"/>
      <c r="Q750" s="3"/>
      <c r="R750" s="3"/>
      <c r="S750" s="3"/>
      <c r="T750" s="3"/>
      <c r="U750" s="3"/>
      <c r="V750" s="3"/>
      <c r="W750" s="3"/>
      <c r="X750" s="3"/>
      <c r="Y750" s="3"/>
    </row>
    <row r="751" spans="1:25" x14ac:dyDescent="0.25">
      <c r="A751" s="3"/>
      <c r="B751" s="3"/>
      <c r="C751" s="3"/>
      <c r="D751" s="3"/>
      <c r="E751" s="3"/>
      <c r="F751" s="3"/>
      <c r="G751" s="3"/>
      <c r="H751" s="3"/>
      <c r="I751" s="3"/>
      <c r="J751" s="3"/>
      <c r="K751" s="3"/>
      <c r="L751" s="3"/>
      <c r="N751" s="3"/>
      <c r="O751" s="3"/>
      <c r="P751" s="3"/>
      <c r="Q751" s="3"/>
      <c r="R751" s="3"/>
      <c r="S751" s="3"/>
      <c r="T751" s="3"/>
      <c r="U751" s="3"/>
      <c r="V751" s="3"/>
      <c r="W751" s="3"/>
      <c r="X751" s="3"/>
      <c r="Y751" s="3"/>
    </row>
    <row r="752" spans="1:25" x14ac:dyDescent="0.25">
      <c r="A752" s="3"/>
      <c r="B752" s="3"/>
      <c r="C752" s="3"/>
      <c r="D752" s="3"/>
      <c r="E752" s="3"/>
      <c r="F752" s="3"/>
      <c r="G752" s="3"/>
      <c r="H752" s="3"/>
      <c r="I752" s="3"/>
      <c r="J752" s="3"/>
      <c r="K752" s="3"/>
      <c r="L752" s="3"/>
      <c r="N752" s="3"/>
      <c r="O752" s="3"/>
      <c r="P752" s="3"/>
      <c r="Q752" s="3"/>
      <c r="R752" s="3"/>
      <c r="S752" s="3"/>
      <c r="T752" s="3"/>
      <c r="U752" s="3"/>
      <c r="V752" s="3"/>
      <c r="W752" s="3"/>
      <c r="X752" s="3"/>
      <c r="Y752" s="3"/>
    </row>
    <row r="753" s="3" customFormat="1" x14ac:dyDescent="0.25"/>
    <row r="754" s="3" customFormat="1" x14ac:dyDescent="0.25"/>
    <row r="755" s="3" customFormat="1" x14ac:dyDescent="0.25"/>
    <row r="756" s="3" customFormat="1" x14ac:dyDescent="0.25"/>
  </sheetData>
  <sortState xmlns:xlrd2="http://schemas.microsoft.com/office/spreadsheetml/2017/richdata2" ref="A375:X394">
    <sortCondition descending="1" ref="S375:S394"/>
  </sortState>
  <conditionalFormatting sqref="U6:U9">
    <cfRule type="iconSet" priority="356">
      <iconSet iconSet="5Arrows">
        <cfvo type="percent" val="0"/>
        <cfvo type="num" val="-0.2"/>
        <cfvo type="num" val="0"/>
        <cfvo type="num" val="0.2"/>
        <cfvo type="num" val="0.5"/>
      </iconSet>
    </cfRule>
  </conditionalFormatting>
  <conditionalFormatting sqref="U13:U16">
    <cfRule type="iconSet" priority="351">
      <iconSet iconSet="5Arrows">
        <cfvo type="percent" val="0"/>
        <cfvo type="num" val="-0.2"/>
        <cfvo type="num" val="0"/>
        <cfvo type="num" val="0.2"/>
        <cfvo type="num" val="0.5"/>
      </iconSet>
    </cfRule>
  </conditionalFormatting>
  <conditionalFormatting sqref="U20:U26">
    <cfRule type="iconSet" priority="346">
      <iconSet iconSet="5Arrows">
        <cfvo type="percent" val="0"/>
        <cfvo type="num" val="-0.2"/>
        <cfvo type="num" val="0"/>
        <cfvo type="num" val="0.2"/>
        <cfvo type="num" val="0.5"/>
      </iconSet>
    </cfRule>
  </conditionalFormatting>
  <conditionalFormatting sqref="U27">
    <cfRule type="iconSet" priority="342">
      <iconSet iconSet="5Arrows">
        <cfvo type="percent" val="0"/>
        <cfvo type="num" val="-0.2"/>
        <cfvo type="num" val="0"/>
        <cfvo type="num" val="0.2"/>
        <cfvo type="num" val="0.5"/>
      </iconSet>
    </cfRule>
  </conditionalFormatting>
  <conditionalFormatting sqref="U33:U38">
    <cfRule type="iconSet" priority="336">
      <iconSet iconSet="5Arrows">
        <cfvo type="percent" val="0"/>
        <cfvo type="num" val="-0.2"/>
        <cfvo type="num" val="0"/>
        <cfvo type="num" val="0.2"/>
        <cfvo type="num" val="0.5"/>
      </iconSet>
    </cfRule>
  </conditionalFormatting>
  <conditionalFormatting sqref="U39">
    <cfRule type="iconSet" priority="332">
      <iconSet iconSet="5Arrows">
        <cfvo type="percent" val="0"/>
        <cfvo type="num" val="-0.2"/>
        <cfvo type="num" val="0"/>
        <cfvo type="num" val="0.2"/>
        <cfvo type="num" val="0.5"/>
      </iconSet>
    </cfRule>
  </conditionalFormatting>
  <conditionalFormatting sqref="U44:U48">
    <cfRule type="iconSet" priority="323">
      <iconSet iconSet="5Arrows">
        <cfvo type="percent" val="0"/>
        <cfvo type="num" val="-0.2"/>
        <cfvo type="num" val="0"/>
        <cfvo type="num" val="0.2"/>
        <cfvo type="num" val="0.5"/>
      </iconSet>
    </cfRule>
  </conditionalFormatting>
  <conditionalFormatting sqref="U49">
    <cfRule type="iconSet" priority="328">
      <iconSet iconSet="5Arrows">
        <cfvo type="percent" val="0"/>
        <cfvo type="num" val="-0.2"/>
        <cfvo type="num" val="0"/>
        <cfvo type="num" val="0.2"/>
        <cfvo type="num" val="0.5"/>
      </iconSet>
    </cfRule>
  </conditionalFormatting>
  <conditionalFormatting sqref="U53:U57">
    <cfRule type="iconSet" priority="318">
      <iconSet iconSet="5Arrows">
        <cfvo type="percent" val="0"/>
        <cfvo type="num" val="-0.2"/>
        <cfvo type="num" val="0"/>
        <cfvo type="num" val="0.2"/>
        <cfvo type="num" val="0.5"/>
      </iconSet>
    </cfRule>
  </conditionalFormatting>
  <conditionalFormatting sqref="U58">
    <cfRule type="iconSet" priority="314">
      <iconSet iconSet="5Arrows">
        <cfvo type="percent" val="0"/>
        <cfvo type="num" val="-0.2"/>
        <cfvo type="num" val="0"/>
        <cfvo type="num" val="0.2"/>
        <cfvo type="num" val="0.5"/>
      </iconSet>
    </cfRule>
  </conditionalFormatting>
  <conditionalFormatting sqref="U62:U63">
    <cfRule type="iconSet" priority="309">
      <iconSet iconSet="5Arrows">
        <cfvo type="percent" val="0"/>
        <cfvo type="num" val="-0.2"/>
        <cfvo type="num" val="0"/>
        <cfvo type="num" val="0.2"/>
        <cfvo type="num" val="0.5"/>
      </iconSet>
    </cfRule>
  </conditionalFormatting>
  <conditionalFormatting sqref="U64">
    <cfRule type="iconSet" priority="305">
      <iconSet iconSet="5Arrows">
        <cfvo type="percent" val="0"/>
        <cfvo type="num" val="-0.2"/>
        <cfvo type="num" val="0"/>
        <cfvo type="num" val="0.2"/>
        <cfvo type="num" val="0.5"/>
      </iconSet>
    </cfRule>
  </conditionalFormatting>
  <conditionalFormatting sqref="U70:U71">
    <cfRule type="iconSet" priority="300">
      <iconSet iconSet="5Arrows">
        <cfvo type="percent" val="0"/>
        <cfvo type="num" val="-0.2"/>
        <cfvo type="num" val="0"/>
        <cfvo type="num" val="0.2"/>
        <cfvo type="num" val="0.5"/>
      </iconSet>
    </cfRule>
  </conditionalFormatting>
  <conditionalFormatting sqref="U72">
    <cfRule type="iconSet" priority="296">
      <iconSet iconSet="5Arrows">
        <cfvo type="percent" val="0"/>
        <cfvo type="num" val="-0.2"/>
        <cfvo type="num" val="0"/>
        <cfvo type="num" val="0.2"/>
        <cfvo type="num" val="0.5"/>
      </iconSet>
    </cfRule>
  </conditionalFormatting>
  <conditionalFormatting sqref="U78:U88">
    <cfRule type="iconSet" priority="291">
      <iconSet iconSet="5Arrows">
        <cfvo type="percent" val="0"/>
        <cfvo type="num" val="-0.2"/>
        <cfvo type="num" val="0"/>
        <cfvo type="num" val="0.2"/>
        <cfvo type="num" val="0.5"/>
      </iconSet>
    </cfRule>
  </conditionalFormatting>
  <conditionalFormatting sqref="U89">
    <cfRule type="iconSet" priority="287">
      <iconSet iconSet="5Arrows">
        <cfvo type="percent" val="0"/>
        <cfvo type="num" val="-0.2"/>
        <cfvo type="num" val="0"/>
        <cfvo type="num" val="0.2"/>
        <cfvo type="num" val="0.5"/>
      </iconSet>
    </cfRule>
  </conditionalFormatting>
  <conditionalFormatting sqref="U93:U103">
    <cfRule type="iconSet" priority="282">
      <iconSet iconSet="5Arrows">
        <cfvo type="percent" val="0"/>
        <cfvo type="num" val="-0.2"/>
        <cfvo type="num" val="0"/>
        <cfvo type="num" val="0.2"/>
        <cfvo type="num" val="0.5"/>
      </iconSet>
    </cfRule>
  </conditionalFormatting>
  <conditionalFormatting sqref="U104">
    <cfRule type="iconSet" priority="278">
      <iconSet iconSet="5Arrows">
        <cfvo type="percent" val="0"/>
        <cfvo type="num" val="-0.2"/>
        <cfvo type="num" val="0"/>
        <cfvo type="num" val="0.2"/>
        <cfvo type="num" val="0.5"/>
      </iconSet>
    </cfRule>
  </conditionalFormatting>
  <conditionalFormatting sqref="U108:U112">
    <cfRule type="iconSet" priority="273">
      <iconSet iconSet="5Arrows">
        <cfvo type="percent" val="0"/>
        <cfvo type="num" val="-0.2"/>
        <cfvo type="num" val="0"/>
        <cfvo type="num" val="0.2"/>
        <cfvo type="num" val="0.5"/>
      </iconSet>
    </cfRule>
  </conditionalFormatting>
  <conditionalFormatting sqref="U113">
    <cfRule type="iconSet" priority="269">
      <iconSet iconSet="5Arrows">
        <cfvo type="percent" val="0"/>
        <cfvo type="num" val="-0.2"/>
        <cfvo type="num" val="0"/>
        <cfvo type="num" val="0.2"/>
        <cfvo type="num" val="0.5"/>
      </iconSet>
    </cfRule>
  </conditionalFormatting>
  <conditionalFormatting sqref="U117:U134">
    <cfRule type="iconSet" priority="264">
      <iconSet iconSet="5Arrows">
        <cfvo type="percent" val="0"/>
        <cfvo type="num" val="-0.2"/>
        <cfvo type="num" val="0"/>
        <cfvo type="num" val="0.2"/>
        <cfvo type="num" val="0.5"/>
      </iconSet>
    </cfRule>
  </conditionalFormatting>
  <conditionalFormatting sqref="U135">
    <cfRule type="iconSet" priority="260">
      <iconSet iconSet="5Arrows">
        <cfvo type="percent" val="0"/>
        <cfvo type="num" val="-0.2"/>
        <cfvo type="num" val="0"/>
        <cfvo type="num" val="0.2"/>
        <cfvo type="num" val="0.5"/>
      </iconSet>
    </cfRule>
  </conditionalFormatting>
  <conditionalFormatting sqref="U139:U143">
    <cfRule type="iconSet" priority="255">
      <iconSet iconSet="5Arrows">
        <cfvo type="percent" val="0"/>
        <cfvo type="num" val="-0.2"/>
        <cfvo type="num" val="0"/>
        <cfvo type="num" val="0.2"/>
        <cfvo type="num" val="0.5"/>
      </iconSet>
    </cfRule>
  </conditionalFormatting>
  <conditionalFormatting sqref="U144">
    <cfRule type="iconSet" priority="251">
      <iconSet iconSet="5Arrows">
        <cfvo type="percent" val="0"/>
        <cfvo type="num" val="-0.2"/>
        <cfvo type="num" val="0"/>
        <cfvo type="num" val="0.2"/>
        <cfvo type="num" val="0.5"/>
      </iconSet>
    </cfRule>
  </conditionalFormatting>
  <conditionalFormatting sqref="U148:U165">
    <cfRule type="iconSet" priority="242">
      <iconSet iconSet="5Arrows">
        <cfvo type="percent" val="0"/>
        <cfvo type="num" val="-0.2"/>
        <cfvo type="num" val="0"/>
        <cfvo type="num" val="0.2"/>
        <cfvo type="num" val="0.5"/>
      </iconSet>
    </cfRule>
  </conditionalFormatting>
  <conditionalFormatting sqref="U166">
    <cfRule type="iconSet" priority="247">
      <iconSet iconSet="5Arrows">
        <cfvo type="percent" val="0"/>
        <cfvo type="num" val="-0.2"/>
        <cfvo type="num" val="0"/>
        <cfvo type="num" val="0.2"/>
        <cfvo type="num" val="0.5"/>
      </iconSet>
    </cfRule>
  </conditionalFormatting>
  <conditionalFormatting sqref="U170:U185">
    <cfRule type="iconSet" priority="237">
      <iconSet iconSet="5Arrows">
        <cfvo type="percent" val="0"/>
        <cfvo type="num" val="-0.2"/>
        <cfvo type="num" val="0"/>
        <cfvo type="num" val="0.2"/>
        <cfvo type="num" val="0.5"/>
      </iconSet>
    </cfRule>
  </conditionalFormatting>
  <conditionalFormatting sqref="U186">
    <cfRule type="iconSet" priority="233">
      <iconSet iconSet="5Arrows">
        <cfvo type="percent" val="0"/>
        <cfvo type="num" val="-0.2"/>
        <cfvo type="num" val="0"/>
        <cfvo type="num" val="0.2"/>
        <cfvo type="num" val="0.5"/>
      </iconSet>
    </cfRule>
  </conditionalFormatting>
  <conditionalFormatting sqref="U190:U205">
    <cfRule type="iconSet" priority="229">
      <iconSet iconSet="5Arrows">
        <cfvo type="percent" val="0"/>
        <cfvo type="num" val="-0.2"/>
        <cfvo type="num" val="0"/>
        <cfvo type="num" val="0.2"/>
        <cfvo type="num" val="0.5"/>
      </iconSet>
    </cfRule>
  </conditionalFormatting>
  <conditionalFormatting sqref="U206">
    <cfRule type="iconSet" priority="225">
      <iconSet iconSet="5Arrows">
        <cfvo type="percent" val="0"/>
        <cfvo type="num" val="-0.2"/>
        <cfvo type="num" val="0"/>
        <cfvo type="num" val="0.2"/>
        <cfvo type="num" val="0.5"/>
      </iconSet>
    </cfRule>
  </conditionalFormatting>
  <conditionalFormatting sqref="U210:U226">
    <cfRule type="iconSet" priority="219">
      <iconSet iconSet="5Arrows">
        <cfvo type="percent" val="0"/>
        <cfvo type="num" val="-0.2"/>
        <cfvo type="num" val="0"/>
        <cfvo type="num" val="0.2"/>
        <cfvo type="num" val="0.5"/>
      </iconSet>
    </cfRule>
  </conditionalFormatting>
  <conditionalFormatting sqref="U230:U246">
    <cfRule type="iconSet" priority="214">
      <iconSet iconSet="5Arrows">
        <cfvo type="percent" val="0"/>
        <cfvo type="num" val="-0.2"/>
        <cfvo type="num" val="0"/>
        <cfvo type="num" val="0.2"/>
        <cfvo type="num" val="0.5"/>
      </iconSet>
    </cfRule>
  </conditionalFormatting>
  <conditionalFormatting sqref="U250:U259">
    <cfRule type="iconSet" priority="209">
      <iconSet iconSet="5Arrows">
        <cfvo type="percent" val="0"/>
        <cfvo type="num" val="-0.2"/>
        <cfvo type="num" val="0"/>
        <cfvo type="num" val="0.2"/>
        <cfvo type="num" val="0.5"/>
      </iconSet>
    </cfRule>
  </conditionalFormatting>
  <conditionalFormatting sqref="U260">
    <cfRule type="iconSet" priority="205">
      <iconSet iconSet="5Arrows">
        <cfvo type="percent" val="0"/>
        <cfvo type="num" val="-0.2"/>
        <cfvo type="num" val="0"/>
        <cfvo type="num" val="0.2"/>
        <cfvo type="num" val="0.5"/>
      </iconSet>
    </cfRule>
  </conditionalFormatting>
  <conditionalFormatting sqref="U264:U274">
    <cfRule type="iconSet" priority="201">
      <iconSet iconSet="5Arrows">
        <cfvo type="percent" val="0"/>
        <cfvo type="num" val="-0.2"/>
        <cfvo type="num" val="0"/>
        <cfvo type="num" val="0.2"/>
        <cfvo type="num" val="0.5"/>
      </iconSet>
    </cfRule>
  </conditionalFormatting>
  <conditionalFormatting sqref="U278:U288">
    <cfRule type="iconSet" priority="68">
      <iconSet iconSet="5Arrows">
        <cfvo type="percent" val="0"/>
        <cfvo type="num" val="-0.2"/>
        <cfvo type="num" val="0"/>
        <cfvo type="num" val="0.2"/>
        <cfvo type="num" val="0.5"/>
      </iconSet>
    </cfRule>
  </conditionalFormatting>
  <conditionalFormatting sqref="U292:U302">
    <cfRule type="iconSet" priority="64">
      <iconSet iconSet="5Arrows">
        <cfvo type="percent" val="0"/>
        <cfvo type="num" val="-0.2"/>
        <cfvo type="num" val="0"/>
        <cfvo type="num" val="0.2"/>
        <cfvo type="num" val="0.5"/>
      </iconSet>
    </cfRule>
  </conditionalFormatting>
  <conditionalFormatting sqref="U306:U325">
    <cfRule type="iconSet" priority="195">
      <iconSet iconSet="5Arrows">
        <cfvo type="percent" val="0"/>
        <cfvo type="num" val="-0.2"/>
        <cfvo type="num" val="0"/>
        <cfvo type="num" val="0.2"/>
        <cfvo type="num" val="0.5"/>
      </iconSet>
    </cfRule>
  </conditionalFormatting>
  <conditionalFormatting sqref="U329:U348">
    <cfRule type="iconSet" priority="190">
      <iconSet iconSet="5Arrows">
        <cfvo type="percent" val="0"/>
        <cfvo type="num" val="-0.2"/>
        <cfvo type="num" val="0"/>
        <cfvo type="num" val="0.2"/>
        <cfvo type="num" val="0.5"/>
      </iconSet>
    </cfRule>
  </conditionalFormatting>
  <conditionalFormatting sqref="U352">
    <cfRule type="iconSet" priority="181">
      <iconSet iconSet="5Arrows">
        <cfvo type="percent" val="0"/>
        <cfvo type="num" val="-0.2"/>
        <cfvo type="num" val="0"/>
        <cfvo type="num" val="0.2"/>
        <cfvo type="num" val="0.5"/>
      </iconSet>
    </cfRule>
  </conditionalFormatting>
  <conditionalFormatting sqref="U353:U371">
    <cfRule type="iconSet" priority="186">
      <iconSet iconSet="5Arrows">
        <cfvo type="percent" val="0"/>
        <cfvo type="num" val="-0.2"/>
        <cfvo type="num" val="0"/>
        <cfvo type="num" val="0.2"/>
        <cfvo type="num" val="0.5"/>
      </iconSet>
    </cfRule>
  </conditionalFormatting>
  <conditionalFormatting sqref="U375">
    <cfRule type="iconSet" priority="174">
      <iconSet iconSet="5Arrows">
        <cfvo type="percent" val="0"/>
        <cfvo type="num" val="-0.2"/>
        <cfvo type="num" val="0"/>
        <cfvo type="num" val="0.2"/>
        <cfvo type="num" val="0.5"/>
      </iconSet>
    </cfRule>
  </conditionalFormatting>
  <conditionalFormatting sqref="U376:U394">
    <cfRule type="iconSet" priority="178">
      <iconSet iconSet="5Arrows">
        <cfvo type="percent" val="0"/>
        <cfvo type="num" val="-0.2"/>
        <cfvo type="num" val="0"/>
        <cfvo type="num" val="0.2"/>
        <cfvo type="num" val="0.5"/>
      </iconSet>
    </cfRule>
  </conditionalFormatting>
  <conditionalFormatting sqref="U398:U417">
    <cfRule type="iconSet" priority="168">
      <iconSet iconSet="5Arrows">
        <cfvo type="percent" val="0"/>
        <cfvo type="num" val="-0.2"/>
        <cfvo type="num" val="0"/>
        <cfvo type="num" val="0.2"/>
        <cfvo type="num" val="0.5"/>
      </iconSet>
    </cfRule>
  </conditionalFormatting>
  <conditionalFormatting sqref="U421:U440">
    <cfRule type="iconSet" priority="164">
      <iconSet iconSet="5Arrows">
        <cfvo type="percent" val="0"/>
        <cfvo type="num" val="-0.2"/>
        <cfvo type="num" val="0"/>
        <cfvo type="num" val="0.2"/>
        <cfvo type="num" val="0.5"/>
      </iconSet>
    </cfRule>
  </conditionalFormatting>
  <conditionalFormatting sqref="U444:U459">
    <cfRule type="iconSet" priority="158">
      <iconSet iconSet="5Arrows">
        <cfvo type="percent" val="0"/>
        <cfvo type="num" val="-0.2"/>
        <cfvo type="num" val="0"/>
        <cfvo type="num" val="0.2"/>
        <cfvo type="num" val="0.5"/>
      </iconSet>
    </cfRule>
  </conditionalFormatting>
  <conditionalFormatting sqref="U463:U476 V476:W476 U478 U477:W477">
    <cfRule type="iconSet" priority="154">
      <iconSet iconSet="5Arrows">
        <cfvo type="percent" val="0"/>
        <cfvo type="num" val="-0.2"/>
        <cfvo type="num" val="0"/>
        <cfvo type="num" val="0.2"/>
        <cfvo type="num" val="0.5"/>
      </iconSet>
    </cfRule>
  </conditionalFormatting>
  <conditionalFormatting sqref="U482:U485">
    <cfRule type="iconSet" priority="148">
      <iconSet iconSet="5Arrows">
        <cfvo type="percent" val="0"/>
        <cfvo type="num" val="-0.2"/>
        <cfvo type="num" val="0"/>
        <cfvo type="num" val="0.2"/>
        <cfvo type="num" val="0.5"/>
      </iconSet>
    </cfRule>
  </conditionalFormatting>
  <conditionalFormatting sqref="U489:U490 U492">
    <cfRule type="iconSet" priority="143">
      <iconSet iconSet="5Arrows">
        <cfvo type="percent" val="0"/>
        <cfvo type="num" val="-0.2"/>
        <cfvo type="num" val="0"/>
        <cfvo type="num" val="0.2"/>
        <cfvo type="num" val="0.5"/>
      </iconSet>
    </cfRule>
  </conditionalFormatting>
  <conditionalFormatting sqref="U491">
    <cfRule type="iconSet" priority="9">
      <iconSet iconSet="5Arrows">
        <cfvo type="percent" val="0"/>
        <cfvo type="num" val="-0.2"/>
        <cfvo type="num" val="0"/>
        <cfvo type="num" val="0.2"/>
        <cfvo type="num" val="0.5"/>
      </iconSet>
    </cfRule>
  </conditionalFormatting>
  <conditionalFormatting sqref="U496:U497 U499">
    <cfRule type="iconSet" priority="138">
      <iconSet iconSet="5Arrows">
        <cfvo type="percent" val="0"/>
        <cfvo type="num" val="-0.2"/>
        <cfvo type="num" val="0"/>
        <cfvo type="num" val="0.2"/>
        <cfvo type="num" val="0.5"/>
      </iconSet>
    </cfRule>
  </conditionalFormatting>
  <conditionalFormatting sqref="U503:U504 U506:U507">
    <cfRule type="iconSet" priority="133">
      <iconSet iconSet="5Arrows">
        <cfvo type="percent" val="0"/>
        <cfvo type="num" val="-0.2"/>
        <cfvo type="num" val="0"/>
        <cfvo type="num" val="0.2"/>
        <cfvo type="num" val="0.5"/>
      </iconSet>
    </cfRule>
  </conditionalFormatting>
  <conditionalFormatting sqref="U510:U511 U513">
    <cfRule type="iconSet" priority="128">
      <iconSet iconSet="5Arrows">
        <cfvo type="percent" val="0"/>
        <cfvo type="num" val="-0.2"/>
        <cfvo type="num" val="0"/>
        <cfvo type="num" val="0.2"/>
        <cfvo type="num" val="0.5"/>
      </iconSet>
    </cfRule>
  </conditionalFormatting>
  <conditionalFormatting sqref="U517:U518 U520">
    <cfRule type="iconSet" priority="123">
      <iconSet iconSet="5Arrows">
        <cfvo type="percent" val="0"/>
        <cfvo type="num" val="-0.2"/>
        <cfvo type="num" val="0"/>
        <cfvo type="num" val="0.2"/>
        <cfvo type="num" val="0.5"/>
      </iconSet>
    </cfRule>
  </conditionalFormatting>
  <conditionalFormatting sqref="U524:U525 U527">
    <cfRule type="iconSet" priority="118">
      <iconSet iconSet="5Arrows">
        <cfvo type="percent" val="0"/>
        <cfvo type="num" val="-0.2"/>
        <cfvo type="num" val="0"/>
        <cfvo type="num" val="0.2"/>
        <cfvo type="num" val="0.5"/>
      </iconSet>
    </cfRule>
  </conditionalFormatting>
  <conditionalFormatting sqref="U531:U532 U534">
    <cfRule type="iconSet" priority="113">
      <iconSet iconSet="5Arrows">
        <cfvo type="percent" val="0"/>
        <cfvo type="num" val="-0.2"/>
        <cfvo type="num" val="0"/>
        <cfvo type="num" val="0.2"/>
        <cfvo type="num" val="0.5"/>
      </iconSet>
    </cfRule>
  </conditionalFormatting>
  <conditionalFormatting sqref="U538:U545">
    <cfRule type="iconSet" priority="108">
      <iconSet iconSet="5Arrows">
        <cfvo type="percent" val="0"/>
        <cfvo type="num" val="-0.2"/>
        <cfvo type="num" val="0"/>
        <cfvo type="num" val="0.2"/>
        <cfvo type="num" val="0.5"/>
      </iconSet>
    </cfRule>
  </conditionalFormatting>
  <conditionalFormatting sqref="U550:U557">
    <cfRule type="iconSet" priority="103">
      <iconSet iconSet="5Arrows">
        <cfvo type="percent" val="0"/>
        <cfvo type="num" val="-0.2"/>
        <cfvo type="num" val="0"/>
        <cfvo type="num" val="0.2"/>
        <cfvo type="num" val="0.5"/>
      </iconSet>
    </cfRule>
  </conditionalFormatting>
  <conditionalFormatting sqref="U563:U570">
    <cfRule type="iconSet" priority="98">
      <iconSet iconSet="5Arrows">
        <cfvo type="percent" val="0"/>
        <cfvo type="num" val="-0.2"/>
        <cfvo type="num" val="0"/>
        <cfvo type="num" val="0.2"/>
        <cfvo type="num" val="0.5"/>
      </iconSet>
    </cfRule>
  </conditionalFormatting>
  <conditionalFormatting sqref="U575:U582">
    <cfRule type="iconSet" priority="93">
      <iconSet iconSet="5Arrows">
        <cfvo type="percent" val="0"/>
        <cfvo type="num" val="-0.2"/>
        <cfvo type="num" val="0"/>
        <cfvo type="num" val="0.2"/>
        <cfvo type="num" val="0.5"/>
      </iconSet>
    </cfRule>
  </conditionalFormatting>
  <conditionalFormatting sqref="U588:U595">
    <cfRule type="iconSet" priority="88">
      <iconSet iconSet="5Arrows">
        <cfvo type="percent" val="0"/>
        <cfvo type="num" val="-0.2"/>
        <cfvo type="num" val="0"/>
        <cfvo type="num" val="0.2"/>
        <cfvo type="num" val="0.5"/>
      </iconSet>
    </cfRule>
  </conditionalFormatting>
  <conditionalFormatting sqref="U600:U607">
    <cfRule type="iconSet" priority="83">
      <iconSet iconSet="5Arrows">
        <cfvo type="percent" val="0"/>
        <cfvo type="num" val="-0.2"/>
        <cfvo type="num" val="0"/>
        <cfvo type="num" val="0.2"/>
        <cfvo type="num" val="0.5"/>
      </iconSet>
    </cfRule>
  </conditionalFormatting>
  <conditionalFormatting sqref="U612:U619">
    <cfRule type="iconSet" priority="78">
      <iconSet iconSet="5Arrows">
        <cfvo type="percent" val="0"/>
        <cfvo type="num" val="-0.2"/>
        <cfvo type="num" val="0"/>
        <cfvo type="num" val="0.2"/>
        <cfvo type="num" val="0.5"/>
      </iconSet>
    </cfRule>
  </conditionalFormatting>
  <conditionalFormatting sqref="U624:U631">
    <cfRule type="iconSet" priority="73">
      <iconSet iconSet="5Arrows">
        <cfvo type="percent" val="0"/>
        <cfvo type="num" val="-0.2"/>
        <cfvo type="num" val="0"/>
        <cfvo type="num" val="0.2"/>
        <cfvo type="num" val="0.5"/>
      </iconSet>
    </cfRule>
  </conditionalFormatting>
  <conditionalFormatting sqref="U637:U640">
    <cfRule type="iconSet" priority="58">
      <iconSet iconSet="5Arrows">
        <cfvo type="percent" val="0"/>
        <cfvo type="num" val="-0.2"/>
        <cfvo type="num" val="0"/>
        <cfvo type="num" val="0.2"/>
        <cfvo type="num" val="0.5"/>
      </iconSet>
    </cfRule>
  </conditionalFormatting>
  <conditionalFormatting sqref="U644:U647">
    <cfRule type="iconSet" priority="53">
      <iconSet iconSet="5Arrows">
        <cfvo type="percent" val="0"/>
        <cfvo type="num" val="-0.2"/>
        <cfvo type="num" val="0"/>
        <cfvo type="num" val="0.2"/>
        <cfvo type="num" val="0.5"/>
      </iconSet>
    </cfRule>
  </conditionalFormatting>
  <conditionalFormatting sqref="U651:U654">
    <cfRule type="iconSet" priority="48">
      <iconSet iconSet="5Arrows">
        <cfvo type="percent" val="0"/>
        <cfvo type="num" val="-0.2"/>
        <cfvo type="num" val="0"/>
        <cfvo type="num" val="0.2"/>
        <cfvo type="num" val="0.5"/>
      </iconSet>
    </cfRule>
  </conditionalFormatting>
  <conditionalFormatting sqref="U658:U661">
    <cfRule type="iconSet" priority="43">
      <iconSet iconSet="5Arrows">
        <cfvo type="percent" val="0"/>
        <cfvo type="num" val="-0.2"/>
        <cfvo type="num" val="0"/>
        <cfvo type="num" val="0.2"/>
        <cfvo type="num" val="0.5"/>
      </iconSet>
    </cfRule>
  </conditionalFormatting>
  <conditionalFormatting sqref="U665:U671">
    <cfRule type="iconSet" priority="36">
      <iconSet iconSet="5Arrows">
        <cfvo type="percent" val="0"/>
        <cfvo type="num" val="-0.2"/>
        <cfvo type="num" val="0"/>
        <cfvo type="num" val="0.2"/>
        <cfvo type="num" val="0.5"/>
      </iconSet>
    </cfRule>
  </conditionalFormatting>
  <conditionalFormatting sqref="U675:U681">
    <cfRule type="iconSet" priority="33">
      <iconSet iconSet="5Arrows">
        <cfvo type="percent" val="0"/>
        <cfvo type="num" val="-0.2"/>
        <cfvo type="num" val="0"/>
        <cfvo type="num" val="0.2"/>
        <cfvo type="num" val="0.5"/>
      </iconSet>
    </cfRule>
  </conditionalFormatting>
  <conditionalFormatting sqref="U685:U691">
    <cfRule type="iconSet" priority="30">
      <iconSet iconSet="5Arrows">
        <cfvo type="percent" val="0"/>
        <cfvo type="num" val="-0.2"/>
        <cfvo type="num" val="0"/>
        <cfvo type="num" val="0.2"/>
        <cfvo type="num" val="0.5"/>
      </iconSet>
    </cfRule>
  </conditionalFormatting>
  <conditionalFormatting sqref="U695:U701">
    <cfRule type="iconSet" priority="27">
      <iconSet iconSet="5Arrows">
        <cfvo type="percent" val="0"/>
        <cfvo type="num" val="-0.2"/>
        <cfvo type="num" val="0"/>
        <cfvo type="num" val="0.2"/>
        <cfvo type="num" val="0.5"/>
      </iconSet>
    </cfRule>
  </conditionalFormatting>
  <conditionalFormatting sqref="U705:U716">
    <cfRule type="iconSet" priority="19">
      <iconSet iconSet="5Arrows">
        <cfvo type="percent" val="0"/>
        <cfvo type="num" val="-0.2"/>
        <cfvo type="num" val="0"/>
        <cfvo type="num" val="0.2"/>
        <cfvo type="num" val="0.5"/>
      </iconSet>
    </cfRule>
  </conditionalFormatting>
  <conditionalFormatting sqref="U722:U733">
    <cfRule type="iconSet" priority="13">
      <iconSet iconSet="5Arrows">
        <cfvo type="percent" val="0"/>
        <cfvo type="num" val="-0.2"/>
        <cfvo type="num" val="0"/>
        <cfvo type="num" val="0.2"/>
        <cfvo type="num" val="0.5"/>
      </iconSet>
    </cfRule>
  </conditionalFormatting>
  <conditionalFormatting sqref="U512:V512">
    <cfRule type="iconSet" priority="5">
      <iconSet iconSet="5Arrows">
        <cfvo type="percent" val="0"/>
        <cfvo type="num" val="-0.2"/>
        <cfvo type="num" val="0"/>
        <cfvo type="num" val="0.2"/>
        <cfvo type="num" val="0.5"/>
      </iconSet>
    </cfRule>
  </conditionalFormatting>
  <conditionalFormatting sqref="U519:V519">
    <cfRule type="iconSet" priority="4">
      <iconSet iconSet="5Arrows">
        <cfvo type="percent" val="0"/>
        <cfvo type="num" val="-0.2"/>
        <cfvo type="num" val="0"/>
        <cfvo type="num" val="0.2"/>
        <cfvo type="num" val="0.5"/>
      </iconSet>
    </cfRule>
  </conditionalFormatting>
  <conditionalFormatting sqref="U526:V526">
    <cfRule type="iconSet" priority="3">
      <iconSet iconSet="5Arrows">
        <cfvo type="percent" val="0"/>
        <cfvo type="num" val="-0.2"/>
        <cfvo type="num" val="0"/>
        <cfvo type="num" val="0.2"/>
        <cfvo type="num" val="0.5"/>
      </iconSet>
    </cfRule>
  </conditionalFormatting>
  <conditionalFormatting sqref="U533:V533">
    <cfRule type="iconSet" priority="2">
      <iconSet iconSet="5Arrows">
        <cfvo type="percent" val="0"/>
        <cfvo type="num" val="-0.2"/>
        <cfvo type="num" val="0"/>
        <cfvo type="num" val="0.2"/>
        <cfvo type="num" val="0.5"/>
      </iconSet>
    </cfRule>
  </conditionalFormatting>
  <conditionalFormatting sqref="U498:W498">
    <cfRule type="iconSet" priority="7">
      <iconSet iconSet="5Arrows">
        <cfvo type="percent" val="0"/>
        <cfvo type="num" val="-0.2"/>
        <cfvo type="num" val="0"/>
        <cfvo type="num" val="0.2"/>
        <cfvo type="num" val="0.5"/>
      </iconSet>
    </cfRule>
  </conditionalFormatting>
  <conditionalFormatting sqref="U505:W505">
    <cfRule type="iconSet" priority="6">
      <iconSet iconSet="5Arrows">
        <cfvo type="percent" val="0"/>
        <cfvo type="num" val="-0.2"/>
        <cfvo type="num" val="0"/>
        <cfvo type="num" val="0.2"/>
        <cfvo type="num" val="0.5"/>
      </iconSet>
    </cfRule>
  </conditionalFormatting>
  <conditionalFormatting sqref="V6:V9">
    <cfRule type="iconSet" priority="355">
      <iconSet iconSet="5Arrows">
        <cfvo type="percent" val="0"/>
        <cfvo type="num" val="-0.2"/>
        <cfvo type="num" val="0"/>
        <cfvo type="num" val="0.2"/>
        <cfvo type="num" val="0.5"/>
      </iconSet>
    </cfRule>
  </conditionalFormatting>
  <conditionalFormatting sqref="V13:V16">
    <cfRule type="iconSet" priority="350">
      <iconSet iconSet="5Arrows">
        <cfvo type="percent" val="0"/>
        <cfvo type="num" val="-0.2"/>
        <cfvo type="num" val="0"/>
        <cfvo type="num" val="0.2"/>
        <cfvo type="num" val="0.5"/>
      </iconSet>
    </cfRule>
  </conditionalFormatting>
  <conditionalFormatting sqref="V20:V26">
    <cfRule type="iconSet" priority="345">
      <iconSet iconSet="5Arrows">
        <cfvo type="percent" val="0"/>
        <cfvo type="num" val="-0.2"/>
        <cfvo type="num" val="0"/>
        <cfvo type="num" val="0.2"/>
        <cfvo type="num" val="0.5"/>
      </iconSet>
    </cfRule>
  </conditionalFormatting>
  <conditionalFormatting sqref="V27">
    <cfRule type="iconSet" priority="341">
      <iconSet iconSet="5Arrows">
        <cfvo type="percent" val="0"/>
        <cfvo type="num" val="-0.2"/>
        <cfvo type="num" val="0"/>
        <cfvo type="num" val="0.2"/>
        <cfvo type="num" val="0.5"/>
      </iconSet>
    </cfRule>
  </conditionalFormatting>
  <conditionalFormatting sqref="V33:V38">
    <cfRule type="iconSet" priority="335">
      <iconSet iconSet="5Arrows">
        <cfvo type="percent" val="0"/>
        <cfvo type="num" val="-0.2"/>
        <cfvo type="num" val="0"/>
        <cfvo type="num" val="0.2"/>
        <cfvo type="num" val="0.5"/>
      </iconSet>
    </cfRule>
  </conditionalFormatting>
  <conditionalFormatting sqref="V39">
    <cfRule type="iconSet" priority="331">
      <iconSet iconSet="5Arrows">
        <cfvo type="percent" val="0"/>
        <cfvo type="num" val="-0.2"/>
        <cfvo type="num" val="0"/>
        <cfvo type="num" val="0.2"/>
        <cfvo type="num" val="0.5"/>
      </iconSet>
    </cfRule>
  </conditionalFormatting>
  <conditionalFormatting sqref="V44:V48">
    <cfRule type="iconSet" priority="322">
      <iconSet iconSet="5Arrows">
        <cfvo type="percent" val="0"/>
        <cfvo type="num" val="-0.2"/>
        <cfvo type="num" val="0"/>
        <cfvo type="num" val="0.2"/>
        <cfvo type="num" val="0.5"/>
      </iconSet>
    </cfRule>
  </conditionalFormatting>
  <conditionalFormatting sqref="V49">
    <cfRule type="iconSet" priority="327">
      <iconSet iconSet="5Arrows">
        <cfvo type="percent" val="0"/>
        <cfvo type="num" val="-0.2"/>
        <cfvo type="num" val="0"/>
        <cfvo type="num" val="0.2"/>
        <cfvo type="num" val="0.5"/>
      </iconSet>
    </cfRule>
  </conditionalFormatting>
  <conditionalFormatting sqref="V53:V57">
    <cfRule type="iconSet" priority="317">
      <iconSet iconSet="5Arrows">
        <cfvo type="percent" val="0"/>
        <cfvo type="num" val="-0.2"/>
        <cfvo type="num" val="0"/>
        <cfvo type="num" val="0.2"/>
        <cfvo type="num" val="0.5"/>
      </iconSet>
    </cfRule>
  </conditionalFormatting>
  <conditionalFormatting sqref="V58">
    <cfRule type="iconSet" priority="313">
      <iconSet iconSet="5Arrows">
        <cfvo type="percent" val="0"/>
        <cfvo type="num" val="-0.2"/>
        <cfvo type="num" val="0"/>
        <cfvo type="num" val="0.2"/>
        <cfvo type="num" val="0.5"/>
      </iconSet>
    </cfRule>
  </conditionalFormatting>
  <conditionalFormatting sqref="V62:V63">
    <cfRule type="iconSet" priority="308">
      <iconSet iconSet="5Arrows">
        <cfvo type="percent" val="0"/>
        <cfvo type="num" val="-0.2"/>
        <cfvo type="num" val="0"/>
        <cfvo type="num" val="0.2"/>
        <cfvo type="num" val="0.5"/>
      </iconSet>
    </cfRule>
  </conditionalFormatting>
  <conditionalFormatting sqref="V64">
    <cfRule type="iconSet" priority="304">
      <iconSet iconSet="5Arrows">
        <cfvo type="percent" val="0"/>
        <cfvo type="num" val="-0.2"/>
        <cfvo type="num" val="0"/>
        <cfvo type="num" val="0.2"/>
        <cfvo type="num" val="0.5"/>
      </iconSet>
    </cfRule>
  </conditionalFormatting>
  <conditionalFormatting sqref="V70:V71">
    <cfRule type="iconSet" priority="299">
      <iconSet iconSet="5Arrows">
        <cfvo type="percent" val="0"/>
        <cfvo type="num" val="-0.2"/>
        <cfvo type="num" val="0"/>
        <cfvo type="num" val="0.2"/>
        <cfvo type="num" val="0.5"/>
      </iconSet>
    </cfRule>
  </conditionalFormatting>
  <conditionalFormatting sqref="V72">
    <cfRule type="iconSet" priority="295">
      <iconSet iconSet="5Arrows">
        <cfvo type="percent" val="0"/>
        <cfvo type="num" val="-0.2"/>
        <cfvo type="num" val="0"/>
        <cfvo type="num" val="0.2"/>
        <cfvo type="num" val="0.5"/>
      </iconSet>
    </cfRule>
  </conditionalFormatting>
  <conditionalFormatting sqref="V78:V88">
    <cfRule type="iconSet" priority="290">
      <iconSet iconSet="5Arrows">
        <cfvo type="percent" val="0"/>
        <cfvo type="num" val="-0.2"/>
        <cfvo type="num" val="0"/>
        <cfvo type="num" val="0.2"/>
        <cfvo type="num" val="0.5"/>
      </iconSet>
    </cfRule>
  </conditionalFormatting>
  <conditionalFormatting sqref="V89">
    <cfRule type="iconSet" priority="286">
      <iconSet iconSet="5Arrows">
        <cfvo type="percent" val="0"/>
        <cfvo type="num" val="-0.2"/>
        <cfvo type="num" val="0"/>
        <cfvo type="num" val="0.2"/>
        <cfvo type="num" val="0.5"/>
      </iconSet>
    </cfRule>
  </conditionalFormatting>
  <conditionalFormatting sqref="V93:V103">
    <cfRule type="iconSet" priority="281">
      <iconSet iconSet="5Arrows">
        <cfvo type="percent" val="0"/>
        <cfvo type="num" val="-0.2"/>
        <cfvo type="num" val="0"/>
        <cfvo type="num" val="0.2"/>
        <cfvo type="num" val="0.5"/>
      </iconSet>
    </cfRule>
  </conditionalFormatting>
  <conditionalFormatting sqref="V104">
    <cfRule type="iconSet" priority="277">
      <iconSet iconSet="5Arrows">
        <cfvo type="percent" val="0"/>
        <cfvo type="num" val="-0.2"/>
        <cfvo type="num" val="0"/>
        <cfvo type="num" val="0.2"/>
        <cfvo type="num" val="0.5"/>
      </iconSet>
    </cfRule>
  </conditionalFormatting>
  <conditionalFormatting sqref="V108:V112">
    <cfRule type="iconSet" priority="272">
      <iconSet iconSet="5Arrows">
        <cfvo type="percent" val="0"/>
        <cfvo type="num" val="-0.2"/>
        <cfvo type="num" val="0"/>
        <cfvo type="num" val="0.2"/>
        <cfvo type="num" val="0.5"/>
      </iconSet>
    </cfRule>
  </conditionalFormatting>
  <conditionalFormatting sqref="V113">
    <cfRule type="iconSet" priority="268">
      <iconSet iconSet="5Arrows">
        <cfvo type="percent" val="0"/>
        <cfvo type="num" val="-0.2"/>
        <cfvo type="num" val="0"/>
        <cfvo type="num" val="0.2"/>
        <cfvo type="num" val="0.5"/>
      </iconSet>
    </cfRule>
  </conditionalFormatting>
  <conditionalFormatting sqref="V117:V134 W122">
    <cfRule type="iconSet" priority="263">
      <iconSet iconSet="5Arrows">
        <cfvo type="percent" val="0"/>
        <cfvo type="num" val="-0.2"/>
        <cfvo type="num" val="0"/>
        <cfvo type="num" val="0.2"/>
        <cfvo type="num" val="0.5"/>
      </iconSet>
    </cfRule>
  </conditionalFormatting>
  <conditionalFormatting sqref="V135">
    <cfRule type="iconSet" priority="259">
      <iconSet iconSet="5Arrows">
        <cfvo type="percent" val="0"/>
        <cfvo type="num" val="-0.2"/>
        <cfvo type="num" val="0"/>
        <cfvo type="num" val="0.2"/>
        <cfvo type="num" val="0.5"/>
      </iconSet>
    </cfRule>
  </conditionalFormatting>
  <conditionalFormatting sqref="V139:V143">
    <cfRule type="iconSet" priority="254">
      <iconSet iconSet="5Arrows">
        <cfvo type="percent" val="0"/>
        <cfvo type="num" val="-0.2"/>
        <cfvo type="num" val="0"/>
        <cfvo type="num" val="0.2"/>
        <cfvo type="num" val="0.5"/>
      </iconSet>
    </cfRule>
  </conditionalFormatting>
  <conditionalFormatting sqref="V144">
    <cfRule type="iconSet" priority="250">
      <iconSet iconSet="5Arrows">
        <cfvo type="percent" val="0"/>
        <cfvo type="num" val="-0.2"/>
        <cfvo type="num" val="0"/>
        <cfvo type="num" val="0.2"/>
        <cfvo type="num" val="0.5"/>
      </iconSet>
    </cfRule>
  </conditionalFormatting>
  <conditionalFormatting sqref="V148:V152 V154:V165">
    <cfRule type="iconSet" priority="241">
      <iconSet iconSet="5Arrows">
        <cfvo type="percent" val="0"/>
        <cfvo type="num" val="-0.2"/>
        <cfvo type="num" val="0"/>
        <cfvo type="num" val="0.2"/>
        <cfvo type="num" val="0.5"/>
      </iconSet>
    </cfRule>
  </conditionalFormatting>
  <conditionalFormatting sqref="V166">
    <cfRule type="iconSet" priority="246">
      <iconSet iconSet="5Arrows">
        <cfvo type="percent" val="0"/>
        <cfvo type="num" val="-0.2"/>
        <cfvo type="num" val="0"/>
        <cfvo type="num" val="0.2"/>
        <cfvo type="num" val="0.5"/>
      </iconSet>
    </cfRule>
  </conditionalFormatting>
  <conditionalFormatting sqref="V170:V185">
    <cfRule type="iconSet" priority="236">
      <iconSet iconSet="5Arrows">
        <cfvo type="percent" val="0"/>
        <cfvo type="num" val="-0.2"/>
        <cfvo type="num" val="0"/>
        <cfvo type="num" val="0.2"/>
        <cfvo type="num" val="0.5"/>
      </iconSet>
    </cfRule>
  </conditionalFormatting>
  <conditionalFormatting sqref="V186">
    <cfRule type="iconSet" priority="232">
      <iconSet iconSet="5Arrows">
        <cfvo type="percent" val="0"/>
        <cfvo type="num" val="-0.2"/>
        <cfvo type="num" val="0"/>
        <cfvo type="num" val="0.2"/>
        <cfvo type="num" val="0.5"/>
      </iconSet>
    </cfRule>
  </conditionalFormatting>
  <conditionalFormatting sqref="V190:V205">
    <cfRule type="iconSet" priority="228">
      <iconSet iconSet="5Arrows">
        <cfvo type="percent" val="0"/>
        <cfvo type="num" val="-0.2"/>
        <cfvo type="num" val="0"/>
        <cfvo type="num" val="0.2"/>
        <cfvo type="num" val="0.5"/>
      </iconSet>
    </cfRule>
  </conditionalFormatting>
  <conditionalFormatting sqref="V206">
    <cfRule type="iconSet" priority="224">
      <iconSet iconSet="5Arrows">
        <cfvo type="percent" val="0"/>
        <cfvo type="num" val="-0.2"/>
        <cfvo type="num" val="0"/>
        <cfvo type="num" val="0.2"/>
        <cfvo type="num" val="0.5"/>
      </iconSet>
    </cfRule>
  </conditionalFormatting>
  <conditionalFormatting sqref="V210:V226">
    <cfRule type="iconSet" priority="218">
      <iconSet iconSet="5Arrows">
        <cfvo type="percent" val="0"/>
        <cfvo type="num" val="-0.2"/>
        <cfvo type="num" val="0"/>
        <cfvo type="num" val="0.2"/>
        <cfvo type="num" val="0.5"/>
      </iconSet>
    </cfRule>
  </conditionalFormatting>
  <conditionalFormatting sqref="V230:V246">
    <cfRule type="iconSet" priority="213">
      <iconSet iconSet="5Arrows">
        <cfvo type="percent" val="0"/>
        <cfvo type="num" val="-0.2"/>
        <cfvo type="num" val="0"/>
        <cfvo type="num" val="0.2"/>
        <cfvo type="num" val="0.5"/>
      </iconSet>
    </cfRule>
  </conditionalFormatting>
  <conditionalFormatting sqref="V250:V259">
    <cfRule type="iconSet" priority="208">
      <iconSet iconSet="5Arrows">
        <cfvo type="percent" val="0"/>
        <cfvo type="num" val="-0.2"/>
        <cfvo type="num" val="0"/>
        <cfvo type="num" val="0.2"/>
        <cfvo type="num" val="0.5"/>
      </iconSet>
    </cfRule>
  </conditionalFormatting>
  <conditionalFormatting sqref="V260">
    <cfRule type="iconSet" priority="204">
      <iconSet iconSet="5Arrows">
        <cfvo type="percent" val="0"/>
        <cfvo type="num" val="-0.2"/>
        <cfvo type="num" val="0"/>
        <cfvo type="num" val="0.2"/>
        <cfvo type="num" val="0.5"/>
      </iconSet>
    </cfRule>
  </conditionalFormatting>
  <conditionalFormatting sqref="V264:V274">
    <cfRule type="iconSet" priority="200">
      <iconSet iconSet="5Arrows">
        <cfvo type="percent" val="0"/>
        <cfvo type="num" val="-0.2"/>
        <cfvo type="num" val="0"/>
        <cfvo type="num" val="0.2"/>
        <cfvo type="num" val="0.5"/>
      </iconSet>
    </cfRule>
  </conditionalFormatting>
  <conditionalFormatting sqref="V278:V288">
    <cfRule type="iconSet" priority="67">
      <iconSet iconSet="5Arrows">
        <cfvo type="percent" val="0"/>
        <cfvo type="num" val="-0.2"/>
        <cfvo type="num" val="0"/>
        <cfvo type="num" val="0.2"/>
        <cfvo type="num" val="0.5"/>
      </iconSet>
    </cfRule>
  </conditionalFormatting>
  <conditionalFormatting sqref="V292:V302">
    <cfRule type="iconSet" priority="63">
      <iconSet iconSet="5Arrows">
        <cfvo type="percent" val="0"/>
        <cfvo type="num" val="-0.2"/>
        <cfvo type="num" val="0"/>
        <cfvo type="num" val="0.2"/>
        <cfvo type="num" val="0.5"/>
      </iconSet>
    </cfRule>
  </conditionalFormatting>
  <conditionalFormatting sqref="V306:V325">
    <cfRule type="iconSet" priority="194">
      <iconSet iconSet="5Arrows">
        <cfvo type="percent" val="0"/>
        <cfvo type="num" val="-0.2"/>
        <cfvo type="num" val="0"/>
        <cfvo type="num" val="0.2"/>
        <cfvo type="num" val="0.5"/>
      </iconSet>
    </cfRule>
  </conditionalFormatting>
  <conditionalFormatting sqref="V329:V348">
    <cfRule type="iconSet" priority="189">
      <iconSet iconSet="5Arrows">
        <cfvo type="percent" val="0"/>
        <cfvo type="num" val="-0.2"/>
        <cfvo type="num" val="0"/>
        <cfvo type="num" val="0.2"/>
        <cfvo type="num" val="0.5"/>
      </iconSet>
    </cfRule>
  </conditionalFormatting>
  <conditionalFormatting sqref="V352">
    <cfRule type="iconSet" priority="180">
      <iconSet iconSet="5Arrows">
        <cfvo type="percent" val="0"/>
        <cfvo type="num" val="-0.2"/>
        <cfvo type="num" val="0"/>
        <cfvo type="num" val="0.2"/>
        <cfvo type="num" val="0.5"/>
      </iconSet>
    </cfRule>
  </conditionalFormatting>
  <conditionalFormatting sqref="V353:V371">
    <cfRule type="iconSet" priority="185">
      <iconSet iconSet="5Arrows">
        <cfvo type="percent" val="0"/>
        <cfvo type="num" val="-0.2"/>
        <cfvo type="num" val="0"/>
        <cfvo type="num" val="0.2"/>
        <cfvo type="num" val="0.5"/>
      </iconSet>
    </cfRule>
  </conditionalFormatting>
  <conditionalFormatting sqref="V375">
    <cfRule type="iconSet" priority="173">
      <iconSet iconSet="5Arrows">
        <cfvo type="percent" val="0"/>
        <cfvo type="num" val="-0.2"/>
        <cfvo type="num" val="0"/>
        <cfvo type="num" val="0.2"/>
        <cfvo type="num" val="0.5"/>
      </iconSet>
    </cfRule>
  </conditionalFormatting>
  <conditionalFormatting sqref="V376:V394">
    <cfRule type="iconSet" priority="177">
      <iconSet iconSet="5Arrows">
        <cfvo type="percent" val="0"/>
        <cfvo type="num" val="-0.2"/>
        <cfvo type="num" val="0"/>
        <cfvo type="num" val="0.2"/>
        <cfvo type="num" val="0.5"/>
      </iconSet>
    </cfRule>
  </conditionalFormatting>
  <conditionalFormatting sqref="V398:V417">
    <cfRule type="iconSet" priority="167">
      <iconSet iconSet="5Arrows">
        <cfvo type="percent" val="0"/>
        <cfvo type="num" val="-0.2"/>
        <cfvo type="num" val="0"/>
        <cfvo type="num" val="0.2"/>
        <cfvo type="num" val="0.5"/>
      </iconSet>
    </cfRule>
  </conditionalFormatting>
  <conditionalFormatting sqref="V421:V440">
    <cfRule type="iconSet" priority="163">
      <iconSet iconSet="5Arrows">
        <cfvo type="percent" val="0"/>
        <cfvo type="num" val="-0.2"/>
        <cfvo type="num" val="0"/>
        <cfvo type="num" val="0.2"/>
        <cfvo type="num" val="0.5"/>
      </iconSet>
    </cfRule>
  </conditionalFormatting>
  <conditionalFormatting sqref="V444:V459">
    <cfRule type="iconSet" priority="157">
      <iconSet iconSet="5Arrows">
        <cfvo type="percent" val="0"/>
        <cfvo type="num" val="-0.2"/>
        <cfvo type="num" val="0"/>
        <cfvo type="num" val="0.2"/>
        <cfvo type="num" val="0.5"/>
      </iconSet>
    </cfRule>
  </conditionalFormatting>
  <conditionalFormatting sqref="V463:V475 V478">
    <cfRule type="iconSet" priority="153">
      <iconSet iconSet="5Arrows">
        <cfvo type="percent" val="0"/>
        <cfvo type="num" val="-0.2"/>
        <cfvo type="num" val="0"/>
        <cfvo type="num" val="0.2"/>
        <cfvo type="num" val="0.5"/>
      </iconSet>
    </cfRule>
  </conditionalFormatting>
  <conditionalFormatting sqref="V482:V485">
    <cfRule type="iconSet" priority="147">
      <iconSet iconSet="5Arrows">
        <cfvo type="percent" val="0"/>
        <cfvo type="num" val="-0.2"/>
        <cfvo type="num" val="0"/>
        <cfvo type="num" val="0.2"/>
        <cfvo type="num" val="0.5"/>
      </iconSet>
    </cfRule>
  </conditionalFormatting>
  <conditionalFormatting sqref="V489:V490 V492">
    <cfRule type="iconSet" priority="142">
      <iconSet iconSet="5Arrows">
        <cfvo type="percent" val="0"/>
        <cfvo type="num" val="-0.2"/>
        <cfvo type="num" val="0"/>
        <cfvo type="num" val="0.2"/>
        <cfvo type="num" val="0.5"/>
      </iconSet>
    </cfRule>
  </conditionalFormatting>
  <conditionalFormatting sqref="V491">
    <cfRule type="iconSet" priority="8">
      <iconSet iconSet="5Arrows">
        <cfvo type="percent" val="0"/>
        <cfvo type="num" val="-0.2"/>
        <cfvo type="num" val="0"/>
        <cfvo type="num" val="0.2"/>
        <cfvo type="num" val="0.5"/>
      </iconSet>
    </cfRule>
  </conditionalFormatting>
  <conditionalFormatting sqref="V496:V497 V499">
    <cfRule type="iconSet" priority="137">
      <iconSet iconSet="5Arrows">
        <cfvo type="percent" val="0"/>
        <cfvo type="num" val="-0.2"/>
        <cfvo type="num" val="0"/>
        <cfvo type="num" val="0.2"/>
        <cfvo type="num" val="0.5"/>
      </iconSet>
    </cfRule>
  </conditionalFormatting>
  <conditionalFormatting sqref="V503:V504 V506:V507">
    <cfRule type="iconSet" priority="132">
      <iconSet iconSet="5Arrows">
        <cfvo type="percent" val="0"/>
        <cfvo type="num" val="-0.2"/>
        <cfvo type="num" val="0"/>
        <cfvo type="num" val="0.2"/>
        <cfvo type="num" val="0.5"/>
      </iconSet>
    </cfRule>
  </conditionalFormatting>
  <conditionalFormatting sqref="V510:V511 V513">
    <cfRule type="iconSet" priority="127">
      <iconSet iconSet="5Arrows">
        <cfvo type="percent" val="0"/>
        <cfvo type="num" val="-0.2"/>
        <cfvo type="num" val="0"/>
        <cfvo type="num" val="0.2"/>
        <cfvo type="num" val="0.5"/>
      </iconSet>
    </cfRule>
  </conditionalFormatting>
  <conditionalFormatting sqref="V517:V518 V520">
    <cfRule type="iconSet" priority="122">
      <iconSet iconSet="5Arrows">
        <cfvo type="percent" val="0"/>
        <cfvo type="num" val="-0.2"/>
        <cfvo type="num" val="0"/>
        <cfvo type="num" val="0.2"/>
        <cfvo type="num" val="0.5"/>
      </iconSet>
    </cfRule>
  </conditionalFormatting>
  <conditionalFormatting sqref="V524:V525 V527">
    <cfRule type="iconSet" priority="117">
      <iconSet iconSet="5Arrows">
        <cfvo type="percent" val="0"/>
        <cfvo type="num" val="-0.2"/>
        <cfvo type="num" val="0"/>
        <cfvo type="num" val="0.2"/>
        <cfvo type="num" val="0.5"/>
      </iconSet>
    </cfRule>
  </conditionalFormatting>
  <conditionalFormatting sqref="V531:V532 V534">
    <cfRule type="iconSet" priority="112">
      <iconSet iconSet="5Arrows">
        <cfvo type="percent" val="0"/>
        <cfvo type="num" val="-0.2"/>
        <cfvo type="num" val="0"/>
        <cfvo type="num" val="0.2"/>
        <cfvo type="num" val="0.5"/>
      </iconSet>
    </cfRule>
  </conditionalFormatting>
  <conditionalFormatting sqref="V538:V545">
    <cfRule type="iconSet" priority="107">
      <iconSet iconSet="5Arrows">
        <cfvo type="percent" val="0"/>
        <cfvo type="num" val="-0.2"/>
        <cfvo type="num" val="0"/>
        <cfvo type="num" val="0.2"/>
        <cfvo type="num" val="0.5"/>
      </iconSet>
    </cfRule>
  </conditionalFormatting>
  <conditionalFormatting sqref="V550:V557">
    <cfRule type="iconSet" priority="102">
      <iconSet iconSet="5Arrows">
        <cfvo type="percent" val="0"/>
        <cfvo type="num" val="-0.2"/>
        <cfvo type="num" val="0"/>
        <cfvo type="num" val="0.2"/>
        <cfvo type="num" val="0.5"/>
      </iconSet>
    </cfRule>
  </conditionalFormatting>
  <conditionalFormatting sqref="V563:V570">
    <cfRule type="iconSet" priority="97">
      <iconSet iconSet="5Arrows">
        <cfvo type="percent" val="0"/>
        <cfvo type="num" val="-0.2"/>
        <cfvo type="num" val="0"/>
        <cfvo type="num" val="0.2"/>
        <cfvo type="num" val="0.5"/>
      </iconSet>
    </cfRule>
  </conditionalFormatting>
  <conditionalFormatting sqref="V575:V582">
    <cfRule type="iconSet" priority="92">
      <iconSet iconSet="5Arrows">
        <cfvo type="percent" val="0"/>
        <cfvo type="num" val="-0.2"/>
        <cfvo type="num" val="0"/>
        <cfvo type="num" val="0.2"/>
        <cfvo type="num" val="0.5"/>
      </iconSet>
    </cfRule>
  </conditionalFormatting>
  <conditionalFormatting sqref="V588:V595">
    <cfRule type="iconSet" priority="87">
      <iconSet iconSet="5Arrows">
        <cfvo type="percent" val="0"/>
        <cfvo type="num" val="-0.2"/>
        <cfvo type="num" val="0"/>
        <cfvo type="num" val="0.2"/>
        <cfvo type="num" val="0.5"/>
      </iconSet>
    </cfRule>
  </conditionalFormatting>
  <conditionalFormatting sqref="V600:V607">
    <cfRule type="iconSet" priority="82">
      <iconSet iconSet="5Arrows">
        <cfvo type="percent" val="0"/>
        <cfvo type="num" val="-0.2"/>
        <cfvo type="num" val="0"/>
        <cfvo type="num" val="0.2"/>
        <cfvo type="num" val="0.5"/>
      </iconSet>
    </cfRule>
  </conditionalFormatting>
  <conditionalFormatting sqref="V612:V619">
    <cfRule type="iconSet" priority="77">
      <iconSet iconSet="5Arrows">
        <cfvo type="percent" val="0"/>
        <cfvo type="num" val="-0.2"/>
        <cfvo type="num" val="0"/>
        <cfvo type="num" val="0.2"/>
        <cfvo type="num" val="0.5"/>
      </iconSet>
    </cfRule>
  </conditionalFormatting>
  <conditionalFormatting sqref="V624:V631">
    <cfRule type="iconSet" priority="72">
      <iconSet iconSet="5Arrows">
        <cfvo type="percent" val="0"/>
        <cfvo type="num" val="-0.2"/>
        <cfvo type="num" val="0"/>
        <cfvo type="num" val="0.2"/>
        <cfvo type="num" val="0.5"/>
      </iconSet>
    </cfRule>
  </conditionalFormatting>
  <conditionalFormatting sqref="V637:V640">
    <cfRule type="iconSet" priority="57">
      <iconSet iconSet="5Arrows">
        <cfvo type="percent" val="0"/>
        <cfvo type="num" val="-0.2"/>
        <cfvo type="num" val="0"/>
        <cfvo type="num" val="0.2"/>
        <cfvo type="num" val="0.5"/>
      </iconSet>
    </cfRule>
  </conditionalFormatting>
  <conditionalFormatting sqref="V644:V647">
    <cfRule type="iconSet" priority="52">
      <iconSet iconSet="5Arrows">
        <cfvo type="percent" val="0"/>
        <cfvo type="num" val="-0.2"/>
        <cfvo type="num" val="0"/>
        <cfvo type="num" val="0.2"/>
        <cfvo type="num" val="0.5"/>
      </iconSet>
    </cfRule>
  </conditionalFormatting>
  <conditionalFormatting sqref="V651:V654">
    <cfRule type="iconSet" priority="47">
      <iconSet iconSet="5Arrows">
        <cfvo type="percent" val="0"/>
        <cfvo type="num" val="-0.2"/>
        <cfvo type="num" val="0"/>
        <cfvo type="num" val="0.2"/>
        <cfvo type="num" val="0.5"/>
      </iconSet>
    </cfRule>
  </conditionalFormatting>
  <conditionalFormatting sqref="V658:V661">
    <cfRule type="iconSet" priority="42">
      <iconSet iconSet="5Arrows">
        <cfvo type="percent" val="0"/>
        <cfvo type="num" val="-0.2"/>
        <cfvo type="num" val="0"/>
        <cfvo type="num" val="0.2"/>
        <cfvo type="num" val="0.5"/>
      </iconSet>
    </cfRule>
  </conditionalFormatting>
  <conditionalFormatting sqref="V665:V671">
    <cfRule type="iconSet" priority="35">
      <iconSet iconSet="5Arrows">
        <cfvo type="percent" val="0"/>
        <cfvo type="num" val="-0.2"/>
        <cfvo type="num" val="0"/>
        <cfvo type="num" val="0.2"/>
        <cfvo type="num" val="0.5"/>
      </iconSet>
    </cfRule>
  </conditionalFormatting>
  <conditionalFormatting sqref="V675:V681">
    <cfRule type="iconSet" priority="32">
      <iconSet iconSet="5Arrows">
        <cfvo type="percent" val="0"/>
        <cfvo type="num" val="-0.2"/>
        <cfvo type="num" val="0"/>
        <cfvo type="num" val="0.2"/>
        <cfvo type="num" val="0.5"/>
      </iconSet>
    </cfRule>
  </conditionalFormatting>
  <conditionalFormatting sqref="V685:V691">
    <cfRule type="iconSet" priority="29">
      <iconSet iconSet="5Arrows">
        <cfvo type="percent" val="0"/>
        <cfvo type="num" val="-0.2"/>
        <cfvo type="num" val="0"/>
        <cfvo type="num" val="0.2"/>
        <cfvo type="num" val="0.5"/>
      </iconSet>
    </cfRule>
  </conditionalFormatting>
  <conditionalFormatting sqref="V695:V701">
    <cfRule type="iconSet" priority="26">
      <iconSet iconSet="5Arrows">
        <cfvo type="percent" val="0"/>
        <cfvo type="num" val="-0.2"/>
        <cfvo type="num" val="0"/>
        <cfvo type="num" val="0.2"/>
        <cfvo type="num" val="0.5"/>
      </iconSet>
    </cfRule>
  </conditionalFormatting>
  <conditionalFormatting sqref="V705:V716">
    <cfRule type="iconSet" priority="18">
      <iconSet iconSet="5Arrows">
        <cfvo type="percent" val="0"/>
        <cfvo type="num" val="-0.2"/>
        <cfvo type="num" val="0"/>
        <cfvo type="num" val="0.2"/>
        <cfvo type="num" val="0.5"/>
      </iconSet>
    </cfRule>
  </conditionalFormatting>
  <conditionalFormatting sqref="V722:V733">
    <cfRule type="iconSet" priority="12">
      <iconSet iconSet="5Arrows">
        <cfvo type="percent" val="0"/>
        <cfvo type="num" val="-0.2"/>
        <cfvo type="num" val="0"/>
        <cfvo type="num" val="0.2"/>
        <cfvo type="num" val="0.5"/>
      </iconSet>
    </cfRule>
  </conditionalFormatting>
  <conditionalFormatting sqref="V153:W153">
    <cfRule type="iconSet" priority="11">
      <iconSet iconSet="5Arrows">
        <cfvo type="percent" val="0"/>
        <cfvo type="num" val="-0.2"/>
        <cfvo type="num" val="0"/>
        <cfvo type="num" val="0.2"/>
        <cfvo type="num" val="0.5"/>
      </iconSet>
    </cfRule>
  </conditionalFormatting>
  <conditionalFormatting sqref="W6:W9">
    <cfRule type="iconSet" priority="359">
      <iconSet iconSet="5Arrows">
        <cfvo type="percent" val="0"/>
        <cfvo type="num" val="-0.1"/>
        <cfvo type="num" val="0"/>
        <cfvo type="num" val="0.1"/>
        <cfvo type="num" val="0.2"/>
      </iconSet>
    </cfRule>
  </conditionalFormatting>
  <conditionalFormatting sqref="W13:W16">
    <cfRule type="iconSet" priority="354">
      <iconSet iconSet="5Arrows">
        <cfvo type="percent" val="0"/>
        <cfvo type="num" val="-0.1"/>
        <cfvo type="num" val="0"/>
        <cfvo type="num" val="0.1"/>
        <cfvo type="num" val="0.2"/>
      </iconSet>
    </cfRule>
  </conditionalFormatting>
  <conditionalFormatting sqref="W20:W26">
    <cfRule type="iconSet" priority="349">
      <iconSet iconSet="5Arrows">
        <cfvo type="percent" val="0"/>
        <cfvo type="num" val="-0.1"/>
        <cfvo type="num" val="0"/>
        <cfvo type="num" val="0.1"/>
        <cfvo type="num" val="0.2"/>
      </iconSet>
    </cfRule>
  </conditionalFormatting>
  <conditionalFormatting sqref="W27">
    <cfRule type="iconSet" priority="344">
      <iconSet iconSet="5Arrows">
        <cfvo type="percent" val="0"/>
        <cfvo type="num" val="-0.1"/>
        <cfvo type="num" val="0"/>
        <cfvo type="num" val="0.1"/>
        <cfvo type="num" val="0.2"/>
      </iconSet>
    </cfRule>
  </conditionalFormatting>
  <conditionalFormatting sqref="W33:W38">
    <cfRule type="iconSet" priority="339">
      <iconSet iconSet="5Arrows">
        <cfvo type="percent" val="0"/>
        <cfvo type="num" val="-0.1"/>
        <cfvo type="num" val="0"/>
        <cfvo type="num" val="0.1"/>
        <cfvo type="num" val="0.2"/>
      </iconSet>
    </cfRule>
  </conditionalFormatting>
  <conditionalFormatting sqref="W39">
    <cfRule type="iconSet" priority="334">
      <iconSet iconSet="5Arrows">
        <cfvo type="percent" val="0"/>
        <cfvo type="num" val="-0.1"/>
        <cfvo type="num" val="0"/>
        <cfvo type="num" val="0.1"/>
        <cfvo type="num" val="0.2"/>
      </iconSet>
    </cfRule>
  </conditionalFormatting>
  <conditionalFormatting sqref="W44:W48">
    <cfRule type="iconSet" priority="326">
      <iconSet iconSet="5Arrows">
        <cfvo type="percent" val="0"/>
        <cfvo type="num" val="-0.1"/>
        <cfvo type="num" val="0"/>
        <cfvo type="num" val="0.1"/>
        <cfvo type="num" val="0.2"/>
      </iconSet>
    </cfRule>
  </conditionalFormatting>
  <conditionalFormatting sqref="W49">
    <cfRule type="iconSet" priority="330">
      <iconSet iconSet="5Arrows">
        <cfvo type="percent" val="0"/>
        <cfvo type="num" val="-0.1"/>
        <cfvo type="num" val="0"/>
        <cfvo type="num" val="0.1"/>
        <cfvo type="num" val="0.2"/>
      </iconSet>
    </cfRule>
  </conditionalFormatting>
  <conditionalFormatting sqref="W53:W57">
    <cfRule type="iconSet" priority="321">
      <iconSet iconSet="5Arrows">
        <cfvo type="percent" val="0"/>
        <cfvo type="num" val="-0.1"/>
        <cfvo type="num" val="0"/>
        <cfvo type="num" val="0.1"/>
        <cfvo type="num" val="0.2"/>
      </iconSet>
    </cfRule>
  </conditionalFormatting>
  <conditionalFormatting sqref="W58">
    <cfRule type="iconSet" priority="316">
      <iconSet iconSet="5Arrows">
        <cfvo type="percent" val="0"/>
        <cfvo type="num" val="-0.1"/>
        <cfvo type="num" val="0"/>
        <cfvo type="num" val="0.1"/>
        <cfvo type="num" val="0.2"/>
      </iconSet>
    </cfRule>
  </conditionalFormatting>
  <conditionalFormatting sqref="W62:W63">
    <cfRule type="iconSet" priority="312">
      <iconSet iconSet="5Arrows">
        <cfvo type="percent" val="0"/>
        <cfvo type="num" val="-0.1"/>
        <cfvo type="num" val="0"/>
        <cfvo type="num" val="0.1"/>
        <cfvo type="num" val="0.2"/>
      </iconSet>
    </cfRule>
  </conditionalFormatting>
  <conditionalFormatting sqref="W64">
    <cfRule type="iconSet" priority="307">
      <iconSet iconSet="5Arrows">
        <cfvo type="percent" val="0"/>
        <cfvo type="num" val="-0.1"/>
        <cfvo type="num" val="0"/>
        <cfvo type="num" val="0.1"/>
        <cfvo type="num" val="0.2"/>
      </iconSet>
    </cfRule>
  </conditionalFormatting>
  <conditionalFormatting sqref="W70:W71">
    <cfRule type="iconSet" priority="303">
      <iconSet iconSet="5Arrows">
        <cfvo type="percent" val="0"/>
        <cfvo type="num" val="-0.1"/>
        <cfvo type="num" val="0"/>
        <cfvo type="num" val="0.1"/>
        <cfvo type="num" val="0.2"/>
      </iconSet>
    </cfRule>
  </conditionalFormatting>
  <conditionalFormatting sqref="W72">
    <cfRule type="iconSet" priority="298">
      <iconSet iconSet="5Arrows">
        <cfvo type="percent" val="0"/>
        <cfvo type="num" val="-0.1"/>
        <cfvo type="num" val="0"/>
        <cfvo type="num" val="0.1"/>
        <cfvo type="num" val="0.2"/>
      </iconSet>
    </cfRule>
  </conditionalFormatting>
  <conditionalFormatting sqref="W78:W88">
    <cfRule type="iconSet" priority="294">
      <iconSet iconSet="5Arrows">
        <cfvo type="percent" val="0"/>
        <cfvo type="num" val="-0.1"/>
        <cfvo type="num" val="0"/>
        <cfvo type="num" val="0.1"/>
        <cfvo type="num" val="0.2"/>
      </iconSet>
    </cfRule>
  </conditionalFormatting>
  <conditionalFormatting sqref="W89">
    <cfRule type="iconSet" priority="289">
      <iconSet iconSet="5Arrows">
        <cfvo type="percent" val="0"/>
        <cfvo type="num" val="-0.1"/>
        <cfvo type="num" val="0"/>
        <cfvo type="num" val="0.1"/>
        <cfvo type="num" val="0.2"/>
      </iconSet>
    </cfRule>
  </conditionalFormatting>
  <conditionalFormatting sqref="W93:W103">
    <cfRule type="iconSet" priority="285">
      <iconSet iconSet="5Arrows">
        <cfvo type="percent" val="0"/>
        <cfvo type="num" val="-0.1"/>
        <cfvo type="num" val="0"/>
        <cfvo type="num" val="0.1"/>
        <cfvo type="num" val="0.2"/>
      </iconSet>
    </cfRule>
  </conditionalFormatting>
  <conditionalFormatting sqref="W104">
    <cfRule type="iconSet" priority="280">
      <iconSet iconSet="5Arrows">
        <cfvo type="percent" val="0"/>
        <cfvo type="num" val="-0.1"/>
        <cfvo type="num" val="0"/>
        <cfvo type="num" val="0.1"/>
        <cfvo type="num" val="0.2"/>
      </iconSet>
    </cfRule>
  </conditionalFormatting>
  <conditionalFormatting sqref="W108:W112">
    <cfRule type="iconSet" priority="276">
      <iconSet iconSet="5Arrows">
        <cfvo type="percent" val="0"/>
        <cfvo type="num" val="-0.1"/>
        <cfvo type="num" val="0"/>
        <cfvo type="num" val="0.1"/>
        <cfvo type="num" val="0.2"/>
      </iconSet>
    </cfRule>
  </conditionalFormatting>
  <conditionalFormatting sqref="W113">
    <cfRule type="iconSet" priority="271">
      <iconSet iconSet="5Arrows">
        <cfvo type="percent" val="0"/>
        <cfvo type="num" val="-0.1"/>
        <cfvo type="num" val="0"/>
        <cfvo type="num" val="0.1"/>
        <cfvo type="num" val="0.2"/>
      </iconSet>
    </cfRule>
  </conditionalFormatting>
  <conditionalFormatting sqref="W117:W121 W123:W134">
    <cfRule type="iconSet" priority="267">
      <iconSet iconSet="5Arrows">
        <cfvo type="percent" val="0"/>
        <cfvo type="num" val="-0.1"/>
        <cfvo type="num" val="0"/>
        <cfvo type="num" val="0.1"/>
        <cfvo type="num" val="0.2"/>
      </iconSet>
    </cfRule>
  </conditionalFormatting>
  <conditionalFormatting sqref="W135">
    <cfRule type="iconSet" priority="262">
      <iconSet iconSet="5Arrows">
        <cfvo type="percent" val="0"/>
        <cfvo type="num" val="-0.1"/>
        <cfvo type="num" val="0"/>
        <cfvo type="num" val="0.1"/>
        <cfvo type="num" val="0.2"/>
      </iconSet>
    </cfRule>
  </conditionalFormatting>
  <conditionalFormatting sqref="W139:W143">
    <cfRule type="iconSet" priority="258">
      <iconSet iconSet="5Arrows">
        <cfvo type="percent" val="0"/>
        <cfvo type="num" val="-0.1"/>
        <cfvo type="num" val="0"/>
        <cfvo type="num" val="0.1"/>
        <cfvo type="num" val="0.2"/>
      </iconSet>
    </cfRule>
  </conditionalFormatting>
  <conditionalFormatting sqref="W144">
    <cfRule type="iconSet" priority="253">
      <iconSet iconSet="5Arrows">
        <cfvo type="percent" val="0"/>
        <cfvo type="num" val="-0.1"/>
        <cfvo type="num" val="0"/>
        <cfvo type="num" val="0.1"/>
        <cfvo type="num" val="0.2"/>
      </iconSet>
    </cfRule>
  </conditionalFormatting>
  <conditionalFormatting sqref="W148:W152 W154:W164">
    <cfRule type="iconSet" priority="245">
      <iconSet iconSet="5Arrows">
        <cfvo type="percent" val="0"/>
        <cfvo type="num" val="-0.1"/>
        <cfvo type="num" val="0"/>
        <cfvo type="num" val="0.1"/>
        <cfvo type="num" val="0.2"/>
      </iconSet>
    </cfRule>
  </conditionalFormatting>
  <conditionalFormatting sqref="W165">
    <cfRule type="iconSet" priority="10">
      <iconSet iconSet="5Arrows">
        <cfvo type="percent" val="0"/>
        <cfvo type="num" val="-0.2"/>
        <cfvo type="num" val="0"/>
        <cfvo type="num" val="0.2"/>
        <cfvo type="num" val="0.5"/>
      </iconSet>
    </cfRule>
  </conditionalFormatting>
  <conditionalFormatting sqref="W166">
    <cfRule type="iconSet" priority="249">
      <iconSet iconSet="5Arrows">
        <cfvo type="percent" val="0"/>
        <cfvo type="num" val="-0.1"/>
        <cfvo type="num" val="0"/>
        <cfvo type="num" val="0.1"/>
        <cfvo type="num" val="0.2"/>
      </iconSet>
    </cfRule>
  </conditionalFormatting>
  <conditionalFormatting sqref="W170:W185">
    <cfRule type="iconSet" priority="240">
      <iconSet iconSet="5Arrows">
        <cfvo type="percent" val="0"/>
        <cfvo type="num" val="-0.1"/>
        <cfvo type="num" val="0"/>
        <cfvo type="num" val="0.1"/>
        <cfvo type="num" val="0.2"/>
      </iconSet>
    </cfRule>
  </conditionalFormatting>
  <conditionalFormatting sqref="W186">
    <cfRule type="iconSet" priority="235">
      <iconSet iconSet="5Arrows">
        <cfvo type="percent" val="0"/>
        <cfvo type="num" val="-0.1"/>
        <cfvo type="num" val="0"/>
        <cfvo type="num" val="0.1"/>
        <cfvo type="num" val="0.2"/>
      </iconSet>
    </cfRule>
  </conditionalFormatting>
  <conditionalFormatting sqref="W190:W205">
    <cfRule type="iconSet" priority="231">
      <iconSet iconSet="5Arrows">
        <cfvo type="percent" val="0"/>
        <cfvo type="num" val="-0.1"/>
        <cfvo type="num" val="0"/>
        <cfvo type="num" val="0.1"/>
        <cfvo type="num" val="0.2"/>
      </iconSet>
    </cfRule>
  </conditionalFormatting>
  <conditionalFormatting sqref="W206">
    <cfRule type="iconSet" priority="227">
      <iconSet iconSet="5Arrows">
        <cfvo type="percent" val="0"/>
        <cfvo type="num" val="-0.1"/>
        <cfvo type="num" val="0"/>
        <cfvo type="num" val="0.1"/>
        <cfvo type="num" val="0.2"/>
      </iconSet>
    </cfRule>
  </conditionalFormatting>
  <conditionalFormatting sqref="W210:W226">
    <cfRule type="iconSet" priority="222">
      <iconSet iconSet="5Arrows">
        <cfvo type="percent" val="0"/>
        <cfvo type="num" val="-0.1"/>
        <cfvo type="num" val="0"/>
        <cfvo type="num" val="0.1"/>
        <cfvo type="num" val="0.2"/>
      </iconSet>
    </cfRule>
  </conditionalFormatting>
  <conditionalFormatting sqref="W230:W246">
    <cfRule type="iconSet" priority="217">
      <iconSet iconSet="5Arrows">
        <cfvo type="percent" val="0"/>
        <cfvo type="num" val="-0.1"/>
        <cfvo type="num" val="0"/>
        <cfvo type="num" val="0.1"/>
        <cfvo type="num" val="0.2"/>
      </iconSet>
    </cfRule>
  </conditionalFormatting>
  <conditionalFormatting sqref="W250:W259">
    <cfRule type="iconSet" priority="212">
      <iconSet iconSet="5Arrows">
        <cfvo type="percent" val="0"/>
        <cfvo type="num" val="-0.1"/>
        <cfvo type="num" val="0"/>
        <cfvo type="num" val="0.1"/>
        <cfvo type="num" val="0.2"/>
      </iconSet>
    </cfRule>
  </conditionalFormatting>
  <conditionalFormatting sqref="W260">
    <cfRule type="iconSet" priority="207">
      <iconSet iconSet="5Arrows">
        <cfvo type="percent" val="0"/>
        <cfvo type="num" val="-0.1"/>
        <cfvo type="num" val="0"/>
        <cfvo type="num" val="0.1"/>
        <cfvo type="num" val="0.2"/>
      </iconSet>
    </cfRule>
  </conditionalFormatting>
  <conditionalFormatting sqref="W264:W274">
    <cfRule type="iconSet" priority="203">
      <iconSet iconSet="5Arrows">
        <cfvo type="percent" val="0"/>
        <cfvo type="num" val="-0.1"/>
        <cfvo type="num" val="0"/>
        <cfvo type="num" val="0.1"/>
        <cfvo type="num" val="0.2"/>
      </iconSet>
    </cfRule>
  </conditionalFormatting>
  <conditionalFormatting sqref="W278:W288">
    <cfRule type="iconSet" priority="71">
      <iconSet iconSet="5Arrows">
        <cfvo type="percent" val="0"/>
        <cfvo type="num" val="-0.1"/>
        <cfvo type="num" val="0"/>
        <cfvo type="num" val="0.1"/>
        <cfvo type="num" val="0.2"/>
      </iconSet>
    </cfRule>
  </conditionalFormatting>
  <conditionalFormatting sqref="W292:W302">
    <cfRule type="iconSet" priority="66">
      <iconSet iconSet="5Arrows">
        <cfvo type="percent" val="0"/>
        <cfvo type="num" val="-0.1"/>
        <cfvo type="num" val="0"/>
        <cfvo type="num" val="0.1"/>
        <cfvo type="num" val="0.2"/>
      </iconSet>
    </cfRule>
  </conditionalFormatting>
  <conditionalFormatting sqref="W306:W325">
    <cfRule type="iconSet" priority="198">
      <iconSet iconSet="5Arrows">
        <cfvo type="percent" val="0"/>
        <cfvo type="num" val="-0.1"/>
        <cfvo type="num" val="0"/>
        <cfvo type="num" val="0.1"/>
        <cfvo type="num" val="0.2"/>
      </iconSet>
    </cfRule>
  </conditionalFormatting>
  <conditionalFormatting sqref="W329:W348">
    <cfRule type="iconSet" priority="193">
      <iconSet iconSet="5Arrows">
        <cfvo type="percent" val="0"/>
        <cfvo type="num" val="-0.1"/>
        <cfvo type="num" val="0"/>
        <cfvo type="num" val="0.1"/>
        <cfvo type="num" val="0.2"/>
      </iconSet>
    </cfRule>
  </conditionalFormatting>
  <conditionalFormatting sqref="W352">
    <cfRule type="iconSet" priority="184">
      <iconSet iconSet="5Arrows">
        <cfvo type="percent" val="0"/>
        <cfvo type="num" val="-0.1"/>
        <cfvo type="num" val="0"/>
        <cfvo type="num" val="0.1"/>
        <cfvo type="num" val="0.2"/>
      </iconSet>
    </cfRule>
  </conditionalFormatting>
  <conditionalFormatting sqref="W353:W371">
    <cfRule type="iconSet" priority="188">
      <iconSet iconSet="5Arrows">
        <cfvo type="percent" val="0"/>
        <cfvo type="num" val="-0.1"/>
        <cfvo type="num" val="0"/>
        <cfvo type="num" val="0.1"/>
        <cfvo type="num" val="0.2"/>
      </iconSet>
    </cfRule>
  </conditionalFormatting>
  <conditionalFormatting sqref="W375">
    <cfRule type="iconSet" priority="176">
      <iconSet iconSet="5Arrows">
        <cfvo type="percent" val="0"/>
        <cfvo type="num" val="-0.1"/>
        <cfvo type="num" val="0"/>
        <cfvo type="num" val="0.1"/>
        <cfvo type="num" val="0.2"/>
      </iconSet>
    </cfRule>
  </conditionalFormatting>
  <conditionalFormatting sqref="W376:W394">
    <cfRule type="iconSet" priority="179">
      <iconSet iconSet="5Arrows">
        <cfvo type="percent" val="0"/>
        <cfvo type="num" val="-0.1"/>
        <cfvo type="num" val="0"/>
        <cfvo type="num" val="0.1"/>
        <cfvo type="num" val="0.2"/>
      </iconSet>
    </cfRule>
  </conditionalFormatting>
  <conditionalFormatting sqref="W398:W417">
    <cfRule type="iconSet" priority="171">
      <iconSet iconSet="5Arrows">
        <cfvo type="percent" val="0"/>
        <cfvo type="num" val="-0.1"/>
        <cfvo type="num" val="0"/>
        <cfvo type="num" val="0.1"/>
        <cfvo type="num" val="0.2"/>
      </iconSet>
    </cfRule>
  </conditionalFormatting>
  <conditionalFormatting sqref="W421:W440">
    <cfRule type="iconSet" priority="166">
      <iconSet iconSet="5Arrows">
        <cfvo type="percent" val="0"/>
        <cfvo type="num" val="-0.1"/>
        <cfvo type="num" val="0"/>
        <cfvo type="num" val="0.1"/>
        <cfvo type="num" val="0.2"/>
      </iconSet>
    </cfRule>
  </conditionalFormatting>
  <conditionalFormatting sqref="W444:W459">
    <cfRule type="iconSet" priority="161">
      <iconSet iconSet="5Arrows">
        <cfvo type="percent" val="0"/>
        <cfvo type="num" val="-0.1"/>
        <cfvo type="num" val="0"/>
        <cfvo type="num" val="0.1"/>
        <cfvo type="num" val="0.2"/>
      </iconSet>
    </cfRule>
  </conditionalFormatting>
  <conditionalFormatting sqref="W463:W475 W478">
    <cfRule type="iconSet" priority="156">
      <iconSet iconSet="5Arrows">
        <cfvo type="percent" val="0"/>
        <cfvo type="num" val="-0.1"/>
        <cfvo type="num" val="0"/>
        <cfvo type="num" val="0.1"/>
        <cfvo type="num" val="0.2"/>
      </iconSet>
    </cfRule>
  </conditionalFormatting>
  <conditionalFormatting sqref="W482:W485">
    <cfRule type="iconSet" priority="151">
      <iconSet iconSet="5Arrows">
        <cfvo type="percent" val="0"/>
        <cfvo type="num" val="-0.1"/>
        <cfvo type="num" val="0"/>
        <cfvo type="num" val="0.1"/>
        <cfvo type="num" val="0.2"/>
      </iconSet>
    </cfRule>
  </conditionalFormatting>
  <conditionalFormatting sqref="W489:W492">
    <cfRule type="iconSet" priority="146">
      <iconSet iconSet="5Arrows">
        <cfvo type="percent" val="0"/>
        <cfvo type="num" val="-0.1"/>
        <cfvo type="num" val="0"/>
        <cfvo type="num" val="0.1"/>
        <cfvo type="num" val="0.2"/>
      </iconSet>
    </cfRule>
  </conditionalFormatting>
  <conditionalFormatting sqref="W496:W497 W499">
    <cfRule type="iconSet" priority="141">
      <iconSet iconSet="5Arrows">
        <cfvo type="percent" val="0"/>
        <cfvo type="num" val="-0.1"/>
        <cfvo type="num" val="0"/>
        <cfvo type="num" val="0.1"/>
        <cfvo type="num" val="0.2"/>
      </iconSet>
    </cfRule>
  </conditionalFormatting>
  <conditionalFormatting sqref="W503:W504 W506:W507">
    <cfRule type="iconSet" priority="136">
      <iconSet iconSet="5Arrows">
        <cfvo type="percent" val="0"/>
        <cfvo type="num" val="-0.1"/>
        <cfvo type="num" val="0"/>
        <cfvo type="num" val="0.1"/>
        <cfvo type="num" val="0.2"/>
      </iconSet>
    </cfRule>
  </conditionalFormatting>
  <conditionalFormatting sqref="W510:W513">
    <cfRule type="iconSet" priority="131">
      <iconSet iconSet="5Arrows">
        <cfvo type="percent" val="0"/>
        <cfvo type="num" val="-0.1"/>
        <cfvo type="num" val="0"/>
        <cfvo type="num" val="0.1"/>
        <cfvo type="num" val="0.2"/>
      </iconSet>
    </cfRule>
  </conditionalFormatting>
  <conditionalFormatting sqref="W517:W520">
    <cfRule type="iconSet" priority="126">
      <iconSet iconSet="5Arrows">
        <cfvo type="percent" val="0"/>
        <cfvo type="num" val="-0.1"/>
        <cfvo type="num" val="0"/>
        <cfvo type="num" val="0.1"/>
        <cfvo type="num" val="0.2"/>
      </iconSet>
    </cfRule>
  </conditionalFormatting>
  <conditionalFormatting sqref="W524:W527">
    <cfRule type="iconSet" priority="121">
      <iconSet iconSet="5Arrows">
        <cfvo type="percent" val="0"/>
        <cfvo type="num" val="-0.1"/>
        <cfvo type="num" val="0"/>
        <cfvo type="num" val="0.1"/>
        <cfvo type="num" val="0.2"/>
      </iconSet>
    </cfRule>
  </conditionalFormatting>
  <conditionalFormatting sqref="W531:W534">
    <cfRule type="iconSet" priority="116">
      <iconSet iconSet="5Arrows">
        <cfvo type="percent" val="0"/>
        <cfvo type="num" val="-0.1"/>
        <cfvo type="num" val="0"/>
        <cfvo type="num" val="0.1"/>
        <cfvo type="num" val="0.2"/>
      </iconSet>
    </cfRule>
  </conditionalFormatting>
  <conditionalFormatting sqref="W538:W545">
    <cfRule type="iconSet" priority="111">
      <iconSet iconSet="5Arrows">
        <cfvo type="percent" val="0"/>
        <cfvo type="num" val="-0.1"/>
        <cfvo type="num" val="0"/>
        <cfvo type="num" val="0.1"/>
        <cfvo type="num" val="0.2"/>
      </iconSet>
    </cfRule>
  </conditionalFormatting>
  <conditionalFormatting sqref="W550:W557">
    <cfRule type="iconSet" priority="106">
      <iconSet iconSet="5Arrows">
        <cfvo type="percent" val="0"/>
        <cfvo type="num" val="-0.1"/>
        <cfvo type="num" val="0"/>
        <cfvo type="num" val="0.1"/>
        <cfvo type="num" val="0.2"/>
      </iconSet>
    </cfRule>
  </conditionalFormatting>
  <conditionalFormatting sqref="W563:W570">
    <cfRule type="iconSet" priority="101">
      <iconSet iconSet="5Arrows">
        <cfvo type="percent" val="0"/>
        <cfvo type="num" val="-0.1"/>
        <cfvo type="num" val="0"/>
        <cfvo type="num" val="0.1"/>
        <cfvo type="num" val="0.2"/>
      </iconSet>
    </cfRule>
  </conditionalFormatting>
  <conditionalFormatting sqref="W575:W582">
    <cfRule type="iconSet" priority="96">
      <iconSet iconSet="5Arrows">
        <cfvo type="percent" val="0"/>
        <cfvo type="num" val="-0.1"/>
        <cfvo type="num" val="0"/>
        <cfvo type="num" val="0.1"/>
        <cfvo type="num" val="0.2"/>
      </iconSet>
    </cfRule>
  </conditionalFormatting>
  <conditionalFormatting sqref="W588:W595">
    <cfRule type="iconSet" priority="91">
      <iconSet iconSet="5Arrows">
        <cfvo type="percent" val="0"/>
        <cfvo type="num" val="-0.1"/>
        <cfvo type="num" val="0"/>
        <cfvo type="num" val="0.1"/>
        <cfvo type="num" val="0.2"/>
      </iconSet>
    </cfRule>
  </conditionalFormatting>
  <conditionalFormatting sqref="W600:W607">
    <cfRule type="iconSet" priority="86">
      <iconSet iconSet="5Arrows">
        <cfvo type="percent" val="0"/>
        <cfvo type="num" val="-0.1"/>
        <cfvo type="num" val="0"/>
        <cfvo type="num" val="0.1"/>
        <cfvo type="num" val="0.2"/>
      </iconSet>
    </cfRule>
  </conditionalFormatting>
  <conditionalFormatting sqref="W612:W619">
    <cfRule type="iconSet" priority="81">
      <iconSet iconSet="5Arrows">
        <cfvo type="percent" val="0"/>
        <cfvo type="num" val="-0.1"/>
        <cfvo type="num" val="0"/>
        <cfvo type="num" val="0.1"/>
        <cfvo type="num" val="0.2"/>
      </iconSet>
    </cfRule>
  </conditionalFormatting>
  <conditionalFormatting sqref="W624:W631">
    <cfRule type="iconSet" priority="76">
      <iconSet iconSet="5Arrows">
        <cfvo type="percent" val="0"/>
        <cfvo type="num" val="-0.1"/>
        <cfvo type="num" val="0"/>
        <cfvo type="num" val="0.1"/>
        <cfvo type="num" val="0.2"/>
      </iconSet>
    </cfRule>
  </conditionalFormatting>
  <conditionalFormatting sqref="W637:W640">
    <cfRule type="iconSet" priority="61">
      <iconSet iconSet="5Arrows">
        <cfvo type="percent" val="0"/>
        <cfvo type="num" val="-0.1"/>
        <cfvo type="num" val="0"/>
        <cfvo type="num" val="0.1"/>
        <cfvo type="num" val="0.2"/>
      </iconSet>
    </cfRule>
  </conditionalFormatting>
  <conditionalFormatting sqref="W644:W647">
    <cfRule type="iconSet" priority="56">
      <iconSet iconSet="5Arrows">
        <cfvo type="percent" val="0"/>
        <cfvo type="num" val="-0.1"/>
        <cfvo type="num" val="0"/>
        <cfvo type="num" val="0.1"/>
        <cfvo type="num" val="0.2"/>
      </iconSet>
    </cfRule>
  </conditionalFormatting>
  <conditionalFormatting sqref="W651:W654">
    <cfRule type="iconSet" priority="51">
      <iconSet iconSet="5Arrows">
        <cfvo type="percent" val="0"/>
        <cfvo type="num" val="-0.1"/>
        <cfvo type="num" val="0"/>
        <cfvo type="num" val="0.1"/>
        <cfvo type="num" val="0.2"/>
      </iconSet>
    </cfRule>
  </conditionalFormatting>
  <conditionalFormatting sqref="W658:W661">
    <cfRule type="iconSet" priority="46">
      <iconSet iconSet="5Arrows">
        <cfvo type="percent" val="0"/>
        <cfvo type="num" val="-0.1"/>
        <cfvo type="num" val="0"/>
        <cfvo type="num" val="0.1"/>
        <cfvo type="num" val="0.2"/>
      </iconSet>
    </cfRule>
  </conditionalFormatting>
  <conditionalFormatting sqref="W665:W671">
    <cfRule type="iconSet" priority="37">
      <iconSet iconSet="5Arrows">
        <cfvo type="percent" val="0"/>
        <cfvo type="num" val="-0.1"/>
        <cfvo type="num" val="0"/>
        <cfvo type="num" val="0.1"/>
        <cfvo type="num" val="0.2"/>
      </iconSet>
    </cfRule>
  </conditionalFormatting>
  <conditionalFormatting sqref="W675:W681">
    <cfRule type="iconSet" priority="34">
      <iconSet iconSet="5Arrows">
        <cfvo type="percent" val="0"/>
        <cfvo type="num" val="-0.1"/>
        <cfvo type="num" val="0"/>
        <cfvo type="num" val="0.1"/>
        <cfvo type="num" val="0.2"/>
      </iconSet>
    </cfRule>
  </conditionalFormatting>
  <conditionalFormatting sqref="W685:W691">
    <cfRule type="iconSet" priority="31">
      <iconSet iconSet="5Arrows">
        <cfvo type="percent" val="0"/>
        <cfvo type="num" val="-0.1"/>
        <cfvo type="num" val="0"/>
        <cfvo type="num" val="0.1"/>
        <cfvo type="num" val="0.2"/>
      </iconSet>
    </cfRule>
  </conditionalFormatting>
  <conditionalFormatting sqref="W695:W701">
    <cfRule type="iconSet" priority="28">
      <iconSet iconSet="5Arrows">
        <cfvo type="percent" val="0"/>
        <cfvo type="num" val="-0.1"/>
        <cfvo type="num" val="0"/>
        <cfvo type="num" val="0.1"/>
        <cfvo type="num" val="0.2"/>
      </iconSet>
    </cfRule>
  </conditionalFormatting>
  <conditionalFormatting sqref="W705:W716">
    <cfRule type="iconSet" priority="20">
      <iconSet iconSet="5Arrows">
        <cfvo type="percent" val="0"/>
        <cfvo type="num" val="-0.1"/>
        <cfvo type="num" val="0"/>
        <cfvo type="num" val="0.1"/>
        <cfvo type="num" val="0.2"/>
      </iconSet>
    </cfRule>
  </conditionalFormatting>
  <conditionalFormatting sqref="W722:W733">
    <cfRule type="iconSet" priority="16">
      <iconSet iconSet="5Arrows">
        <cfvo type="percent" val="0"/>
        <cfvo type="num" val="-0.1"/>
        <cfvo type="num" val="0"/>
        <cfvo type="num" val="0.1"/>
        <cfvo type="num" val="0.2"/>
      </iconSet>
    </cfRule>
  </conditionalFormatting>
  <conditionalFormatting sqref="X6:X8">
    <cfRule type="dataBar" priority="358">
      <dataBar>
        <cfvo type="min"/>
        <cfvo type="max"/>
        <color rgb="FF638EC6"/>
      </dataBar>
      <extLst>
        <ext xmlns:x14="http://schemas.microsoft.com/office/spreadsheetml/2009/9/main" uri="{B025F937-C7B1-47D3-B67F-A62EFF666E3E}">
          <x14:id>{97E95624-C434-455C-B82C-EAE147F59FB5}</x14:id>
        </ext>
      </extLst>
    </cfRule>
  </conditionalFormatting>
  <conditionalFormatting sqref="X13:X15">
    <cfRule type="dataBar" priority="353">
      <dataBar>
        <cfvo type="min"/>
        <cfvo type="max"/>
        <color rgb="FF638EC6"/>
      </dataBar>
      <extLst>
        <ext xmlns:x14="http://schemas.microsoft.com/office/spreadsheetml/2009/9/main" uri="{B025F937-C7B1-47D3-B67F-A62EFF666E3E}">
          <x14:id>{77EE231B-216E-4D94-AE61-C6D88BD0DC5A}</x14:id>
        </ext>
      </extLst>
    </cfRule>
  </conditionalFormatting>
  <conditionalFormatting sqref="X20:X26">
    <cfRule type="dataBar" priority="340">
      <dataBar>
        <cfvo type="min"/>
        <cfvo type="max"/>
        <color rgb="FF638EC6"/>
      </dataBar>
      <extLst>
        <ext xmlns:x14="http://schemas.microsoft.com/office/spreadsheetml/2009/9/main" uri="{B025F937-C7B1-47D3-B67F-A62EFF666E3E}">
          <x14:id>{9842125E-861C-4C22-8115-F9B3654B5D6C}</x14:id>
        </ext>
      </extLst>
    </cfRule>
  </conditionalFormatting>
  <conditionalFormatting sqref="X33:X38">
    <cfRule type="dataBar" priority="338">
      <dataBar>
        <cfvo type="min"/>
        <cfvo type="max"/>
        <color rgb="FF638EC6"/>
      </dataBar>
      <extLst>
        <ext xmlns:x14="http://schemas.microsoft.com/office/spreadsheetml/2009/9/main" uri="{B025F937-C7B1-47D3-B67F-A62EFF666E3E}">
          <x14:id>{346CB99B-1741-43E9-A80D-1C3F40137162}</x14:id>
        </ext>
      </extLst>
    </cfRule>
  </conditionalFormatting>
  <conditionalFormatting sqref="X44:X48">
    <cfRule type="dataBar" priority="325">
      <dataBar>
        <cfvo type="min"/>
        <cfvo type="max"/>
        <color rgb="FF638EC6"/>
      </dataBar>
      <extLst>
        <ext xmlns:x14="http://schemas.microsoft.com/office/spreadsheetml/2009/9/main" uri="{B025F937-C7B1-47D3-B67F-A62EFF666E3E}">
          <x14:id>{5AF7C6DC-A440-43EE-9ACE-0053923916ED}</x14:id>
        </ext>
      </extLst>
    </cfRule>
  </conditionalFormatting>
  <conditionalFormatting sqref="X53:X57">
    <cfRule type="dataBar" priority="320">
      <dataBar>
        <cfvo type="min"/>
        <cfvo type="max"/>
        <color rgb="FF638EC6"/>
      </dataBar>
      <extLst>
        <ext xmlns:x14="http://schemas.microsoft.com/office/spreadsheetml/2009/9/main" uri="{B025F937-C7B1-47D3-B67F-A62EFF666E3E}">
          <x14:id>{D63D317C-4360-4492-ADD6-4A0FBB9711EF}</x14:id>
        </ext>
      </extLst>
    </cfRule>
  </conditionalFormatting>
  <conditionalFormatting sqref="X62:X63">
    <cfRule type="dataBar" priority="311">
      <dataBar>
        <cfvo type="min"/>
        <cfvo type="max"/>
        <color rgb="FF638EC6"/>
      </dataBar>
      <extLst>
        <ext xmlns:x14="http://schemas.microsoft.com/office/spreadsheetml/2009/9/main" uri="{B025F937-C7B1-47D3-B67F-A62EFF666E3E}">
          <x14:id>{2C8ACA0B-11CE-4438-9A8A-030A0E9FB733}</x14:id>
        </ext>
      </extLst>
    </cfRule>
  </conditionalFormatting>
  <conditionalFormatting sqref="X70:X71">
    <cfRule type="dataBar" priority="302">
      <dataBar>
        <cfvo type="min"/>
        <cfvo type="max"/>
        <color rgb="FF638EC6"/>
      </dataBar>
      <extLst>
        <ext xmlns:x14="http://schemas.microsoft.com/office/spreadsheetml/2009/9/main" uri="{B025F937-C7B1-47D3-B67F-A62EFF666E3E}">
          <x14:id>{E7A61EC4-6E2E-48A9-B5FD-4BACFABC72B1}</x14:id>
        </ext>
      </extLst>
    </cfRule>
  </conditionalFormatting>
  <conditionalFormatting sqref="X78:X88">
    <cfRule type="dataBar" priority="293">
      <dataBar>
        <cfvo type="min"/>
        <cfvo type="max"/>
        <color rgb="FF638EC6"/>
      </dataBar>
      <extLst>
        <ext xmlns:x14="http://schemas.microsoft.com/office/spreadsheetml/2009/9/main" uri="{B025F937-C7B1-47D3-B67F-A62EFF666E3E}">
          <x14:id>{80A4D0C6-4057-4DC0-8A7B-597BB6677B8B}</x14:id>
        </ext>
      </extLst>
    </cfRule>
  </conditionalFormatting>
  <conditionalFormatting sqref="X93:X103">
    <cfRule type="dataBar" priority="284">
      <dataBar>
        <cfvo type="min"/>
        <cfvo type="max"/>
        <color rgb="FF638EC6"/>
      </dataBar>
      <extLst>
        <ext xmlns:x14="http://schemas.microsoft.com/office/spreadsheetml/2009/9/main" uri="{B025F937-C7B1-47D3-B67F-A62EFF666E3E}">
          <x14:id>{94BE476F-A903-4D99-82D6-18D7F0830526}</x14:id>
        </ext>
      </extLst>
    </cfRule>
  </conditionalFormatting>
  <conditionalFormatting sqref="X108:X112">
    <cfRule type="dataBar" priority="275">
      <dataBar>
        <cfvo type="min"/>
        <cfvo type="max"/>
        <color rgb="FF638EC6"/>
      </dataBar>
      <extLst>
        <ext xmlns:x14="http://schemas.microsoft.com/office/spreadsheetml/2009/9/main" uri="{B025F937-C7B1-47D3-B67F-A62EFF666E3E}">
          <x14:id>{B889C254-5E2E-4D73-B4C8-FBAFD1B367CF}</x14:id>
        </ext>
      </extLst>
    </cfRule>
  </conditionalFormatting>
  <conditionalFormatting sqref="X117:X134">
    <cfRule type="dataBar" priority="266">
      <dataBar>
        <cfvo type="min"/>
        <cfvo type="max"/>
        <color rgb="FF638EC6"/>
      </dataBar>
      <extLst>
        <ext xmlns:x14="http://schemas.microsoft.com/office/spreadsheetml/2009/9/main" uri="{B025F937-C7B1-47D3-B67F-A62EFF666E3E}">
          <x14:id>{2DC0D685-599D-476A-831B-B38763C89423}</x14:id>
        </ext>
      </extLst>
    </cfRule>
  </conditionalFormatting>
  <conditionalFormatting sqref="X139:X143">
    <cfRule type="dataBar" priority="257">
      <dataBar>
        <cfvo type="min"/>
        <cfvo type="max"/>
        <color rgb="FF638EC6"/>
      </dataBar>
      <extLst>
        <ext xmlns:x14="http://schemas.microsoft.com/office/spreadsheetml/2009/9/main" uri="{B025F937-C7B1-47D3-B67F-A62EFF666E3E}">
          <x14:id>{AFC2A3DE-8467-4233-A68F-7F7967C5012C}</x14:id>
        </ext>
      </extLst>
    </cfRule>
  </conditionalFormatting>
  <conditionalFormatting sqref="X148:X165">
    <cfRule type="dataBar" priority="244">
      <dataBar>
        <cfvo type="min"/>
        <cfvo type="max"/>
        <color rgb="FF638EC6"/>
      </dataBar>
      <extLst>
        <ext xmlns:x14="http://schemas.microsoft.com/office/spreadsheetml/2009/9/main" uri="{B025F937-C7B1-47D3-B67F-A62EFF666E3E}">
          <x14:id>{7804254B-00DA-42A0-8F33-6FBD8B0943B4}</x14:id>
        </ext>
      </extLst>
    </cfRule>
  </conditionalFormatting>
  <conditionalFormatting sqref="X170:X185">
    <cfRule type="dataBar" priority="239">
      <dataBar>
        <cfvo type="min"/>
        <cfvo type="max"/>
        <color rgb="FF638EC6"/>
      </dataBar>
      <extLst>
        <ext xmlns:x14="http://schemas.microsoft.com/office/spreadsheetml/2009/9/main" uri="{B025F937-C7B1-47D3-B67F-A62EFF666E3E}">
          <x14:id>{FAE86AE6-5B32-42AB-AD3B-B1EAAC9104B5}</x14:id>
        </ext>
      </extLst>
    </cfRule>
  </conditionalFormatting>
  <conditionalFormatting sqref="X190:X205">
    <cfRule type="dataBar" priority="223">
      <dataBar>
        <cfvo type="min"/>
        <cfvo type="max"/>
        <color rgb="FF638EC6"/>
      </dataBar>
      <extLst>
        <ext xmlns:x14="http://schemas.microsoft.com/office/spreadsheetml/2009/9/main" uri="{B025F937-C7B1-47D3-B67F-A62EFF666E3E}">
          <x14:id>{3530E9BC-190C-4FF1-A2B4-42406F341B68}</x14:id>
        </ext>
      </extLst>
    </cfRule>
  </conditionalFormatting>
  <conditionalFormatting sqref="X210:X225">
    <cfRule type="dataBar" priority="221">
      <dataBar>
        <cfvo type="min"/>
        <cfvo type="max"/>
        <color rgb="FF638EC6"/>
      </dataBar>
      <extLst>
        <ext xmlns:x14="http://schemas.microsoft.com/office/spreadsheetml/2009/9/main" uri="{B025F937-C7B1-47D3-B67F-A62EFF666E3E}">
          <x14:id>{7A364FCA-1585-4A0C-8E83-BE4E4ACD589B}</x14:id>
        </ext>
      </extLst>
    </cfRule>
  </conditionalFormatting>
  <conditionalFormatting sqref="X230:X245">
    <cfRule type="dataBar" priority="216">
      <dataBar>
        <cfvo type="min"/>
        <cfvo type="max"/>
        <color rgb="FF638EC6"/>
      </dataBar>
      <extLst>
        <ext xmlns:x14="http://schemas.microsoft.com/office/spreadsheetml/2009/9/main" uri="{B025F937-C7B1-47D3-B67F-A62EFF666E3E}">
          <x14:id>{4C20A2B6-60F4-42E5-8568-2F16F7A151B7}</x14:id>
        </ext>
      </extLst>
    </cfRule>
  </conditionalFormatting>
  <conditionalFormatting sqref="X250:X259">
    <cfRule type="dataBar" priority="211">
      <dataBar>
        <cfvo type="min"/>
        <cfvo type="max"/>
        <color rgb="FF638EC6"/>
      </dataBar>
      <extLst>
        <ext xmlns:x14="http://schemas.microsoft.com/office/spreadsheetml/2009/9/main" uri="{B025F937-C7B1-47D3-B67F-A62EFF666E3E}">
          <x14:id>{537A38C8-F623-487B-8D54-BC1896B3C43B}</x14:id>
        </ext>
      </extLst>
    </cfRule>
  </conditionalFormatting>
  <conditionalFormatting sqref="X264:X273">
    <cfRule type="dataBar" priority="199">
      <dataBar>
        <cfvo type="min"/>
        <cfvo type="max"/>
        <color rgb="FF638EC6"/>
      </dataBar>
      <extLst>
        <ext xmlns:x14="http://schemas.microsoft.com/office/spreadsheetml/2009/9/main" uri="{B025F937-C7B1-47D3-B67F-A62EFF666E3E}">
          <x14:id>{FD13064D-F03D-4AB4-9172-C3CB4CDDD6A0}</x14:id>
        </ext>
      </extLst>
    </cfRule>
  </conditionalFormatting>
  <conditionalFormatting sqref="X278:X287">
    <cfRule type="dataBar" priority="70">
      <dataBar>
        <cfvo type="min"/>
        <cfvo type="max"/>
        <color rgb="FF638EC6"/>
      </dataBar>
      <extLst>
        <ext xmlns:x14="http://schemas.microsoft.com/office/spreadsheetml/2009/9/main" uri="{B025F937-C7B1-47D3-B67F-A62EFF666E3E}">
          <x14:id>{7D29C962-05F1-4E4E-B59B-AC3570B65321}</x14:id>
        </ext>
      </extLst>
    </cfRule>
  </conditionalFormatting>
  <conditionalFormatting sqref="X292:X301">
    <cfRule type="dataBar" priority="62">
      <dataBar>
        <cfvo type="min"/>
        <cfvo type="max"/>
        <color rgb="FF638EC6"/>
      </dataBar>
      <extLst>
        <ext xmlns:x14="http://schemas.microsoft.com/office/spreadsheetml/2009/9/main" uri="{B025F937-C7B1-47D3-B67F-A62EFF666E3E}">
          <x14:id>{C0CA094D-02D9-4551-8E4B-322EC4E49823}</x14:id>
        </ext>
      </extLst>
    </cfRule>
  </conditionalFormatting>
  <conditionalFormatting sqref="X306:X325">
    <cfRule type="dataBar" priority="197">
      <dataBar>
        <cfvo type="min"/>
        <cfvo type="max"/>
        <color rgb="FF638EC6"/>
      </dataBar>
      <extLst>
        <ext xmlns:x14="http://schemas.microsoft.com/office/spreadsheetml/2009/9/main" uri="{B025F937-C7B1-47D3-B67F-A62EFF666E3E}">
          <x14:id>{A4C10E8F-3041-4F3E-B21B-DC095882BDEC}</x14:id>
        </ext>
      </extLst>
    </cfRule>
  </conditionalFormatting>
  <conditionalFormatting sqref="X329:X348">
    <cfRule type="dataBar" priority="192">
      <dataBar>
        <cfvo type="min"/>
        <cfvo type="max"/>
        <color rgb="FF638EC6"/>
      </dataBar>
      <extLst>
        <ext xmlns:x14="http://schemas.microsoft.com/office/spreadsheetml/2009/9/main" uri="{B025F937-C7B1-47D3-B67F-A62EFF666E3E}">
          <x14:id>{CDF52BB9-E12E-4850-9A4B-1D6105A43F38}</x14:id>
        </ext>
      </extLst>
    </cfRule>
  </conditionalFormatting>
  <conditionalFormatting sqref="X352:X371">
    <cfRule type="dataBar" priority="183">
      <dataBar>
        <cfvo type="min"/>
        <cfvo type="max"/>
        <color rgb="FF638EC6"/>
      </dataBar>
      <extLst>
        <ext xmlns:x14="http://schemas.microsoft.com/office/spreadsheetml/2009/9/main" uri="{B025F937-C7B1-47D3-B67F-A62EFF666E3E}">
          <x14:id>{5406FADC-B2FE-4A33-B444-B93C1F004C35}</x14:id>
        </ext>
      </extLst>
    </cfRule>
  </conditionalFormatting>
  <conditionalFormatting sqref="X375:X394">
    <cfRule type="dataBar" priority="172">
      <dataBar>
        <cfvo type="min"/>
        <cfvo type="max"/>
        <color rgb="FF638EC6"/>
      </dataBar>
      <extLst>
        <ext xmlns:x14="http://schemas.microsoft.com/office/spreadsheetml/2009/9/main" uri="{B025F937-C7B1-47D3-B67F-A62EFF666E3E}">
          <x14:id>{C2C4A3DE-2B98-4DAA-B973-CB271D163956}</x14:id>
        </ext>
      </extLst>
    </cfRule>
  </conditionalFormatting>
  <conditionalFormatting sqref="X398:X417">
    <cfRule type="dataBar" priority="170">
      <dataBar>
        <cfvo type="min"/>
        <cfvo type="max"/>
        <color rgb="FF638EC6"/>
      </dataBar>
      <extLst>
        <ext xmlns:x14="http://schemas.microsoft.com/office/spreadsheetml/2009/9/main" uri="{B025F937-C7B1-47D3-B67F-A62EFF666E3E}">
          <x14:id>{798DD948-55A0-43BD-962D-67290CF4BF44}</x14:id>
        </ext>
      </extLst>
    </cfRule>
  </conditionalFormatting>
  <conditionalFormatting sqref="X421:X440">
    <cfRule type="dataBar" priority="162">
      <dataBar>
        <cfvo type="min"/>
        <cfvo type="max"/>
        <color rgb="FF638EC6"/>
      </dataBar>
      <extLst>
        <ext xmlns:x14="http://schemas.microsoft.com/office/spreadsheetml/2009/9/main" uri="{B025F937-C7B1-47D3-B67F-A62EFF666E3E}">
          <x14:id>{E4DE2821-98F1-41F9-96CD-1B3F4C23928D}</x14:id>
        </ext>
      </extLst>
    </cfRule>
  </conditionalFormatting>
  <conditionalFormatting sqref="X444:X459">
    <cfRule type="dataBar" priority="160">
      <dataBar>
        <cfvo type="min"/>
        <cfvo type="max"/>
        <color rgb="FF638EC6"/>
      </dataBar>
      <extLst>
        <ext xmlns:x14="http://schemas.microsoft.com/office/spreadsheetml/2009/9/main" uri="{B025F937-C7B1-47D3-B67F-A62EFF666E3E}">
          <x14:id>{5DA47A5F-D614-42FC-92D0-F7059F4B8876}</x14:id>
        </ext>
      </extLst>
    </cfRule>
  </conditionalFormatting>
  <conditionalFormatting sqref="X463:X478">
    <cfRule type="dataBar" priority="152">
      <dataBar>
        <cfvo type="min"/>
        <cfvo type="max"/>
        <color rgb="FF638EC6"/>
      </dataBar>
      <extLst>
        <ext xmlns:x14="http://schemas.microsoft.com/office/spreadsheetml/2009/9/main" uri="{B025F937-C7B1-47D3-B67F-A62EFF666E3E}">
          <x14:id>{CD215132-F995-4AD9-89D7-C93BA9053B20}</x14:id>
        </ext>
      </extLst>
    </cfRule>
  </conditionalFormatting>
  <conditionalFormatting sqref="X482:X484">
    <cfRule type="dataBar" priority="150">
      <dataBar>
        <cfvo type="min"/>
        <cfvo type="max"/>
        <color rgb="FF638EC6"/>
      </dataBar>
      <extLst>
        <ext xmlns:x14="http://schemas.microsoft.com/office/spreadsheetml/2009/9/main" uri="{B025F937-C7B1-47D3-B67F-A62EFF666E3E}">
          <x14:id>{685EE643-C9BE-4021-92B2-FF6EE0DB0023}</x14:id>
        </ext>
      </extLst>
    </cfRule>
  </conditionalFormatting>
  <conditionalFormatting sqref="X489:X491">
    <cfRule type="dataBar" priority="145">
      <dataBar>
        <cfvo type="min"/>
        <cfvo type="max"/>
        <color rgb="FF638EC6"/>
      </dataBar>
      <extLst>
        <ext xmlns:x14="http://schemas.microsoft.com/office/spreadsheetml/2009/9/main" uri="{B025F937-C7B1-47D3-B67F-A62EFF666E3E}">
          <x14:id>{A318DAE0-A4A7-437B-9528-DF69484C6562}</x14:id>
        </ext>
      </extLst>
    </cfRule>
  </conditionalFormatting>
  <conditionalFormatting sqref="X496:X498">
    <cfRule type="dataBar" priority="140">
      <dataBar>
        <cfvo type="min"/>
        <cfvo type="max"/>
        <color rgb="FF638EC6"/>
      </dataBar>
      <extLst>
        <ext xmlns:x14="http://schemas.microsoft.com/office/spreadsheetml/2009/9/main" uri="{B025F937-C7B1-47D3-B67F-A62EFF666E3E}">
          <x14:id>{8CE7FBCA-9418-4AB4-83B7-AF4DBE1A7D43}</x14:id>
        </ext>
      </extLst>
    </cfRule>
  </conditionalFormatting>
  <conditionalFormatting sqref="X503:X505">
    <cfRule type="dataBar" priority="135">
      <dataBar>
        <cfvo type="min"/>
        <cfvo type="max"/>
        <color rgb="FF638EC6"/>
      </dataBar>
      <extLst>
        <ext xmlns:x14="http://schemas.microsoft.com/office/spreadsheetml/2009/9/main" uri="{B025F937-C7B1-47D3-B67F-A62EFF666E3E}">
          <x14:id>{890673EE-DE2D-4ECB-93D1-D6CF963AD48E}</x14:id>
        </ext>
      </extLst>
    </cfRule>
  </conditionalFormatting>
  <conditionalFormatting sqref="X510:X512">
    <cfRule type="dataBar" priority="130">
      <dataBar>
        <cfvo type="min"/>
        <cfvo type="max"/>
        <color rgb="FF638EC6"/>
      </dataBar>
      <extLst>
        <ext xmlns:x14="http://schemas.microsoft.com/office/spreadsheetml/2009/9/main" uri="{B025F937-C7B1-47D3-B67F-A62EFF666E3E}">
          <x14:id>{D2B6F835-DAC7-49EA-9944-450D3EECD11D}</x14:id>
        </ext>
      </extLst>
    </cfRule>
  </conditionalFormatting>
  <conditionalFormatting sqref="X517:X519">
    <cfRule type="dataBar" priority="125">
      <dataBar>
        <cfvo type="min"/>
        <cfvo type="max"/>
        <color rgb="FF638EC6"/>
      </dataBar>
      <extLst>
        <ext xmlns:x14="http://schemas.microsoft.com/office/spreadsheetml/2009/9/main" uri="{B025F937-C7B1-47D3-B67F-A62EFF666E3E}">
          <x14:id>{050AC08A-A92A-49FC-B22B-21A7780DBB58}</x14:id>
        </ext>
      </extLst>
    </cfRule>
  </conditionalFormatting>
  <conditionalFormatting sqref="X524:X526">
    <cfRule type="dataBar" priority="120">
      <dataBar>
        <cfvo type="min"/>
        <cfvo type="max"/>
        <color rgb="FF638EC6"/>
      </dataBar>
      <extLst>
        <ext xmlns:x14="http://schemas.microsoft.com/office/spreadsheetml/2009/9/main" uri="{B025F937-C7B1-47D3-B67F-A62EFF666E3E}">
          <x14:id>{FCBDC91A-597F-4C79-AE3E-825DB0489AAF}</x14:id>
        </ext>
      </extLst>
    </cfRule>
  </conditionalFormatting>
  <conditionalFormatting sqref="X531:X533">
    <cfRule type="dataBar" priority="115">
      <dataBar>
        <cfvo type="min"/>
        <cfvo type="max"/>
        <color rgb="FF638EC6"/>
      </dataBar>
      <extLst>
        <ext xmlns:x14="http://schemas.microsoft.com/office/spreadsheetml/2009/9/main" uri="{B025F937-C7B1-47D3-B67F-A62EFF666E3E}">
          <x14:id>{D274DEC0-5899-43D1-A4DE-06E103C66786}</x14:id>
        </ext>
      </extLst>
    </cfRule>
  </conditionalFormatting>
  <conditionalFormatting sqref="X538:X544">
    <cfRule type="dataBar" priority="110">
      <dataBar>
        <cfvo type="min"/>
        <cfvo type="max"/>
        <color rgb="FF638EC6"/>
      </dataBar>
      <extLst>
        <ext xmlns:x14="http://schemas.microsoft.com/office/spreadsheetml/2009/9/main" uri="{B025F937-C7B1-47D3-B67F-A62EFF666E3E}">
          <x14:id>{9C8A7B0D-7767-4969-AC04-08AEE6470481}</x14:id>
        </ext>
      </extLst>
    </cfRule>
  </conditionalFormatting>
  <conditionalFormatting sqref="X550:X556">
    <cfRule type="dataBar" priority="105">
      <dataBar>
        <cfvo type="min"/>
        <cfvo type="max"/>
        <color rgb="FF638EC6"/>
      </dataBar>
      <extLst>
        <ext xmlns:x14="http://schemas.microsoft.com/office/spreadsheetml/2009/9/main" uri="{B025F937-C7B1-47D3-B67F-A62EFF666E3E}">
          <x14:id>{E3F8012E-D74A-4851-9AFF-26B593DD262F}</x14:id>
        </ext>
      </extLst>
    </cfRule>
  </conditionalFormatting>
  <conditionalFormatting sqref="X563:X569">
    <cfRule type="dataBar" priority="100">
      <dataBar>
        <cfvo type="min"/>
        <cfvo type="max"/>
        <color rgb="FF638EC6"/>
      </dataBar>
      <extLst>
        <ext xmlns:x14="http://schemas.microsoft.com/office/spreadsheetml/2009/9/main" uri="{B025F937-C7B1-47D3-B67F-A62EFF666E3E}">
          <x14:id>{5D82D609-868C-447A-B30F-4232C856D3FD}</x14:id>
        </ext>
      </extLst>
    </cfRule>
  </conditionalFormatting>
  <conditionalFormatting sqref="X575:X581">
    <cfRule type="dataBar" priority="95">
      <dataBar>
        <cfvo type="min"/>
        <cfvo type="max"/>
        <color rgb="FF638EC6"/>
      </dataBar>
      <extLst>
        <ext xmlns:x14="http://schemas.microsoft.com/office/spreadsheetml/2009/9/main" uri="{B025F937-C7B1-47D3-B67F-A62EFF666E3E}">
          <x14:id>{3C1827FB-F10D-43FA-8AA3-6BFD143B86A5}</x14:id>
        </ext>
      </extLst>
    </cfRule>
  </conditionalFormatting>
  <conditionalFormatting sqref="X588:X594">
    <cfRule type="dataBar" priority="90">
      <dataBar>
        <cfvo type="min"/>
        <cfvo type="max"/>
        <color rgb="FF638EC6"/>
      </dataBar>
      <extLst>
        <ext xmlns:x14="http://schemas.microsoft.com/office/spreadsheetml/2009/9/main" uri="{B025F937-C7B1-47D3-B67F-A62EFF666E3E}">
          <x14:id>{7C388105-2E47-4BBB-A4B3-DCFDA69839BE}</x14:id>
        </ext>
      </extLst>
    </cfRule>
  </conditionalFormatting>
  <conditionalFormatting sqref="X600:X606">
    <cfRule type="dataBar" priority="85">
      <dataBar>
        <cfvo type="min"/>
        <cfvo type="max"/>
        <color rgb="FF638EC6"/>
      </dataBar>
      <extLst>
        <ext xmlns:x14="http://schemas.microsoft.com/office/spreadsheetml/2009/9/main" uri="{B025F937-C7B1-47D3-B67F-A62EFF666E3E}">
          <x14:id>{3CEFF053-4792-4913-9EA2-CD7B65CA0F52}</x14:id>
        </ext>
      </extLst>
    </cfRule>
  </conditionalFormatting>
  <conditionalFormatting sqref="X612:X618">
    <cfRule type="dataBar" priority="80">
      <dataBar>
        <cfvo type="min"/>
        <cfvo type="max"/>
        <color rgb="FF638EC6"/>
      </dataBar>
      <extLst>
        <ext xmlns:x14="http://schemas.microsoft.com/office/spreadsheetml/2009/9/main" uri="{B025F937-C7B1-47D3-B67F-A62EFF666E3E}">
          <x14:id>{84B26F92-4804-47DC-9207-557C97106404}</x14:id>
        </ext>
      </extLst>
    </cfRule>
  </conditionalFormatting>
  <conditionalFormatting sqref="X624:X630">
    <cfRule type="dataBar" priority="75">
      <dataBar>
        <cfvo type="min"/>
        <cfvo type="max"/>
        <color rgb="FF638EC6"/>
      </dataBar>
      <extLst>
        <ext xmlns:x14="http://schemas.microsoft.com/office/spreadsheetml/2009/9/main" uri="{B025F937-C7B1-47D3-B67F-A62EFF666E3E}">
          <x14:id>{A3338F58-6D09-4D79-97EE-BECD30A9BB52}</x14:id>
        </ext>
      </extLst>
    </cfRule>
  </conditionalFormatting>
  <conditionalFormatting sqref="X637:X639">
    <cfRule type="dataBar" priority="60">
      <dataBar>
        <cfvo type="min"/>
        <cfvo type="max"/>
        <color rgb="FF638EC6"/>
      </dataBar>
      <extLst>
        <ext xmlns:x14="http://schemas.microsoft.com/office/spreadsheetml/2009/9/main" uri="{B025F937-C7B1-47D3-B67F-A62EFF666E3E}">
          <x14:id>{424E9213-D11B-4B29-97E1-55D0A9A1A873}</x14:id>
        </ext>
      </extLst>
    </cfRule>
  </conditionalFormatting>
  <conditionalFormatting sqref="X644:X646">
    <cfRule type="dataBar" priority="55">
      <dataBar>
        <cfvo type="min"/>
        <cfvo type="max"/>
        <color rgb="FF638EC6"/>
      </dataBar>
      <extLst>
        <ext xmlns:x14="http://schemas.microsoft.com/office/spreadsheetml/2009/9/main" uri="{B025F937-C7B1-47D3-B67F-A62EFF666E3E}">
          <x14:id>{5575FFF1-1C67-410E-BDAD-8803E15C8B91}</x14:id>
        </ext>
      </extLst>
    </cfRule>
  </conditionalFormatting>
  <conditionalFormatting sqref="X651:X653">
    <cfRule type="dataBar" priority="50">
      <dataBar>
        <cfvo type="min"/>
        <cfvo type="max"/>
        <color rgb="FF638EC6"/>
      </dataBar>
      <extLst>
        <ext xmlns:x14="http://schemas.microsoft.com/office/spreadsheetml/2009/9/main" uri="{B025F937-C7B1-47D3-B67F-A62EFF666E3E}">
          <x14:id>{3120E9D1-B1C4-4E0F-8C73-4C941B3BD637}</x14:id>
        </ext>
      </extLst>
    </cfRule>
  </conditionalFormatting>
  <conditionalFormatting sqref="X658:X660">
    <cfRule type="dataBar" priority="45">
      <dataBar>
        <cfvo type="min"/>
        <cfvo type="max"/>
        <color rgb="FF638EC6"/>
      </dataBar>
      <extLst>
        <ext xmlns:x14="http://schemas.microsoft.com/office/spreadsheetml/2009/9/main" uri="{B025F937-C7B1-47D3-B67F-A62EFF666E3E}">
          <x14:id>{2F86C998-86A5-47D7-AEF5-2C4B36C56D62}</x14:id>
        </ext>
      </extLst>
    </cfRule>
  </conditionalFormatting>
  <conditionalFormatting sqref="X665:X670">
    <cfRule type="dataBar" priority="41">
      <dataBar>
        <cfvo type="min"/>
        <cfvo type="max"/>
        <color rgb="FF638EC6"/>
      </dataBar>
      <extLst>
        <ext xmlns:x14="http://schemas.microsoft.com/office/spreadsheetml/2009/9/main" uri="{B025F937-C7B1-47D3-B67F-A62EFF666E3E}">
          <x14:id>{B8430C19-4B33-4A26-BB69-005A33020FA6}</x14:id>
        </ext>
      </extLst>
    </cfRule>
  </conditionalFormatting>
  <conditionalFormatting sqref="X675:X680">
    <cfRule type="dataBar" priority="40">
      <dataBar>
        <cfvo type="min"/>
        <cfvo type="max"/>
        <color rgb="FF638EC6"/>
      </dataBar>
      <extLst>
        <ext xmlns:x14="http://schemas.microsoft.com/office/spreadsheetml/2009/9/main" uri="{B025F937-C7B1-47D3-B67F-A62EFF666E3E}">
          <x14:id>{FBBBEE3E-95B1-4ED7-A559-9302E97D7107}</x14:id>
        </ext>
      </extLst>
    </cfRule>
  </conditionalFormatting>
  <conditionalFormatting sqref="X685:X690">
    <cfRule type="dataBar" priority="39">
      <dataBar>
        <cfvo type="min"/>
        <cfvo type="max"/>
        <color rgb="FF638EC6"/>
      </dataBar>
      <extLst>
        <ext xmlns:x14="http://schemas.microsoft.com/office/spreadsheetml/2009/9/main" uri="{B025F937-C7B1-47D3-B67F-A62EFF666E3E}">
          <x14:id>{B2E99DF0-120B-4179-85F2-77E8BA1A93BE}</x14:id>
        </ext>
      </extLst>
    </cfRule>
  </conditionalFormatting>
  <conditionalFormatting sqref="X695:X700">
    <cfRule type="dataBar" priority="38">
      <dataBar>
        <cfvo type="min"/>
        <cfvo type="max"/>
        <color rgb="FF638EC6"/>
      </dataBar>
      <extLst>
        <ext xmlns:x14="http://schemas.microsoft.com/office/spreadsheetml/2009/9/main" uri="{B025F937-C7B1-47D3-B67F-A62EFF666E3E}">
          <x14:id>{9C9968F7-01EF-4302-9DC2-F11E44984211}</x14:id>
        </ext>
      </extLst>
    </cfRule>
  </conditionalFormatting>
  <conditionalFormatting sqref="X705:X715">
    <cfRule type="dataBar" priority="21">
      <dataBar>
        <cfvo type="min"/>
        <cfvo type="max"/>
        <color rgb="FF638EC6"/>
      </dataBar>
      <extLst>
        <ext xmlns:x14="http://schemas.microsoft.com/office/spreadsheetml/2009/9/main" uri="{B025F937-C7B1-47D3-B67F-A62EFF666E3E}">
          <x14:id>{06F58CD1-B54F-43EC-A64D-8847EBBAD273}</x14:id>
        </ext>
      </extLst>
    </cfRule>
  </conditionalFormatting>
  <conditionalFormatting sqref="X722:X732">
    <cfRule type="dataBar" priority="15">
      <dataBar>
        <cfvo type="min"/>
        <cfvo type="max"/>
        <color rgb="FF638EC6"/>
      </dataBar>
      <extLst>
        <ext xmlns:x14="http://schemas.microsoft.com/office/spreadsheetml/2009/9/main" uri="{B025F937-C7B1-47D3-B67F-A62EFF666E3E}">
          <x14:id>{92594709-6E3C-4C8B-901B-C178B073DFAD}</x14:id>
        </ext>
      </extLst>
    </cfRule>
  </conditionalFormatting>
  <conditionalFormatting sqref="Y6:Y9">
    <cfRule type="dataBar" priority="357">
      <dataBar>
        <cfvo type="min"/>
        <cfvo type="max"/>
        <color rgb="FF63C384"/>
      </dataBar>
      <extLst>
        <ext xmlns:x14="http://schemas.microsoft.com/office/spreadsheetml/2009/9/main" uri="{B025F937-C7B1-47D3-B67F-A62EFF666E3E}">
          <x14:id>{48A7395A-BF13-4C81-AC9A-FBF720977B1B}</x14:id>
        </ext>
      </extLst>
    </cfRule>
  </conditionalFormatting>
  <conditionalFormatting sqref="Y13:Y16">
    <cfRule type="dataBar" priority="352">
      <dataBar>
        <cfvo type="min"/>
        <cfvo type="max"/>
        <color rgb="FF63C384"/>
      </dataBar>
      <extLst>
        <ext xmlns:x14="http://schemas.microsoft.com/office/spreadsheetml/2009/9/main" uri="{B025F937-C7B1-47D3-B67F-A62EFF666E3E}">
          <x14:id>{8E214EA6-BC59-4647-8558-B714F27B07AD}</x14:id>
        </ext>
      </extLst>
    </cfRule>
  </conditionalFormatting>
  <conditionalFormatting sqref="Y20:Y26">
    <cfRule type="dataBar" priority="347">
      <dataBar>
        <cfvo type="min"/>
        <cfvo type="max"/>
        <color rgb="FF63C384"/>
      </dataBar>
      <extLst>
        <ext xmlns:x14="http://schemas.microsoft.com/office/spreadsheetml/2009/9/main" uri="{B025F937-C7B1-47D3-B67F-A62EFF666E3E}">
          <x14:id>{B3818745-AE82-4106-BECA-0C1CF75D1845}</x14:id>
        </ext>
      </extLst>
    </cfRule>
  </conditionalFormatting>
  <conditionalFormatting sqref="Y27">
    <cfRule type="dataBar" priority="343">
      <dataBar>
        <cfvo type="min"/>
        <cfvo type="max"/>
        <color rgb="FF63C384"/>
      </dataBar>
      <extLst>
        <ext xmlns:x14="http://schemas.microsoft.com/office/spreadsheetml/2009/9/main" uri="{B025F937-C7B1-47D3-B67F-A62EFF666E3E}">
          <x14:id>{23457C1D-0011-46AB-A457-9589D23FD94F}</x14:id>
        </ext>
      </extLst>
    </cfRule>
  </conditionalFormatting>
  <conditionalFormatting sqref="Y33:Y38">
    <cfRule type="dataBar" priority="337">
      <dataBar>
        <cfvo type="min"/>
        <cfvo type="max"/>
        <color rgb="FF63C384"/>
      </dataBar>
      <extLst>
        <ext xmlns:x14="http://schemas.microsoft.com/office/spreadsheetml/2009/9/main" uri="{B025F937-C7B1-47D3-B67F-A62EFF666E3E}">
          <x14:id>{03B488FD-308F-4119-BAEE-8860A9719DA0}</x14:id>
        </ext>
      </extLst>
    </cfRule>
  </conditionalFormatting>
  <conditionalFormatting sqref="Y39">
    <cfRule type="dataBar" priority="333">
      <dataBar>
        <cfvo type="min"/>
        <cfvo type="max"/>
        <color rgb="FF63C384"/>
      </dataBar>
      <extLst>
        <ext xmlns:x14="http://schemas.microsoft.com/office/spreadsheetml/2009/9/main" uri="{B025F937-C7B1-47D3-B67F-A62EFF666E3E}">
          <x14:id>{B43FB41F-55CC-44E1-B734-3A291A0B7295}</x14:id>
        </ext>
      </extLst>
    </cfRule>
  </conditionalFormatting>
  <conditionalFormatting sqref="Y44:Y48">
    <cfRule type="dataBar" priority="324">
      <dataBar>
        <cfvo type="min"/>
        <cfvo type="max"/>
        <color rgb="FF63C384"/>
      </dataBar>
      <extLst>
        <ext xmlns:x14="http://schemas.microsoft.com/office/spreadsheetml/2009/9/main" uri="{B025F937-C7B1-47D3-B67F-A62EFF666E3E}">
          <x14:id>{7B4127B9-5E78-419D-A765-CC07A19FF6A7}</x14:id>
        </ext>
      </extLst>
    </cfRule>
  </conditionalFormatting>
  <conditionalFormatting sqref="Y49">
    <cfRule type="dataBar" priority="329">
      <dataBar>
        <cfvo type="min"/>
        <cfvo type="max"/>
        <color rgb="FF63C384"/>
      </dataBar>
      <extLst>
        <ext xmlns:x14="http://schemas.microsoft.com/office/spreadsheetml/2009/9/main" uri="{B025F937-C7B1-47D3-B67F-A62EFF666E3E}">
          <x14:id>{7A961F3B-6E61-4054-9583-9135E73D7FBC}</x14:id>
        </ext>
      </extLst>
    </cfRule>
  </conditionalFormatting>
  <conditionalFormatting sqref="Y53:Y57">
    <cfRule type="dataBar" priority="319">
      <dataBar>
        <cfvo type="min"/>
        <cfvo type="max"/>
        <color rgb="FF63C384"/>
      </dataBar>
      <extLst>
        <ext xmlns:x14="http://schemas.microsoft.com/office/spreadsheetml/2009/9/main" uri="{B025F937-C7B1-47D3-B67F-A62EFF666E3E}">
          <x14:id>{545BE260-6340-4EB1-B08B-1A8D5B04F9AE}</x14:id>
        </ext>
      </extLst>
    </cfRule>
  </conditionalFormatting>
  <conditionalFormatting sqref="Y58">
    <cfRule type="dataBar" priority="315">
      <dataBar>
        <cfvo type="min"/>
        <cfvo type="max"/>
        <color rgb="FF63C384"/>
      </dataBar>
      <extLst>
        <ext xmlns:x14="http://schemas.microsoft.com/office/spreadsheetml/2009/9/main" uri="{B025F937-C7B1-47D3-B67F-A62EFF666E3E}">
          <x14:id>{06612AEC-1C08-416C-BCB8-AED802DB5FEC}</x14:id>
        </ext>
      </extLst>
    </cfRule>
  </conditionalFormatting>
  <conditionalFormatting sqref="Y62:Y63">
    <cfRule type="dataBar" priority="310">
      <dataBar>
        <cfvo type="min"/>
        <cfvo type="max"/>
        <color rgb="FF63C384"/>
      </dataBar>
      <extLst>
        <ext xmlns:x14="http://schemas.microsoft.com/office/spreadsheetml/2009/9/main" uri="{B025F937-C7B1-47D3-B67F-A62EFF666E3E}">
          <x14:id>{0132A662-FEE4-4B96-BD31-44573FFB4CE6}</x14:id>
        </ext>
      </extLst>
    </cfRule>
  </conditionalFormatting>
  <conditionalFormatting sqref="Y64">
    <cfRule type="dataBar" priority="306">
      <dataBar>
        <cfvo type="min"/>
        <cfvo type="max"/>
        <color rgb="FF63C384"/>
      </dataBar>
      <extLst>
        <ext xmlns:x14="http://schemas.microsoft.com/office/spreadsheetml/2009/9/main" uri="{B025F937-C7B1-47D3-B67F-A62EFF666E3E}">
          <x14:id>{722AB5C4-39CD-41F9-A48C-981161A60A26}</x14:id>
        </ext>
      </extLst>
    </cfRule>
  </conditionalFormatting>
  <conditionalFormatting sqref="Y70:Y71">
    <cfRule type="dataBar" priority="301">
      <dataBar>
        <cfvo type="min"/>
        <cfvo type="max"/>
        <color rgb="FF63C384"/>
      </dataBar>
      <extLst>
        <ext xmlns:x14="http://schemas.microsoft.com/office/spreadsheetml/2009/9/main" uri="{B025F937-C7B1-47D3-B67F-A62EFF666E3E}">
          <x14:id>{F7107A30-7879-4AE3-BC76-59A307FB5338}</x14:id>
        </ext>
      </extLst>
    </cfRule>
  </conditionalFormatting>
  <conditionalFormatting sqref="Y72">
    <cfRule type="dataBar" priority="297">
      <dataBar>
        <cfvo type="min"/>
        <cfvo type="max"/>
        <color rgb="FF63C384"/>
      </dataBar>
      <extLst>
        <ext xmlns:x14="http://schemas.microsoft.com/office/spreadsheetml/2009/9/main" uri="{B025F937-C7B1-47D3-B67F-A62EFF666E3E}">
          <x14:id>{4E273FFF-F3F8-45EE-93B5-56AFFA54947D}</x14:id>
        </ext>
      </extLst>
    </cfRule>
  </conditionalFormatting>
  <conditionalFormatting sqref="Y78:Y88">
    <cfRule type="dataBar" priority="292">
      <dataBar>
        <cfvo type="min"/>
        <cfvo type="max"/>
        <color rgb="FF63C384"/>
      </dataBar>
      <extLst>
        <ext xmlns:x14="http://schemas.microsoft.com/office/spreadsheetml/2009/9/main" uri="{B025F937-C7B1-47D3-B67F-A62EFF666E3E}">
          <x14:id>{D64CF556-06AD-4667-8F7B-0F6B83A1688C}</x14:id>
        </ext>
      </extLst>
    </cfRule>
  </conditionalFormatting>
  <conditionalFormatting sqref="Y89">
    <cfRule type="dataBar" priority="288">
      <dataBar>
        <cfvo type="min"/>
        <cfvo type="max"/>
        <color rgb="FF63C384"/>
      </dataBar>
      <extLst>
        <ext xmlns:x14="http://schemas.microsoft.com/office/spreadsheetml/2009/9/main" uri="{B025F937-C7B1-47D3-B67F-A62EFF666E3E}">
          <x14:id>{A7F6C3B2-1DF4-4FCD-9562-6643C1FDB278}</x14:id>
        </ext>
      </extLst>
    </cfRule>
  </conditionalFormatting>
  <conditionalFormatting sqref="Y93:Y103">
    <cfRule type="dataBar" priority="283">
      <dataBar>
        <cfvo type="min"/>
        <cfvo type="max"/>
        <color rgb="FF63C384"/>
      </dataBar>
      <extLst>
        <ext xmlns:x14="http://schemas.microsoft.com/office/spreadsheetml/2009/9/main" uri="{B025F937-C7B1-47D3-B67F-A62EFF666E3E}">
          <x14:id>{4C3415D5-12BE-4939-A2DA-732F3661FA97}</x14:id>
        </ext>
      </extLst>
    </cfRule>
  </conditionalFormatting>
  <conditionalFormatting sqref="Y104">
    <cfRule type="dataBar" priority="279">
      <dataBar>
        <cfvo type="min"/>
        <cfvo type="max"/>
        <color rgb="FF63C384"/>
      </dataBar>
      <extLst>
        <ext xmlns:x14="http://schemas.microsoft.com/office/spreadsheetml/2009/9/main" uri="{B025F937-C7B1-47D3-B67F-A62EFF666E3E}">
          <x14:id>{EBEFA9C3-2F3B-4E61-8BAA-1F1AAABED3D7}</x14:id>
        </ext>
      </extLst>
    </cfRule>
  </conditionalFormatting>
  <conditionalFormatting sqref="Y108:Y112">
    <cfRule type="dataBar" priority="274">
      <dataBar>
        <cfvo type="min"/>
        <cfvo type="max"/>
        <color rgb="FF63C384"/>
      </dataBar>
      <extLst>
        <ext xmlns:x14="http://schemas.microsoft.com/office/spreadsheetml/2009/9/main" uri="{B025F937-C7B1-47D3-B67F-A62EFF666E3E}">
          <x14:id>{CF2D26C4-D4B7-45E8-AA84-86AC1096398C}</x14:id>
        </ext>
      </extLst>
    </cfRule>
  </conditionalFormatting>
  <conditionalFormatting sqref="Y113">
    <cfRule type="dataBar" priority="270">
      <dataBar>
        <cfvo type="min"/>
        <cfvo type="max"/>
        <color rgb="FF63C384"/>
      </dataBar>
      <extLst>
        <ext xmlns:x14="http://schemas.microsoft.com/office/spreadsheetml/2009/9/main" uri="{B025F937-C7B1-47D3-B67F-A62EFF666E3E}">
          <x14:id>{40FCDDFB-9D94-4A11-B8A3-2511FEB51186}</x14:id>
        </ext>
      </extLst>
    </cfRule>
  </conditionalFormatting>
  <conditionalFormatting sqref="Y117:Y134">
    <cfRule type="dataBar" priority="265">
      <dataBar>
        <cfvo type="min"/>
        <cfvo type="max"/>
        <color rgb="FF63C384"/>
      </dataBar>
      <extLst>
        <ext xmlns:x14="http://schemas.microsoft.com/office/spreadsheetml/2009/9/main" uri="{B025F937-C7B1-47D3-B67F-A62EFF666E3E}">
          <x14:id>{3C87891B-FD49-4511-988F-02322E06EF98}</x14:id>
        </ext>
      </extLst>
    </cfRule>
  </conditionalFormatting>
  <conditionalFormatting sqref="Y135">
    <cfRule type="dataBar" priority="261">
      <dataBar>
        <cfvo type="min"/>
        <cfvo type="max"/>
        <color rgb="FF63C384"/>
      </dataBar>
      <extLst>
        <ext xmlns:x14="http://schemas.microsoft.com/office/spreadsheetml/2009/9/main" uri="{B025F937-C7B1-47D3-B67F-A62EFF666E3E}">
          <x14:id>{8E635245-E254-4AB8-82BD-FAFB45CD0F94}</x14:id>
        </ext>
      </extLst>
    </cfRule>
  </conditionalFormatting>
  <conditionalFormatting sqref="Y139:Y143">
    <cfRule type="dataBar" priority="256">
      <dataBar>
        <cfvo type="min"/>
        <cfvo type="max"/>
        <color rgb="FF63C384"/>
      </dataBar>
      <extLst>
        <ext xmlns:x14="http://schemas.microsoft.com/office/spreadsheetml/2009/9/main" uri="{B025F937-C7B1-47D3-B67F-A62EFF666E3E}">
          <x14:id>{9EE48CFB-2B31-4E18-94BD-7165F5F01415}</x14:id>
        </ext>
      </extLst>
    </cfRule>
  </conditionalFormatting>
  <conditionalFormatting sqref="Y144">
    <cfRule type="dataBar" priority="252">
      <dataBar>
        <cfvo type="min"/>
        <cfvo type="max"/>
        <color rgb="FF63C384"/>
      </dataBar>
      <extLst>
        <ext xmlns:x14="http://schemas.microsoft.com/office/spreadsheetml/2009/9/main" uri="{B025F937-C7B1-47D3-B67F-A62EFF666E3E}">
          <x14:id>{DBCD6DAB-A806-4103-B5EB-CB78C202245E}</x14:id>
        </ext>
      </extLst>
    </cfRule>
  </conditionalFormatting>
  <conditionalFormatting sqref="Y148:Y165">
    <cfRule type="dataBar" priority="243">
      <dataBar>
        <cfvo type="min"/>
        <cfvo type="max"/>
        <color rgb="FF63C384"/>
      </dataBar>
      <extLst>
        <ext xmlns:x14="http://schemas.microsoft.com/office/spreadsheetml/2009/9/main" uri="{B025F937-C7B1-47D3-B67F-A62EFF666E3E}">
          <x14:id>{3EBCDE59-5D7D-481E-BD8F-1E5049E2DDDB}</x14:id>
        </ext>
      </extLst>
    </cfRule>
  </conditionalFormatting>
  <conditionalFormatting sqref="Y166">
    <cfRule type="dataBar" priority="248">
      <dataBar>
        <cfvo type="min"/>
        <cfvo type="max"/>
        <color rgb="FF63C384"/>
      </dataBar>
      <extLst>
        <ext xmlns:x14="http://schemas.microsoft.com/office/spreadsheetml/2009/9/main" uri="{B025F937-C7B1-47D3-B67F-A62EFF666E3E}">
          <x14:id>{6AF0F21D-A0F4-4A42-AF24-06B6D5E85F1A}</x14:id>
        </ext>
      </extLst>
    </cfRule>
  </conditionalFormatting>
  <conditionalFormatting sqref="Y170:Y185">
    <cfRule type="dataBar" priority="238">
      <dataBar>
        <cfvo type="min"/>
        <cfvo type="max"/>
        <color rgb="FF63C384"/>
      </dataBar>
      <extLst>
        <ext xmlns:x14="http://schemas.microsoft.com/office/spreadsheetml/2009/9/main" uri="{B025F937-C7B1-47D3-B67F-A62EFF666E3E}">
          <x14:id>{A10AEA10-06D5-4BF7-89F6-9563D1ECB2CF}</x14:id>
        </ext>
      </extLst>
    </cfRule>
  </conditionalFormatting>
  <conditionalFormatting sqref="Y186">
    <cfRule type="dataBar" priority="234">
      <dataBar>
        <cfvo type="min"/>
        <cfvo type="max"/>
        <color rgb="FF63C384"/>
      </dataBar>
      <extLst>
        <ext xmlns:x14="http://schemas.microsoft.com/office/spreadsheetml/2009/9/main" uri="{B025F937-C7B1-47D3-B67F-A62EFF666E3E}">
          <x14:id>{D0C3E17A-E6A4-47AD-8C43-62C62886C050}</x14:id>
        </ext>
      </extLst>
    </cfRule>
  </conditionalFormatting>
  <conditionalFormatting sqref="Y190:Y205">
    <cfRule type="dataBar" priority="230">
      <dataBar>
        <cfvo type="min"/>
        <cfvo type="max"/>
        <color rgb="FF63C384"/>
      </dataBar>
      <extLst>
        <ext xmlns:x14="http://schemas.microsoft.com/office/spreadsheetml/2009/9/main" uri="{B025F937-C7B1-47D3-B67F-A62EFF666E3E}">
          <x14:id>{99FEF90A-EACB-4E93-A912-5125C16336BF}</x14:id>
        </ext>
      </extLst>
    </cfRule>
  </conditionalFormatting>
  <conditionalFormatting sqref="Y206">
    <cfRule type="dataBar" priority="226">
      <dataBar>
        <cfvo type="min"/>
        <cfvo type="max"/>
        <color rgb="FF63C384"/>
      </dataBar>
      <extLst>
        <ext xmlns:x14="http://schemas.microsoft.com/office/spreadsheetml/2009/9/main" uri="{B025F937-C7B1-47D3-B67F-A62EFF666E3E}">
          <x14:id>{59F44F13-9573-43AD-B710-6B8626CECCB8}</x14:id>
        </ext>
      </extLst>
    </cfRule>
  </conditionalFormatting>
  <conditionalFormatting sqref="Y210:Y226">
    <cfRule type="dataBar" priority="220">
      <dataBar>
        <cfvo type="min"/>
        <cfvo type="max"/>
        <color rgb="FF63C384"/>
      </dataBar>
      <extLst>
        <ext xmlns:x14="http://schemas.microsoft.com/office/spreadsheetml/2009/9/main" uri="{B025F937-C7B1-47D3-B67F-A62EFF666E3E}">
          <x14:id>{F660B7A0-27D4-4B3E-892A-1556322F3937}</x14:id>
        </ext>
      </extLst>
    </cfRule>
  </conditionalFormatting>
  <conditionalFormatting sqref="Y230:Y246">
    <cfRule type="dataBar" priority="215">
      <dataBar>
        <cfvo type="min"/>
        <cfvo type="max"/>
        <color rgb="FF63C384"/>
      </dataBar>
      <extLst>
        <ext xmlns:x14="http://schemas.microsoft.com/office/spreadsheetml/2009/9/main" uri="{B025F937-C7B1-47D3-B67F-A62EFF666E3E}">
          <x14:id>{C1F65172-8263-4BBB-825D-467FDF38CBD5}</x14:id>
        </ext>
      </extLst>
    </cfRule>
  </conditionalFormatting>
  <conditionalFormatting sqref="Y250:Y259">
    <cfRule type="dataBar" priority="210">
      <dataBar>
        <cfvo type="min"/>
        <cfvo type="max"/>
        <color rgb="FF63C384"/>
      </dataBar>
      <extLst>
        <ext xmlns:x14="http://schemas.microsoft.com/office/spreadsheetml/2009/9/main" uri="{B025F937-C7B1-47D3-B67F-A62EFF666E3E}">
          <x14:id>{408CB179-11B2-4DA6-BD5F-E6A2DD45B8D3}</x14:id>
        </ext>
      </extLst>
    </cfRule>
  </conditionalFormatting>
  <conditionalFormatting sqref="Y260">
    <cfRule type="dataBar" priority="206">
      <dataBar>
        <cfvo type="min"/>
        <cfvo type="max"/>
        <color rgb="FF63C384"/>
      </dataBar>
      <extLst>
        <ext xmlns:x14="http://schemas.microsoft.com/office/spreadsheetml/2009/9/main" uri="{B025F937-C7B1-47D3-B67F-A62EFF666E3E}">
          <x14:id>{58B7E7D7-1D46-4B1B-B028-AB60AB6BCA00}</x14:id>
        </ext>
      </extLst>
    </cfRule>
  </conditionalFormatting>
  <conditionalFormatting sqref="Y264:Y274">
    <cfRule type="dataBar" priority="202">
      <dataBar>
        <cfvo type="min"/>
        <cfvo type="max"/>
        <color rgb="FF63C384"/>
      </dataBar>
      <extLst>
        <ext xmlns:x14="http://schemas.microsoft.com/office/spreadsheetml/2009/9/main" uri="{B025F937-C7B1-47D3-B67F-A62EFF666E3E}">
          <x14:id>{D5A9F68F-650A-4848-9E20-D30FBC23E57E}</x14:id>
        </ext>
      </extLst>
    </cfRule>
  </conditionalFormatting>
  <conditionalFormatting sqref="Y278:Y288">
    <cfRule type="dataBar" priority="69">
      <dataBar>
        <cfvo type="min"/>
        <cfvo type="max"/>
        <color rgb="FF63C384"/>
      </dataBar>
      <extLst>
        <ext xmlns:x14="http://schemas.microsoft.com/office/spreadsheetml/2009/9/main" uri="{B025F937-C7B1-47D3-B67F-A62EFF666E3E}">
          <x14:id>{E78D7840-1D52-440C-A08A-FD60C98ECB11}</x14:id>
        </ext>
      </extLst>
    </cfRule>
  </conditionalFormatting>
  <conditionalFormatting sqref="Y292:Y302">
    <cfRule type="dataBar" priority="65">
      <dataBar>
        <cfvo type="min"/>
        <cfvo type="max"/>
        <color rgb="FF63C384"/>
      </dataBar>
      <extLst>
        <ext xmlns:x14="http://schemas.microsoft.com/office/spreadsheetml/2009/9/main" uri="{B025F937-C7B1-47D3-B67F-A62EFF666E3E}">
          <x14:id>{E63F0267-1D30-4E0A-9486-A5CC0BD9F0FA}</x14:id>
        </ext>
      </extLst>
    </cfRule>
  </conditionalFormatting>
  <conditionalFormatting sqref="Y306:Y325">
    <cfRule type="dataBar" priority="196">
      <dataBar>
        <cfvo type="min"/>
        <cfvo type="max"/>
        <color rgb="FF63C384"/>
      </dataBar>
      <extLst>
        <ext xmlns:x14="http://schemas.microsoft.com/office/spreadsheetml/2009/9/main" uri="{B025F937-C7B1-47D3-B67F-A62EFF666E3E}">
          <x14:id>{7D749A01-C792-4A3A-8A0D-ED3F7DE950DB}</x14:id>
        </ext>
      </extLst>
    </cfRule>
  </conditionalFormatting>
  <conditionalFormatting sqref="Y329:Y348">
    <cfRule type="dataBar" priority="191">
      <dataBar>
        <cfvo type="min"/>
        <cfvo type="max"/>
        <color rgb="FF63C384"/>
      </dataBar>
      <extLst>
        <ext xmlns:x14="http://schemas.microsoft.com/office/spreadsheetml/2009/9/main" uri="{B025F937-C7B1-47D3-B67F-A62EFF666E3E}">
          <x14:id>{16FD0CC2-0669-40C7-89DE-BA4F98D321C9}</x14:id>
        </ext>
      </extLst>
    </cfRule>
  </conditionalFormatting>
  <conditionalFormatting sqref="Y352:Y371">
    <cfRule type="dataBar" priority="182">
      <dataBar>
        <cfvo type="min"/>
        <cfvo type="max"/>
        <color rgb="FF63C384"/>
      </dataBar>
      <extLst>
        <ext xmlns:x14="http://schemas.microsoft.com/office/spreadsheetml/2009/9/main" uri="{B025F937-C7B1-47D3-B67F-A62EFF666E3E}">
          <x14:id>{5606364C-2259-4DA6-842D-57CB11F71C83}</x14:id>
        </ext>
      </extLst>
    </cfRule>
  </conditionalFormatting>
  <conditionalFormatting sqref="Y375:Y394">
    <cfRule type="dataBar" priority="175">
      <dataBar>
        <cfvo type="min"/>
        <cfvo type="max"/>
        <color rgb="FF63C384"/>
      </dataBar>
      <extLst>
        <ext xmlns:x14="http://schemas.microsoft.com/office/spreadsheetml/2009/9/main" uri="{B025F937-C7B1-47D3-B67F-A62EFF666E3E}">
          <x14:id>{FEFAAF5D-D145-481C-8780-A43C5F8C85D3}</x14:id>
        </ext>
      </extLst>
    </cfRule>
  </conditionalFormatting>
  <conditionalFormatting sqref="Y398:Y417">
    <cfRule type="dataBar" priority="169">
      <dataBar>
        <cfvo type="min"/>
        <cfvo type="max"/>
        <color rgb="FF63C384"/>
      </dataBar>
      <extLst>
        <ext xmlns:x14="http://schemas.microsoft.com/office/spreadsheetml/2009/9/main" uri="{B025F937-C7B1-47D3-B67F-A62EFF666E3E}">
          <x14:id>{9FB18656-E848-4983-B475-CEF69111E4A9}</x14:id>
        </ext>
      </extLst>
    </cfRule>
  </conditionalFormatting>
  <conditionalFormatting sqref="Y421:Y440">
    <cfRule type="dataBar" priority="165">
      <dataBar>
        <cfvo type="min"/>
        <cfvo type="max"/>
        <color rgb="FF63C384"/>
      </dataBar>
      <extLst>
        <ext xmlns:x14="http://schemas.microsoft.com/office/spreadsheetml/2009/9/main" uri="{B025F937-C7B1-47D3-B67F-A62EFF666E3E}">
          <x14:id>{ABB05ABD-7689-43DF-AC1E-3B907DB79550}</x14:id>
        </ext>
      </extLst>
    </cfRule>
  </conditionalFormatting>
  <conditionalFormatting sqref="Y444:Y459">
    <cfRule type="dataBar" priority="159">
      <dataBar>
        <cfvo type="min"/>
        <cfvo type="max"/>
        <color rgb="FF63C384"/>
      </dataBar>
      <extLst>
        <ext xmlns:x14="http://schemas.microsoft.com/office/spreadsheetml/2009/9/main" uri="{B025F937-C7B1-47D3-B67F-A62EFF666E3E}">
          <x14:id>{047FA6E8-B632-450A-B678-DE47B0766E9F}</x14:id>
        </ext>
      </extLst>
    </cfRule>
  </conditionalFormatting>
  <conditionalFormatting sqref="Y463:Y478">
    <cfRule type="dataBar" priority="155">
      <dataBar>
        <cfvo type="min"/>
        <cfvo type="max"/>
        <color rgb="FF63C384"/>
      </dataBar>
      <extLst>
        <ext xmlns:x14="http://schemas.microsoft.com/office/spreadsheetml/2009/9/main" uri="{B025F937-C7B1-47D3-B67F-A62EFF666E3E}">
          <x14:id>{40F24E7E-A40D-4516-BE31-7BCF1EE823C3}</x14:id>
        </ext>
      </extLst>
    </cfRule>
  </conditionalFormatting>
  <conditionalFormatting sqref="Y482:Y485">
    <cfRule type="dataBar" priority="149">
      <dataBar>
        <cfvo type="min"/>
        <cfvo type="max"/>
        <color rgb="FF63C384"/>
      </dataBar>
      <extLst>
        <ext xmlns:x14="http://schemas.microsoft.com/office/spreadsheetml/2009/9/main" uri="{B025F937-C7B1-47D3-B67F-A62EFF666E3E}">
          <x14:id>{2C2447A5-7FF8-445C-9F0E-EFFE23533ACF}</x14:id>
        </ext>
      </extLst>
    </cfRule>
  </conditionalFormatting>
  <conditionalFormatting sqref="Y489:Y492">
    <cfRule type="dataBar" priority="144">
      <dataBar>
        <cfvo type="min"/>
        <cfvo type="max"/>
        <color rgb="FF63C384"/>
      </dataBar>
      <extLst>
        <ext xmlns:x14="http://schemas.microsoft.com/office/spreadsheetml/2009/9/main" uri="{B025F937-C7B1-47D3-B67F-A62EFF666E3E}">
          <x14:id>{CD2A74C6-8F64-4BB8-847D-2DD88CB48EFD}</x14:id>
        </ext>
      </extLst>
    </cfRule>
  </conditionalFormatting>
  <conditionalFormatting sqref="Y496:Y499">
    <cfRule type="dataBar" priority="139">
      <dataBar>
        <cfvo type="min"/>
        <cfvo type="max"/>
        <color rgb="FF63C384"/>
      </dataBar>
      <extLst>
        <ext xmlns:x14="http://schemas.microsoft.com/office/spreadsheetml/2009/9/main" uri="{B025F937-C7B1-47D3-B67F-A62EFF666E3E}">
          <x14:id>{54567D4E-6549-4462-879D-000346D1864C}</x14:id>
        </ext>
      </extLst>
    </cfRule>
  </conditionalFormatting>
  <conditionalFormatting sqref="Y503:Y507">
    <cfRule type="dataBar" priority="134">
      <dataBar>
        <cfvo type="min"/>
        <cfvo type="max"/>
        <color rgb="FF63C384"/>
      </dataBar>
      <extLst>
        <ext xmlns:x14="http://schemas.microsoft.com/office/spreadsheetml/2009/9/main" uri="{B025F937-C7B1-47D3-B67F-A62EFF666E3E}">
          <x14:id>{964C2B7E-1343-4AA4-9DA2-0FE31B88F5D0}</x14:id>
        </ext>
      </extLst>
    </cfRule>
  </conditionalFormatting>
  <conditionalFormatting sqref="Y510:Y513">
    <cfRule type="dataBar" priority="129">
      <dataBar>
        <cfvo type="min"/>
        <cfvo type="max"/>
        <color rgb="FF63C384"/>
      </dataBar>
      <extLst>
        <ext xmlns:x14="http://schemas.microsoft.com/office/spreadsheetml/2009/9/main" uri="{B025F937-C7B1-47D3-B67F-A62EFF666E3E}">
          <x14:id>{E66770A9-BF80-4DC4-BC7D-2069BE0DE0D9}</x14:id>
        </ext>
      </extLst>
    </cfRule>
  </conditionalFormatting>
  <conditionalFormatting sqref="Y517:Y520">
    <cfRule type="dataBar" priority="124">
      <dataBar>
        <cfvo type="min"/>
        <cfvo type="max"/>
        <color rgb="FF63C384"/>
      </dataBar>
      <extLst>
        <ext xmlns:x14="http://schemas.microsoft.com/office/spreadsheetml/2009/9/main" uri="{B025F937-C7B1-47D3-B67F-A62EFF666E3E}">
          <x14:id>{CE7B95B5-24E0-4FA5-9F4F-6A6E708849A8}</x14:id>
        </ext>
      </extLst>
    </cfRule>
  </conditionalFormatting>
  <conditionalFormatting sqref="Y524:Y527">
    <cfRule type="dataBar" priority="119">
      <dataBar>
        <cfvo type="min"/>
        <cfvo type="max"/>
        <color rgb="FF63C384"/>
      </dataBar>
      <extLst>
        <ext xmlns:x14="http://schemas.microsoft.com/office/spreadsheetml/2009/9/main" uri="{B025F937-C7B1-47D3-B67F-A62EFF666E3E}">
          <x14:id>{44E7E224-83DC-4C9A-8F4F-078F55A067DC}</x14:id>
        </ext>
      </extLst>
    </cfRule>
  </conditionalFormatting>
  <conditionalFormatting sqref="Y531:Y534">
    <cfRule type="dataBar" priority="114">
      <dataBar>
        <cfvo type="min"/>
        <cfvo type="max"/>
        <color rgb="FF63C384"/>
      </dataBar>
      <extLst>
        <ext xmlns:x14="http://schemas.microsoft.com/office/spreadsheetml/2009/9/main" uri="{B025F937-C7B1-47D3-B67F-A62EFF666E3E}">
          <x14:id>{29D0BA71-092D-46BB-BBB5-5EFBB5CABAF2}</x14:id>
        </ext>
      </extLst>
    </cfRule>
  </conditionalFormatting>
  <conditionalFormatting sqref="Y538:Y545">
    <cfRule type="dataBar" priority="109">
      <dataBar>
        <cfvo type="min"/>
        <cfvo type="max"/>
        <color rgb="FF63C384"/>
      </dataBar>
      <extLst>
        <ext xmlns:x14="http://schemas.microsoft.com/office/spreadsheetml/2009/9/main" uri="{B025F937-C7B1-47D3-B67F-A62EFF666E3E}">
          <x14:id>{263483C9-F413-4C70-870D-5ACEC0B77796}</x14:id>
        </ext>
      </extLst>
    </cfRule>
  </conditionalFormatting>
  <conditionalFormatting sqref="Y550:Y557">
    <cfRule type="dataBar" priority="104">
      <dataBar>
        <cfvo type="min"/>
        <cfvo type="max"/>
        <color rgb="FF63C384"/>
      </dataBar>
      <extLst>
        <ext xmlns:x14="http://schemas.microsoft.com/office/spreadsheetml/2009/9/main" uri="{B025F937-C7B1-47D3-B67F-A62EFF666E3E}">
          <x14:id>{9E662FAD-1A35-4FAD-9D36-B328FD23D49F}</x14:id>
        </ext>
      </extLst>
    </cfRule>
  </conditionalFormatting>
  <conditionalFormatting sqref="Y563:Y570">
    <cfRule type="dataBar" priority="99">
      <dataBar>
        <cfvo type="min"/>
        <cfvo type="max"/>
        <color rgb="FF63C384"/>
      </dataBar>
      <extLst>
        <ext xmlns:x14="http://schemas.microsoft.com/office/spreadsheetml/2009/9/main" uri="{B025F937-C7B1-47D3-B67F-A62EFF666E3E}">
          <x14:id>{4488265C-390D-4CC8-829A-5FC5E5526D40}</x14:id>
        </ext>
      </extLst>
    </cfRule>
  </conditionalFormatting>
  <conditionalFormatting sqref="Y575:Y582">
    <cfRule type="dataBar" priority="94">
      <dataBar>
        <cfvo type="min"/>
        <cfvo type="max"/>
        <color rgb="FF63C384"/>
      </dataBar>
      <extLst>
        <ext xmlns:x14="http://schemas.microsoft.com/office/spreadsheetml/2009/9/main" uri="{B025F937-C7B1-47D3-B67F-A62EFF666E3E}">
          <x14:id>{2FCC002D-885A-4CF4-986C-CD1A81551F43}</x14:id>
        </ext>
      </extLst>
    </cfRule>
  </conditionalFormatting>
  <conditionalFormatting sqref="Y588:Y595">
    <cfRule type="dataBar" priority="89">
      <dataBar>
        <cfvo type="min"/>
        <cfvo type="max"/>
        <color rgb="FF63C384"/>
      </dataBar>
      <extLst>
        <ext xmlns:x14="http://schemas.microsoft.com/office/spreadsheetml/2009/9/main" uri="{B025F937-C7B1-47D3-B67F-A62EFF666E3E}">
          <x14:id>{E6DF013F-27F1-4B4D-BA0A-6DF8812CFBB6}</x14:id>
        </ext>
      </extLst>
    </cfRule>
  </conditionalFormatting>
  <conditionalFormatting sqref="Y600:Y607">
    <cfRule type="dataBar" priority="84">
      <dataBar>
        <cfvo type="min"/>
        <cfvo type="max"/>
        <color rgb="FF63C384"/>
      </dataBar>
      <extLst>
        <ext xmlns:x14="http://schemas.microsoft.com/office/spreadsheetml/2009/9/main" uri="{B025F937-C7B1-47D3-B67F-A62EFF666E3E}">
          <x14:id>{521D4CC2-3CAD-41EF-B99C-59EF7ACE2AF4}</x14:id>
        </ext>
      </extLst>
    </cfRule>
  </conditionalFormatting>
  <conditionalFormatting sqref="Y612:Y619">
    <cfRule type="dataBar" priority="79">
      <dataBar>
        <cfvo type="min"/>
        <cfvo type="max"/>
        <color rgb="FF63C384"/>
      </dataBar>
      <extLst>
        <ext xmlns:x14="http://schemas.microsoft.com/office/spreadsheetml/2009/9/main" uri="{B025F937-C7B1-47D3-B67F-A62EFF666E3E}">
          <x14:id>{CA41DD8C-AFDD-48D0-A952-47E7C4FFB8E7}</x14:id>
        </ext>
      </extLst>
    </cfRule>
  </conditionalFormatting>
  <conditionalFormatting sqref="Y624:Y631">
    <cfRule type="dataBar" priority="74">
      <dataBar>
        <cfvo type="min"/>
        <cfvo type="max"/>
        <color rgb="FF63C384"/>
      </dataBar>
      <extLst>
        <ext xmlns:x14="http://schemas.microsoft.com/office/spreadsheetml/2009/9/main" uri="{B025F937-C7B1-47D3-B67F-A62EFF666E3E}">
          <x14:id>{5B63A7E2-3499-4458-8D01-7C26FD8E57D7}</x14:id>
        </ext>
      </extLst>
    </cfRule>
  </conditionalFormatting>
  <conditionalFormatting sqref="Y637:Y640">
    <cfRule type="dataBar" priority="59">
      <dataBar>
        <cfvo type="min"/>
        <cfvo type="max"/>
        <color rgb="FF63C384"/>
      </dataBar>
      <extLst>
        <ext xmlns:x14="http://schemas.microsoft.com/office/spreadsheetml/2009/9/main" uri="{B025F937-C7B1-47D3-B67F-A62EFF666E3E}">
          <x14:id>{B3943866-606E-4E3E-87E9-1FD7A7733D9E}</x14:id>
        </ext>
      </extLst>
    </cfRule>
  </conditionalFormatting>
  <conditionalFormatting sqref="Y644:Y647">
    <cfRule type="dataBar" priority="54">
      <dataBar>
        <cfvo type="min"/>
        <cfvo type="max"/>
        <color rgb="FF63C384"/>
      </dataBar>
      <extLst>
        <ext xmlns:x14="http://schemas.microsoft.com/office/spreadsheetml/2009/9/main" uri="{B025F937-C7B1-47D3-B67F-A62EFF666E3E}">
          <x14:id>{B4611D10-C196-437A-AEA4-98615FB569DF}</x14:id>
        </ext>
      </extLst>
    </cfRule>
  </conditionalFormatting>
  <conditionalFormatting sqref="Y651:Y654">
    <cfRule type="dataBar" priority="49">
      <dataBar>
        <cfvo type="min"/>
        <cfvo type="max"/>
        <color rgb="FF63C384"/>
      </dataBar>
      <extLst>
        <ext xmlns:x14="http://schemas.microsoft.com/office/spreadsheetml/2009/9/main" uri="{B025F937-C7B1-47D3-B67F-A62EFF666E3E}">
          <x14:id>{8998FB8E-90C0-466E-87B5-514563CA0DDC}</x14:id>
        </ext>
      </extLst>
    </cfRule>
  </conditionalFormatting>
  <conditionalFormatting sqref="Y658:Y661">
    <cfRule type="dataBar" priority="44">
      <dataBar>
        <cfvo type="min"/>
        <cfvo type="max"/>
        <color rgb="FF63C384"/>
      </dataBar>
      <extLst>
        <ext xmlns:x14="http://schemas.microsoft.com/office/spreadsheetml/2009/9/main" uri="{B025F937-C7B1-47D3-B67F-A62EFF666E3E}">
          <x14:id>{159D6488-1FB1-42A5-9128-D7DB159C02A2}</x14:id>
        </ext>
      </extLst>
    </cfRule>
  </conditionalFormatting>
  <conditionalFormatting sqref="Y665:Y671">
    <cfRule type="dataBar" priority="25">
      <dataBar>
        <cfvo type="min"/>
        <cfvo type="max"/>
        <color rgb="FF63C384"/>
      </dataBar>
      <extLst>
        <ext xmlns:x14="http://schemas.microsoft.com/office/spreadsheetml/2009/9/main" uri="{B025F937-C7B1-47D3-B67F-A62EFF666E3E}">
          <x14:id>{E9D4AB34-DC63-4909-9D99-E03A0FC39BF4}</x14:id>
        </ext>
      </extLst>
    </cfRule>
  </conditionalFormatting>
  <conditionalFormatting sqref="Y675:Y681">
    <cfRule type="dataBar" priority="24">
      <dataBar>
        <cfvo type="min"/>
        <cfvo type="max"/>
        <color rgb="FF63C384"/>
      </dataBar>
      <extLst>
        <ext xmlns:x14="http://schemas.microsoft.com/office/spreadsheetml/2009/9/main" uri="{B025F937-C7B1-47D3-B67F-A62EFF666E3E}">
          <x14:id>{44068DB0-983D-4FCF-AFFE-735435B36D11}</x14:id>
        </ext>
      </extLst>
    </cfRule>
  </conditionalFormatting>
  <conditionalFormatting sqref="Y685:Y691">
    <cfRule type="dataBar" priority="23">
      <dataBar>
        <cfvo type="min"/>
        <cfvo type="max"/>
        <color rgb="FF63C384"/>
      </dataBar>
      <extLst>
        <ext xmlns:x14="http://schemas.microsoft.com/office/spreadsheetml/2009/9/main" uri="{B025F937-C7B1-47D3-B67F-A62EFF666E3E}">
          <x14:id>{CC761185-A064-4FC4-8B47-62EF7210F0F4}</x14:id>
        </ext>
      </extLst>
    </cfRule>
  </conditionalFormatting>
  <conditionalFormatting sqref="Y695:Y701">
    <cfRule type="dataBar" priority="22">
      <dataBar>
        <cfvo type="min"/>
        <cfvo type="max"/>
        <color rgb="FF63C384"/>
      </dataBar>
      <extLst>
        <ext xmlns:x14="http://schemas.microsoft.com/office/spreadsheetml/2009/9/main" uri="{B025F937-C7B1-47D3-B67F-A62EFF666E3E}">
          <x14:id>{D35CF739-591F-409A-8C6F-C09EE0FEE38F}</x14:id>
        </ext>
      </extLst>
    </cfRule>
  </conditionalFormatting>
  <conditionalFormatting sqref="Y705:Y716">
    <cfRule type="dataBar" priority="17">
      <dataBar>
        <cfvo type="min"/>
        <cfvo type="max"/>
        <color rgb="FF63C384"/>
      </dataBar>
      <extLst>
        <ext xmlns:x14="http://schemas.microsoft.com/office/spreadsheetml/2009/9/main" uri="{B025F937-C7B1-47D3-B67F-A62EFF666E3E}">
          <x14:id>{DDFE2ED2-F2B5-49E6-B36D-E514BB31C94A}</x14:id>
        </ext>
      </extLst>
    </cfRule>
  </conditionalFormatting>
  <conditionalFormatting sqref="Y722:Y733">
    <cfRule type="dataBar" priority="14">
      <dataBar>
        <cfvo type="min"/>
        <cfvo type="max"/>
        <color rgb="FF63C384"/>
      </dataBar>
      <extLst>
        <ext xmlns:x14="http://schemas.microsoft.com/office/spreadsheetml/2009/9/main" uri="{B025F937-C7B1-47D3-B67F-A62EFF666E3E}">
          <x14:id>{2B53A782-63CF-4E3B-92CF-A7B182C56934}</x14:id>
        </ext>
      </extLst>
    </cfRule>
  </conditionalFormatting>
  <hyperlinks>
    <hyperlink ref="A738" location="Índice!C1" display="Volver al ïndice" xr:uid="{00000000-0004-0000-0400-000000000000}"/>
  </hyperlink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97E95624-C434-455C-B82C-EAE147F59FB5}">
            <x14:dataBar minLength="0" maxLength="100" border="1" negativeBarBorderColorSameAsPositive="0">
              <x14:cfvo type="autoMin"/>
              <x14:cfvo type="autoMax"/>
              <x14:borderColor rgb="FF638EC6"/>
              <x14:negativeFillColor rgb="FFFF0000"/>
              <x14:negativeBorderColor rgb="FFFF0000"/>
              <x14:axisColor rgb="FF000000"/>
            </x14:dataBar>
          </x14:cfRule>
          <xm:sqref>X6:X8</xm:sqref>
        </x14:conditionalFormatting>
        <x14:conditionalFormatting xmlns:xm="http://schemas.microsoft.com/office/excel/2006/main">
          <x14:cfRule type="dataBar" id="{77EE231B-216E-4D94-AE61-C6D88BD0DC5A}">
            <x14:dataBar minLength="0" maxLength="100" border="1" negativeBarBorderColorSameAsPositive="0">
              <x14:cfvo type="autoMin"/>
              <x14:cfvo type="autoMax"/>
              <x14:borderColor rgb="FF638EC6"/>
              <x14:negativeFillColor rgb="FFFF0000"/>
              <x14:negativeBorderColor rgb="FFFF0000"/>
              <x14:axisColor rgb="FF000000"/>
            </x14:dataBar>
          </x14:cfRule>
          <xm:sqref>X13:X15</xm:sqref>
        </x14:conditionalFormatting>
        <x14:conditionalFormatting xmlns:xm="http://schemas.microsoft.com/office/excel/2006/main">
          <x14:cfRule type="dataBar" id="{9842125E-861C-4C22-8115-F9B3654B5D6C}">
            <x14:dataBar minLength="0" maxLength="100" border="1" negativeBarBorderColorSameAsPositive="0">
              <x14:cfvo type="autoMin"/>
              <x14:cfvo type="autoMax"/>
              <x14:borderColor rgb="FF638EC6"/>
              <x14:negativeFillColor rgb="FFFF0000"/>
              <x14:negativeBorderColor rgb="FFFF0000"/>
              <x14:axisColor rgb="FF000000"/>
            </x14:dataBar>
          </x14:cfRule>
          <xm:sqref>X20:X26</xm:sqref>
        </x14:conditionalFormatting>
        <x14:conditionalFormatting xmlns:xm="http://schemas.microsoft.com/office/excel/2006/main">
          <x14:cfRule type="dataBar" id="{346CB99B-1741-43E9-A80D-1C3F40137162}">
            <x14:dataBar minLength="0" maxLength="100" border="1" negativeBarBorderColorSameAsPositive="0">
              <x14:cfvo type="autoMin"/>
              <x14:cfvo type="autoMax"/>
              <x14:borderColor rgb="FF638EC6"/>
              <x14:negativeFillColor rgb="FFFF0000"/>
              <x14:negativeBorderColor rgb="FFFF0000"/>
              <x14:axisColor rgb="FF000000"/>
            </x14:dataBar>
          </x14:cfRule>
          <xm:sqref>X33:X38</xm:sqref>
        </x14:conditionalFormatting>
        <x14:conditionalFormatting xmlns:xm="http://schemas.microsoft.com/office/excel/2006/main">
          <x14:cfRule type="dataBar" id="{5AF7C6DC-A440-43EE-9ACE-0053923916ED}">
            <x14:dataBar minLength="0" maxLength="100" border="1" negativeBarBorderColorSameAsPositive="0">
              <x14:cfvo type="autoMin"/>
              <x14:cfvo type="autoMax"/>
              <x14:borderColor rgb="FF638EC6"/>
              <x14:negativeFillColor rgb="FFFF0000"/>
              <x14:negativeBorderColor rgb="FFFF0000"/>
              <x14:axisColor rgb="FF000000"/>
            </x14:dataBar>
          </x14:cfRule>
          <xm:sqref>X44:X48</xm:sqref>
        </x14:conditionalFormatting>
        <x14:conditionalFormatting xmlns:xm="http://schemas.microsoft.com/office/excel/2006/main">
          <x14:cfRule type="dataBar" id="{D63D317C-4360-4492-ADD6-4A0FBB9711EF}">
            <x14:dataBar minLength="0" maxLength="100" border="1" negativeBarBorderColorSameAsPositive="0">
              <x14:cfvo type="autoMin"/>
              <x14:cfvo type="autoMax"/>
              <x14:borderColor rgb="FF638EC6"/>
              <x14:negativeFillColor rgb="FFFF0000"/>
              <x14:negativeBorderColor rgb="FFFF0000"/>
              <x14:axisColor rgb="FF000000"/>
            </x14:dataBar>
          </x14:cfRule>
          <xm:sqref>X53:X57</xm:sqref>
        </x14:conditionalFormatting>
        <x14:conditionalFormatting xmlns:xm="http://schemas.microsoft.com/office/excel/2006/main">
          <x14:cfRule type="dataBar" id="{2C8ACA0B-11CE-4438-9A8A-030A0E9FB733}">
            <x14:dataBar minLength="0" maxLength="100" border="1" negativeBarBorderColorSameAsPositive="0">
              <x14:cfvo type="autoMin"/>
              <x14:cfvo type="autoMax"/>
              <x14:borderColor rgb="FF638EC6"/>
              <x14:negativeFillColor rgb="FFFF0000"/>
              <x14:negativeBorderColor rgb="FFFF0000"/>
              <x14:axisColor rgb="FF000000"/>
            </x14:dataBar>
          </x14:cfRule>
          <xm:sqref>X62:X63</xm:sqref>
        </x14:conditionalFormatting>
        <x14:conditionalFormatting xmlns:xm="http://schemas.microsoft.com/office/excel/2006/main">
          <x14:cfRule type="dataBar" id="{E7A61EC4-6E2E-48A9-B5FD-4BACFABC72B1}">
            <x14:dataBar minLength="0" maxLength="100" border="1" negativeBarBorderColorSameAsPositive="0">
              <x14:cfvo type="autoMin"/>
              <x14:cfvo type="autoMax"/>
              <x14:borderColor rgb="FF638EC6"/>
              <x14:negativeFillColor rgb="FFFF0000"/>
              <x14:negativeBorderColor rgb="FFFF0000"/>
              <x14:axisColor rgb="FF000000"/>
            </x14:dataBar>
          </x14:cfRule>
          <xm:sqref>X70:X71</xm:sqref>
        </x14:conditionalFormatting>
        <x14:conditionalFormatting xmlns:xm="http://schemas.microsoft.com/office/excel/2006/main">
          <x14:cfRule type="dataBar" id="{80A4D0C6-4057-4DC0-8A7B-597BB6677B8B}">
            <x14:dataBar minLength="0" maxLength="100" border="1" negativeBarBorderColorSameAsPositive="0">
              <x14:cfvo type="autoMin"/>
              <x14:cfvo type="autoMax"/>
              <x14:borderColor rgb="FF638EC6"/>
              <x14:negativeFillColor rgb="FFFF0000"/>
              <x14:negativeBorderColor rgb="FFFF0000"/>
              <x14:axisColor rgb="FF000000"/>
            </x14:dataBar>
          </x14:cfRule>
          <xm:sqref>X78:X88</xm:sqref>
        </x14:conditionalFormatting>
        <x14:conditionalFormatting xmlns:xm="http://schemas.microsoft.com/office/excel/2006/main">
          <x14:cfRule type="dataBar" id="{94BE476F-A903-4D99-82D6-18D7F0830526}">
            <x14:dataBar minLength="0" maxLength="100" border="1" negativeBarBorderColorSameAsPositive="0">
              <x14:cfvo type="autoMin"/>
              <x14:cfvo type="autoMax"/>
              <x14:borderColor rgb="FF638EC6"/>
              <x14:negativeFillColor rgb="FFFF0000"/>
              <x14:negativeBorderColor rgb="FFFF0000"/>
              <x14:axisColor rgb="FF000000"/>
            </x14:dataBar>
          </x14:cfRule>
          <xm:sqref>X93:X103</xm:sqref>
        </x14:conditionalFormatting>
        <x14:conditionalFormatting xmlns:xm="http://schemas.microsoft.com/office/excel/2006/main">
          <x14:cfRule type="dataBar" id="{B889C254-5E2E-4D73-B4C8-FBAFD1B367CF}">
            <x14:dataBar minLength="0" maxLength="100" border="1" negativeBarBorderColorSameAsPositive="0">
              <x14:cfvo type="autoMin"/>
              <x14:cfvo type="autoMax"/>
              <x14:borderColor rgb="FF638EC6"/>
              <x14:negativeFillColor rgb="FFFF0000"/>
              <x14:negativeBorderColor rgb="FFFF0000"/>
              <x14:axisColor rgb="FF000000"/>
            </x14:dataBar>
          </x14:cfRule>
          <xm:sqref>X108:X112</xm:sqref>
        </x14:conditionalFormatting>
        <x14:conditionalFormatting xmlns:xm="http://schemas.microsoft.com/office/excel/2006/main">
          <x14:cfRule type="dataBar" id="{2DC0D685-599D-476A-831B-B38763C89423}">
            <x14:dataBar minLength="0" maxLength="100" border="1" negativeBarBorderColorSameAsPositive="0">
              <x14:cfvo type="autoMin"/>
              <x14:cfvo type="autoMax"/>
              <x14:borderColor rgb="FF638EC6"/>
              <x14:negativeFillColor rgb="FFFF0000"/>
              <x14:negativeBorderColor rgb="FFFF0000"/>
              <x14:axisColor rgb="FF000000"/>
            </x14:dataBar>
          </x14:cfRule>
          <xm:sqref>X117:X134</xm:sqref>
        </x14:conditionalFormatting>
        <x14:conditionalFormatting xmlns:xm="http://schemas.microsoft.com/office/excel/2006/main">
          <x14:cfRule type="dataBar" id="{AFC2A3DE-8467-4233-A68F-7F7967C5012C}">
            <x14:dataBar minLength="0" maxLength="100" border="1" negativeBarBorderColorSameAsPositive="0">
              <x14:cfvo type="autoMin"/>
              <x14:cfvo type="autoMax"/>
              <x14:borderColor rgb="FF638EC6"/>
              <x14:negativeFillColor rgb="FFFF0000"/>
              <x14:negativeBorderColor rgb="FFFF0000"/>
              <x14:axisColor rgb="FF000000"/>
            </x14:dataBar>
          </x14:cfRule>
          <xm:sqref>X139:X143</xm:sqref>
        </x14:conditionalFormatting>
        <x14:conditionalFormatting xmlns:xm="http://schemas.microsoft.com/office/excel/2006/main">
          <x14:cfRule type="dataBar" id="{7804254B-00DA-42A0-8F33-6FBD8B0943B4}">
            <x14:dataBar minLength="0" maxLength="100" border="1" negativeBarBorderColorSameAsPositive="0">
              <x14:cfvo type="autoMin"/>
              <x14:cfvo type="autoMax"/>
              <x14:borderColor rgb="FF638EC6"/>
              <x14:negativeFillColor rgb="FFFF0000"/>
              <x14:negativeBorderColor rgb="FFFF0000"/>
              <x14:axisColor rgb="FF000000"/>
            </x14:dataBar>
          </x14:cfRule>
          <xm:sqref>X148:X165</xm:sqref>
        </x14:conditionalFormatting>
        <x14:conditionalFormatting xmlns:xm="http://schemas.microsoft.com/office/excel/2006/main">
          <x14:cfRule type="dataBar" id="{FAE86AE6-5B32-42AB-AD3B-B1EAAC9104B5}">
            <x14:dataBar minLength="0" maxLength="100" border="1" negativeBarBorderColorSameAsPositive="0">
              <x14:cfvo type="autoMin"/>
              <x14:cfvo type="autoMax"/>
              <x14:borderColor rgb="FF638EC6"/>
              <x14:negativeFillColor rgb="FFFF0000"/>
              <x14:negativeBorderColor rgb="FFFF0000"/>
              <x14:axisColor rgb="FF000000"/>
            </x14:dataBar>
          </x14:cfRule>
          <xm:sqref>X170:X185</xm:sqref>
        </x14:conditionalFormatting>
        <x14:conditionalFormatting xmlns:xm="http://schemas.microsoft.com/office/excel/2006/main">
          <x14:cfRule type="dataBar" id="{3530E9BC-190C-4FF1-A2B4-42406F341B68}">
            <x14:dataBar minLength="0" maxLength="100" border="1" negativeBarBorderColorSameAsPositive="0">
              <x14:cfvo type="autoMin"/>
              <x14:cfvo type="autoMax"/>
              <x14:borderColor rgb="FF638EC6"/>
              <x14:negativeFillColor rgb="FFFF0000"/>
              <x14:negativeBorderColor rgb="FFFF0000"/>
              <x14:axisColor rgb="FF000000"/>
            </x14:dataBar>
          </x14:cfRule>
          <xm:sqref>X190:X205</xm:sqref>
        </x14:conditionalFormatting>
        <x14:conditionalFormatting xmlns:xm="http://schemas.microsoft.com/office/excel/2006/main">
          <x14:cfRule type="dataBar" id="{7A364FCA-1585-4A0C-8E83-BE4E4ACD589B}">
            <x14:dataBar minLength="0" maxLength="100" border="1" negativeBarBorderColorSameAsPositive="0">
              <x14:cfvo type="autoMin"/>
              <x14:cfvo type="autoMax"/>
              <x14:borderColor rgb="FF638EC6"/>
              <x14:negativeFillColor rgb="FFFF0000"/>
              <x14:negativeBorderColor rgb="FFFF0000"/>
              <x14:axisColor rgb="FF000000"/>
            </x14:dataBar>
          </x14:cfRule>
          <xm:sqref>X210:X225</xm:sqref>
        </x14:conditionalFormatting>
        <x14:conditionalFormatting xmlns:xm="http://schemas.microsoft.com/office/excel/2006/main">
          <x14:cfRule type="dataBar" id="{4C20A2B6-60F4-42E5-8568-2F16F7A151B7}">
            <x14:dataBar minLength="0" maxLength="100" border="1" negativeBarBorderColorSameAsPositive="0">
              <x14:cfvo type="autoMin"/>
              <x14:cfvo type="autoMax"/>
              <x14:borderColor rgb="FF638EC6"/>
              <x14:negativeFillColor rgb="FFFF0000"/>
              <x14:negativeBorderColor rgb="FFFF0000"/>
              <x14:axisColor rgb="FF000000"/>
            </x14:dataBar>
          </x14:cfRule>
          <xm:sqref>X230:X245</xm:sqref>
        </x14:conditionalFormatting>
        <x14:conditionalFormatting xmlns:xm="http://schemas.microsoft.com/office/excel/2006/main">
          <x14:cfRule type="dataBar" id="{537A38C8-F623-487B-8D54-BC1896B3C43B}">
            <x14:dataBar minLength="0" maxLength="100" border="1" negativeBarBorderColorSameAsPositive="0">
              <x14:cfvo type="autoMin"/>
              <x14:cfvo type="autoMax"/>
              <x14:borderColor rgb="FF638EC6"/>
              <x14:negativeFillColor rgb="FFFF0000"/>
              <x14:negativeBorderColor rgb="FFFF0000"/>
              <x14:axisColor rgb="FF000000"/>
            </x14:dataBar>
          </x14:cfRule>
          <xm:sqref>X250:X259</xm:sqref>
        </x14:conditionalFormatting>
        <x14:conditionalFormatting xmlns:xm="http://schemas.microsoft.com/office/excel/2006/main">
          <x14:cfRule type="dataBar" id="{FD13064D-F03D-4AB4-9172-C3CB4CDDD6A0}">
            <x14:dataBar minLength="0" maxLength="100" border="1" negativeBarBorderColorSameAsPositive="0">
              <x14:cfvo type="autoMin"/>
              <x14:cfvo type="autoMax"/>
              <x14:borderColor rgb="FF638EC6"/>
              <x14:negativeFillColor rgb="FFFF0000"/>
              <x14:negativeBorderColor rgb="FFFF0000"/>
              <x14:axisColor rgb="FF000000"/>
            </x14:dataBar>
          </x14:cfRule>
          <xm:sqref>X264:X273</xm:sqref>
        </x14:conditionalFormatting>
        <x14:conditionalFormatting xmlns:xm="http://schemas.microsoft.com/office/excel/2006/main">
          <x14:cfRule type="dataBar" id="{7D29C962-05F1-4E4E-B59B-AC3570B65321}">
            <x14:dataBar minLength="0" maxLength="100" border="1" negativeBarBorderColorSameAsPositive="0">
              <x14:cfvo type="autoMin"/>
              <x14:cfvo type="autoMax"/>
              <x14:borderColor rgb="FF638EC6"/>
              <x14:negativeFillColor rgb="FFFF0000"/>
              <x14:negativeBorderColor rgb="FFFF0000"/>
              <x14:axisColor rgb="FF000000"/>
            </x14:dataBar>
          </x14:cfRule>
          <xm:sqref>X278:X287</xm:sqref>
        </x14:conditionalFormatting>
        <x14:conditionalFormatting xmlns:xm="http://schemas.microsoft.com/office/excel/2006/main">
          <x14:cfRule type="dataBar" id="{C0CA094D-02D9-4551-8E4B-322EC4E49823}">
            <x14:dataBar minLength="0" maxLength="100" border="1" negativeBarBorderColorSameAsPositive="0">
              <x14:cfvo type="autoMin"/>
              <x14:cfvo type="autoMax"/>
              <x14:borderColor rgb="FF638EC6"/>
              <x14:negativeFillColor rgb="FFFF0000"/>
              <x14:negativeBorderColor rgb="FFFF0000"/>
              <x14:axisColor rgb="FF000000"/>
            </x14:dataBar>
          </x14:cfRule>
          <xm:sqref>X292:X301</xm:sqref>
        </x14:conditionalFormatting>
        <x14:conditionalFormatting xmlns:xm="http://schemas.microsoft.com/office/excel/2006/main">
          <x14:cfRule type="dataBar" id="{A4C10E8F-3041-4F3E-B21B-DC095882BDEC}">
            <x14:dataBar minLength="0" maxLength="100" border="1" negativeBarBorderColorSameAsPositive="0">
              <x14:cfvo type="autoMin"/>
              <x14:cfvo type="autoMax"/>
              <x14:borderColor rgb="FF638EC6"/>
              <x14:negativeFillColor rgb="FFFF0000"/>
              <x14:negativeBorderColor rgb="FFFF0000"/>
              <x14:axisColor rgb="FF000000"/>
            </x14:dataBar>
          </x14:cfRule>
          <xm:sqref>X306:X325</xm:sqref>
        </x14:conditionalFormatting>
        <x14:conditionalFormatting xmlns:xm="http://schemas.microsoft.com/office/excel/2006/main">
          <x14:cfRule type="dataBar" id="{CDF52BB9-E12E-4850-9A4B-1D6105A43F38}">
            <x14:dataBar minLength="0" maxLength="100" border="1" negativeBarBorderColorSameAsPositive="0">
              <x14:cfvo type="autoMin"/>
              <x14:cfvo type="autoMax"/>
              <x14:borderColor rgb="FF638EC6"/>
              <x14:negativeFillColor rgb="FFFF0000"/>
              <x14:negativeBorderColor rgb="FFFF0000"/>
              <x14:axisColor rgb="FF000000"/>
            </x14:dataBar>
          </x14:cfRule>
          <xm:sqref>X329:X348</xm:sqref>
        </x14:conditionalFormatting>
        <x14:conditionalFormatting xmlns:xm="http://schemas.microsoft.com/office/excel/2006/main">
          <x14:cfRule type="dataBar" id="{5406FADC-B2FE-4A33-B444-B93C1F004C35}">
            <x14:dataBar minLength="0" maxLength="100" border="1" negativeBarBorderColorSameAsPositive="0">
              <x14:cfvo type="autoMin"/>
              <x14:cfvo type="autoMax"/>
              <x14:borderColor rgb="FF638EC6"/>
              <x14:negativeFillColor rgb="FFFF0000"/>
              <x14:negativeBorderColor rgb="FFFF0000"/>
              <x14:axisColor rgb="FF000000"/>
            </x14:dataBar>
          </x14:cfRule>
          <xm:sqref>X352:X371</xm:sqref>
        </x14:conditionalFormatting>
        <x14:conditionalFormatting xmlns:xm="http://schemas.microsoft.com/office/excel/2006/main">
          <x14:cfRule type="dataBar" id="{C2C4A3DE-2B98-4DAA-B973-CB271D163956}">
            <x14:dataBar minLength="0" maxLength="100" border="1" negativeBarBorderColorSameAsPositive="0">
              <x14:cfvo type="autoMin"/>
              <x14:cfvo type="autoMax"/>
              <x14:borderColor rgb="FF638EC6"/>
              <x14:negativeFillColor rgb="FFFF0000"/>
              <x14:negativeBorderColor rgb="FFFF0000"/>
              <x14:axisColor rgb="FF000000"/>
            </x14:dataBar>
          </x14:cfRule>
          <xm:sqref>X375:X394</xm:sqref>
        </x14:conditionalFormatting>
        <x14:conditionalFormatting xmlns:xm="http://schemas.microsoft.com/office/excel/2006/main">
          <x14:cfRule type="dataBar" id="{798DD948-55A0-43BD-962D-67290CF4BF44}">
            <x14:dataBar minLength="0" maxLength="100" border="1" negativeBarBorderColorSameAsPositive="0">
              <x14:cfvo type="autoMin"/>
              <x14:cfvo type="autoMax"/>
              <x14:borderColor rgb="FF638EC6"/>
              <x14:negativeFillColor rgb="FFFF0000"/>
              <x14:negativeBorderColor rgb="FFFF0000"/>
              <x14:axisColor rgb="FF000000"/>
            </x14:dataBar>
          </x14:cfRule>
          <xm:sqref>X398:X417</xm:sqref>
        </x14:conditionalFormatting>
        <x14:conditionalFormatting xmlns:xm="http://schemas.microsoft.com/office/excel/2006/main">
          <x14:cfRule type="dataBar" id="{E4DE2821-98F1-41F9-96CD-1B3F4C23928D}">
            <x14:dataBar minLength="0" maxLength="100" border="1" negativeBarBorderColorSameAsPositive="0">
              <x14:cfvo type="autoMin"/>
              <x14:cfvo type="autoMax"/>
              <x14:borderColor rgb="FF638EC6"/>
              <x14:negativeFillColor rgb="FFFF0000"/>
              <x14:negativeBorderColor rgb="FFFF0000"/>
              <x14:axisColor rgb="FF000000"/>
            </x14:dataBar>
          </x14:cfRule>
          <xm:sqref>X421:X440</xm:sqref>
        </x14:conditionalFormatting>
        <x14:conditionalFormatting xmlns:xm="http://schemas.microsoft.com/office/excel/2006/main">
          <x14:cfRule type="dataBar" id="{5DA47A5F-D614-42FC-92D0-F7059F4B8876}">
            <x14:dataBar minLength="0" maxLength="100" border="1" negativeBarBorderColorSameAsPositive="0">
              <x14:cfvo type="autoMin"/>
              <x14:cfvo type="autoMax"/>
              <x14:borderColor rgb="FF638EC6"/>
              <x14:negativeFillColor rgb="FFFF0000"/>
              <x14:negativeBorderColor rgb="FFFF0000"/>
              <x14:axisColor rgb="FF000000"/>
            </x14:dataBar>
          </x14:cfRule>
          <xm:sqref>X444:X459</xm:sqref>
        </x14:conditionalFormatting>
        <x14:conditionalFormatting xmlns:xm="http://schemas.microsoft.com/office/excel/2006/main">
          <x14:cfRule type="dataBar" id="{CD215132-F995-4AD9-89D7-C93BA9053B20}">
            <x14:dataBar minLength="0" maxLength="100" border="1" negativeBarBorderColorSameAsPositive="0">
              <x14:cfvo type="autoMin"/>
              <x14:cfvo type="autoMax"/>
              <x14:borderColor rgb="FF638EC6"/>
              <x14:negativeFillColor rgb="FFFF0000"/>
              <x14:negativeBorderColor rgb="FFFF0000"/>
              <x14:axisColor rgb="FF000000"/>
            </x14:dataBar>
          </x14:cfRule>
          <xm:sqref>X463:X478</xm:sqref>
        </x14:conditionalFormatting>
        <x14:conditionalFormatting xmlns:xm="http://schemas.microsoft.com/office/excel/2006/main">
          <x14:cfRule type="dataBar" id="{685EE643-C9BE-4021-92B2-FF6EE0DB0023}">
            <x14:dataBar minLength="0" maxLength="100" border="1" negativeBarBorderColorSameAsPositive="0">
              <x14:cfvo type="autoMin"/>
              <x14:cfvo type="autoMax"/>
              <x14:borderColor rgb="FF638EC6"/>
              <x14:negativeFillColor rgb="FFFF0000"/>
              <x14:negativeBorderColor rgb="FFFF0000"/>
              <x14:axisColor rgb="FF000000"/>
            </x14:dataBar>
          </x14:cfRule>
          <xm:sqref>X482:X484</xm:sqref>
        </x14:conditionalFormatting>
        <x14:conditionalFormatting xmlns:xm="http://schemas.microsoft.com/office/excel/2006/main">
          <x14:cfRule type="dataBar" id="{A318DAE0-A4A7-437B-9528-DF69484C6562}">
            <x14:dataBar minLength="0" maxLength="100" border="1" negativeBarBorderColorSameAsPositive="0">
              <x14:cfvo type="autoMin"/>
              <x14:cfvo type="autoMax"/>
              <x14:borderColor rgb="FF638EC6"/>
              <x14:negativeFillColor rgb="FFFF0000"/>
              <x14:negativeBorderColor rgb="FFFF0000"/>
              <x14:axisColor rgb="FF000000"/>
            </x14:dataBar>
          </x14:cfRule>
          <xm:sqref>X489:X491</xm:sqref>
        </x14:conditionalFormatting>
        <x14:conditionalFormatting xmlns:xm="http://schemas.microsoft.com/office/excel/2006/main">
          <x14:cfRule type="dataBar" id="{8CE7FBCA-9418-4AB4-83B7-AF4DBE1A7D43}">
            <x14:dataBar minLength="0" maxLength="100" border="1" negativeBarBorderColorSameAsPositive="0">
              <x14:cfvo type="autoMin"/>
              <x14:cfvo type="autoMax"/>
              <x14:borderColor rgb="FF638EC6"/>
              <x14:negativeFillColor rgb="FFFF0000"/>
              <x14:negativeBorderColor rgb="FFFF0000"/>
              <x14:axisColor rgb="FF000000"/>
            </x14:dataBar>
          </x14:cfRule>
          <xm:sqref>X496:X498</xm:sqref>
        </x14:conditionalFormatting>
        <x14:conditionalFormatting xmlns:xm="http://schemas.microsoft.com/office/excel/2006/main">
          <x14:cfRule type="dataBar" id="{890673EE-DE2D-4ECB-93D1-D6CF963AD48E}">
            <x14:dataBar minLength="0" maxLength="100" border="1" negativeBarBorderColorSameAsPositive="0">
              <x14:cfvo type="autoMin"/>
              <x14:cfvo type="autoMax"/>
              <x14:borderColor rgb="FF638EC6"/>
              <x14:negativeFillColor rgb="FFFF0000"/>
              <x14:negativeBorderColor rgb="FFFF0000"/>
              <x14:axisColor rgb="FF000000"/>
            </x14:dataBar>
          </x14:cfRule>
          <xm:sqref>X503:X505</xm:sqref>
        </x14:conditionalFormatting>
        <x14:conditionalFormatting xmlns:xm="http://schemas.microsoft.com/office/excel/2006/main">
          <x14:cfRule type="dataBar" id="{D2B6F835-DAC7-49EA-9944-450D3EECD11D}">
            <x14:dataBar minLength="0" maxLength="100" border="1" negativeBarBorderColorSameAsPositive="0">
              <x14:cfvo type="autoMin"/>
              <x14:cfvo type="autoMax"/>
              <x14:borderColor rgb="FF638EC6"/>
              <x14:negativeFillColor rgb="FFFF0000"/>
              <x14:negativeBorderColor rgb="FFFF0000"/>
              <x14:axisColor rgb="FF000000"/>
            </x14:dataBar>
          </x14:cfRule>
          <xm:sqref>X510:X512</xm:sqref>
        </x14:conditionalFormatting>
        <x14:conditionalFormatting xmlns:xm="http://schemas.microsoft.com/office/excel/2006/main">
          <x14:cfRule type="dataBar" id="{050AC08A-A92A-49FC-B22B-21A7780DBB58}">
            <x14:dataBar minLength="0" maxLength="100" border="1" negativeBarBorderColorSameAsPositive="0">
              <x14:cfvo type="autoMin"/>
              <x14:cfvo type="autoMax"/>
              <x14:borderColor rgb="FF638EC6"/>
              <x14:negativeFillColor rgb="FFFF0000"/>
              <x14:negativeBorderColor rgb="FFFF0000"/>
              <x14:axisColor rgb="FF000000"/>
            </x14:dataBar>
          </x14:cfRule>
          <xm:sqref>X517:X519</xm:sqref>
        </x14:conditionalFormatting>
        <x14:conditionalFormatting xmlns:xm="http://schemas.microsoft.com/office/excel/2006/main">
          <x14:cfRule type="dataBar" id="{FCBDC91A-597F-4C79-AE3E-825DB0489AAF}">
            <x14:dataBar minLength="0" maxLength="100" border="1" negativeBarBorderColorSameAsPositive="0">
              <x14:cfvo type="autoMin"/>
              <x14:cfvo type="autoMax"/>
              <x14:borderColor rgb="FF638EC6"/>
              <x14:negativeFillColor rgb="FFFF0000"/>
              <x14:negativeBorderColor rgb="FFFF0000"/>
              <x14:axisColor rgb="FF000000"/>
            </x14:dataBar>
          </x14:cfRule>
          <xm:sqref>X524:X526</xm:sqref>
        </x14:conditionalFormatting>
        <x14:conditionalFormatting xmlns:xm="http://schemas.microsoft.com/office/excel/2006/main">
          <x14:cfRule type="dataBar" id="{D274DEC0-5899-43D1-A4DE-06E103C66786}">
            <x14:dataBar minLength="0" maxLength="100" border="1" negativeBarBorderColorSameAsPositive="0">
              <x14:cfvo type="autoMin"/>
              <x14:cfvo type="autoMax"/>
              <x14:borderColor rgb="FF638EC6"/>
              <x14:negativeFillColor rgb="FFFF0000"/>
              <x14:negativeBorderColor rgb="FFFF0000"/>
              <x14:axisColor rgb="FF000000"/>
            </x14:dataBar>
          </x14:cfRule>
          <xm:sqref>X531:X533</xm:sqref>
        </x14:conditionalFormatting>
        <x14:conditionalFormatting xmlns:xm="http://schemas.microsoft.com/office/excel/2006/main">
          <x14:cfRule type="dataBar" id="{9C8A7B0D-7767-4969-AC04-08AEE6470481}">
            <x14:dataBar minLength="0" maxLength="100" border="1" negativeBarBorderColorSameAsPositive="0">
              <x14:cfvo type="autoMin"/>
              <x14:cfvo type="autoMax"/>
              <x14:borderColor rgb="FF638EC6"/>
              <x14:negativeFillColor rgb="FFFF0000"/>
              <x14:negativeBorderColor rgb="FFFF0000"/>
              <x14:axisColor rgb="FF000000"/>
            </x14:dataBar>
          </x14:cfRule>
          <xm:sqref>X538:X544</xm:sqref>
        </x14:conditionalFormatting>
        <x14:conditionalFormatting xmlns:xm="http://schemas.microsoft.com/office/excel/2006/main">
          <x14:cfRule type="dataBar" id="{E3F8012E-D74A-4851-9AFF-26B593DD262F}">
            <x14:dataBar minLength="0" maxLength="100" border="1" negativeBarBorderColorSameAsPositive="0">
              <x14:cfvo type="autoMin"/>
              <x14:cfvo type="autoMax"/>
              <x14:borderColor rgb="FF638EC6"/>
              <x14:negativeFillColor rgb="FFFF0000"/>
              <x14:negativeBorderColor rgb="FFFF0000"/>
              <x14:axisColor rgb="FF000000"/>
            </x14:dataBar>
          </x14:cfRule>
          <xm:sqref>X550:X556</xm:sqref>
        </x14:conditionalFormatting>
        <x14:conditionalFormatting xmlns:xm="http://schemas.microsoft.com/office/excel/2006/main">
          <x14:cfRule type="dataBar" id="{5D82D609-868C-447A-B30F-4232C856D3FD}">
            <x14:dataBar minLength="0" maxLength="100" border="1" negativeBarBorderColorSameAsPositive="0">
              <x14:cfvo type="autoMin"/>
              <x14:cfvo type="autoMax"/>
              <x14:borderColor rgb="FF638EC6"/>
              <x14:negativeFillColor rgb="FFFF0000"/>
              <x14:negativeBorderColor rgb="FFFF0000"/>
              <x14:axisColor rgb="FF000000"/>
            </x14:dataBar>
          </x14:cfRule>
          <xm:sqref>X563:X569</xm:sqref>
        </x14:conditionalFormatting>
        <x14:conditionalFormatting xmlns:xm="http://schemas.microsoft.com/office/excel/2006/main">
          <x14:cfRule type="dataBar" id="{3C1827FB-F10D-43FA-8AA3-6BFD143B86A5}">
            <x14:dataBar minLength="0" maxLength="100" border="1" negativeBarBorderColorSameAsPositive="0">
              <x14:cfvo type="autoMin"/>
              <x14:cfvo type="autoMax"/>
              <x14:borderColor rgb="FF638EC6"/>
              <x14:negativeFillColor rgb="FFFF0000"/>
              <x14:negativeBorderColor rgb="FFFF0000"/>
              <x14:axisColor rgb="FF000000"/>
            </x14:dataBar>
          </x14:cfRule>
          <xm:sqref>X575:X581</xm:sqref>
        </x14:conditionalFormatting>
        <x14:conditionalFormatting xmlns:xm="http://schemas.microsoft.com/office/excel/2006/main">
          <x14:cfRule type="dataBar" id="{7C388105-2E47-4BBB-A4B3-DCFDA69839BE}">
            <x14:dataBar minLength="0" maxLength="100" border="1" negativeBarBorderColorSameAsPositive="0">
              <x14:cfvo type="autoMin"/>
              <x14:cfvo type="autoMax"/>
              <x14:borderColor rgb="FF638EC6"/>
              <x14:negativeFillColor rgb="FFFF0000"/>
              <x14:negativeBorderColor rgb="FFFF0000"/>
              <x14:axisColor rgb="FF000000"/>
            </x14:dataBar>
          </x14:cfRule>
          <xm:sqref>X588:X594</xm:sqref>
        </x14:conditionalFormatting>
        <x14:conditionalFormatting xmlns:xm="http://schemas.microsoft.com/office/excel/2006/main">
          <x14:cfRule type="dataBar" id="{3CEFF053-4792-4913-9EA2-CD7B65CA0F52}">
            <x14:dataBar minLength="0" maxLength="100" border="1" negativeBarBorderColorSameAsPositive="0">
              <x14:cfvo type="autoMin"/>
              <x14:cfvo type="autoMax"/>
              <x14:borderColor rgb="FF638EC6"/>
              <x14:negativeFillColor rgb="FFFF0000"/>
              <x14:negativeBorderColor rgb="FFFF0000"/>
              <x14:axisColor rgb="FF000000"/>
            </x14:dataBar>
          </x14:cfRule>
          <xm:sqref>X600:X606</xm:sqref>
        </x14:conditionalFormatting>
        <x14:conditionalFormatting xmlns:xm="http://schemas.microsoft.com/office/excel/2006/main">
          <x14:cfRule type="dataBar" id="{84B26F92-4804-47DC-9207-557C97106404}">
            <x14:dataBar minLength="0" maxLength="100" border="1" negativeBarBorderColorSameAsPositive="0">
              <x14:cfvo type="autoMin"/>
              <x14:cfvo type="autoMax"/>
              <x14:borderColor rgb="FF638EC6"/>
              <x14:negativeFillColor rgb="FFFF0000"/>
              <x14:negativeBorderColor rgb="FFFF0000"/>
              <x14:axisColor rgb="FF000000"/>
            </x14:dataBar>
          </x14:cfRule>
          <xm:sqref>X612:X618</xm:sqref>
        </x14:conditionalFormatting>
        <x14:conditionalFormatting xmlns:xm="http://schemas.microsoft.com/office/excel/2006/main">
          <x14:cfRule type="dataBar" id="{A3338F58-6D09-4D79-97EE-BECD30A9BB52}">
            <x14:dataBar minLength="0" maxLength="100" border="1" negativeBarBorderColorSameAsPositive="0">
              <x14:cfvo type="autoMin"/>
              <x14:cfvo type="autoMax"/>
              <x14:borderColor rgb="FF638EC6"/>
              <x14:negativeFillColor rgb="FFFF0000"/>
              <x14:negativeBorderColor rgb="FFFF0000"/>
              <x14:axisColor rgb="FF000000"/>
            </x14:dataBar>
          </x14:cfRule>
          <xm:sqref>X624:X630</xm:sqref>
        </x14:conditionalFormatting>
        <x14:conditionalFormatting xmlns:xm="http://schemas.microsoft.com/office/excel/2006/main">
          <x14:cfRule type="dataBar" id="{424E9213-D11B-4B29-97E1-55D0A9A1A873}">
            <x14:dataBar minLength="0" maxLength="100" border="1" negativeBarBorderColorSameAsPositive="0">
              <x14:cfvo type="autoMin"/>
              <x14:cfvo type="autoMax"/>
              <x14:borderColor rgb="FF638EC6"/>
              <x14:negativeFillColor rgb="FFFF0000"/>
              <x14:negativeBorderColor rgb="FFFF0000"/>
              <x14:axisColor rgb="FF000000"/>
            </x14:dataBar>
          </x14:cfRule>
          <xm:sqref>X637:X639</xm:sqref>
        </x14:conditionalFormatting>
        <x14:conditionalFormatting xmlns:xm="http://schemas.microsoft.com/office/excel/2006/main">
          <x14:cfRule type="dataBar" id="{5575FFF1-1C67-410E-BDAD-8803E15C8B91}">
            <x14:dataBar minLength="0" maxLength="100" border="1" negativeBarBorderColorSameAsPositive="0">
              <x14:cfvo type="autoMin"/>
              <x14:cfvo type="autoMax"/>
              <x14:borderColor rgb="FF638EC6"/>
              <x14:negativeFillColor rgb="FFFF0000"/>
              <x14:negativeBorderColor rgb="FFFF0000"/>
              <x14:axisColor rgb="FF000000"/>
            </x14:dataBar>
          </x14:cfRule>
          <xm:sqref>X644:X646</xm:sqref>
        </x14:conditionalFormatting>
        <x14:conditionalFormatting xmlns:xm="http://schemas.microsoft.com/office/excel/2006/main">
          <x14:cfRule type="dataBar" id="{3120E9D1-B1C4-4E0F-8C73-4C941B3BD637}">
            <x14:dataBar minLength="0" maxLength="100" border="1" negativeBarBorderColorSameAsPositive="0">
              <x14:cfvo type="autoMin"/>
              <x14:cfvo type="autoMax"/>
              <x14:borderColor rgb="FF638EC6"/>
              <x14:negativeFillColor rgb="FFFF0000"/>
              <x14:negativeBorderColor rgb="FFFF0000"/>
              <x14:axisColor rgb="FF000000"/>
            </x14:dataBar>
          </x14:cfRule>
          <xm:sqref>X651:X653</xm:sqref>
        </x14:conditionalFormatting>
        <x14:conditionalFormatting xmlns:xm="http://schemas.microsoft.com/office/excel/2006/main">
          <x14:cfRule type="dataBar" id="{2F86C998-86A5-47D7-AEF5-2C4B36C56D62}">
            <x14:dataBar minLength="0" maxLength="100" border="1" negativeBarBorderColorSameAsPositive="0">
              <x14:cfvo type="autoMin"/>
              <x14:cfvo type="autoMax"/>
              <x14:borderColor rgb="FF638EC6"/>
              <x14:negativeFillColor rgb="FFFF0000"/>
              <x14:negativeBorderColor rgb="FFFF0000"/>
              <x14:axisColor rgb="FF000000"/>
            </x14:dataBar>
          </x14:cfRule>
          <xm:sqref>X658:X660</xm:sqref>
        </x14:conditionalFormatting>
        <x14:conditionalFormatting xmlns:xm="http://schemas.microsoft.com/office/excel/2006/main">
          <x14:cfRule type="dataBar" id="{B8430C19-4B33-4A26-BB69-005A33020FA6}">
            <x14:dataBar minLength="0" maxLength="100" border="1" negativeBarBorderColorSameAsPositive="0">
              <x14:cfvo type="autoMin"/>
              <x14:cfvo type="autoMax"/>
              <x14:borderColor rgb="FF638EC6"/>
              <x14:negativeFillColor rgb="FFFF0000"/>
              <x14:negativeBorderColor rgb="FFFF0000"/>
              <x14:axisColor rgb="FF000000"/>
            </x14:dataBar>
          </x14:cfRule>
          <xm:sqref>X665:X670</xm:sqref>
        </x14:conditionalFormatting>
        <x14:conditionalFormatting xmlns:xm="http://schemas.microsoft.com/office/excel/2006/main">
          <x14:cfRule type="dataBar" id="{FBBBEE3E-95B1-4ED7-A559-9302E97D7107}">
            <x14:dataBar minLength="0" maxLength="100" border="1" negativeBarBorderColorSameAsPositive="0">
              <x14:cfvo type="autoMin"/>
              <x14:cfvo type="autoMax"/>
              <x14:borderColor rgb="FF638EC6"/>
              <x14:negativeFillColor rgb="FFFF0000"/>
              <x14:negativeBorderColor rgb="FFFF0000"/>
              <x14:axisColor rgb="FF000000"/>
            </x14:dataBar>
          </x14:cfRule>
          <xm:sqref>X675:X680</xm:sqref>
        </x14:conditionalFormatting>
        <x14:conditionalFormatting xmlns:xm="http://schemas.microsoft.com/office/excel/2006/main">
          <x14:cfRule type="dataBar" id="{B2E99DF0-120B-4179-85F2-77E8BA1A93BE}">
            <x14:dataBar minLength="0" maxLength="100" border="1" negativeBarBorderColorSameAsPositive="0">
              <x14:cfvo type="autoMin"/>
              <x14:cfvo type="autoMax"/>
              <x14:borderColor rgb="FF638EC6"/>
              <x14:negativeFillColor rgb="FFFF0000"/>
              <x14:negativeBorderColor rgb="FFFF0000"/>
              <x14:axisColor rgb="FF000000"/>
            </x14:dataBar>
          </x14:cfRule>
          <xm:sqref>X685:X690</xm:sqref>
        </x14:conditionalFormatting>
        <x14:conditionalFormatting xmlns:xm="http://schemas.microsoft.com/office/excel/2006/main">
          <x14:cfRule type="dataBar" id="{9C9968F7-01EF-4302-9DC2-F11E44984211}">
            <x14:dataBar minLength="0" maxLength="100" border="1" negativeBarBorderColorSameAsPositive="0">
              <x14:cfvo type="autoMin"/>
              <x14:cfvo type="autoMax"/>
              <x14:borderColor rgb="FF638EC6"/>
              <x14:negativeFillColor rgb="FFFF0000"/>
              <x14:negativeBorderColor rgb="FFFF0000"/>
              <x14:axisColor rgb="FF000000"/>
            </x14:dataBar>
          </x14:cfRule>
          <xm:sqref>X695:X700</xm:sqref>
        </x14:conditionalFormatting>
        <x14:conditionalFormatting xmlns:xm="http://schemas.microsoft.com/office/excel/2006/main">
          <x14:cfRule type="dataBar" id="{06F58CD1-B54F-43EC-A64D-8847EBBAD273}">
            <x14:dataBar minLength="0" maxLength="100" border="1" negativeBarBorderColorSameAsPositive="0">
              <x14:cfvo type="autoMin"/>
              <x14:cfvo type="autoMax"/>
              <x14:borderColor rgb="FF638EC6"/>
              <x14:negativeFillColor rgb="FFFF0000"/>
              <x14:negativeBorderColor rgb="FFFF0000"/>
              <x14:axisColor rgb="FF000000"/>
            </x14:dataBar>
          </x14:cfRule>
          <xm:sqref>X705:X715</xm:sqref>
        </x14:conditionalFormatting>
        <x14:conditionalFormatting xmlns:xm="http://schemas.microsoft.com/office/excel/2006/main">
          <x14:cfRule type="dataBar" id="{92594709-6E3C-4C8B-901B-C178B073DFAD}">
            <x14:dataBar minLength="0" maxLength="100" border="1" negativeBarBorderColorSameAsPositive="0">
              <x14:cfvo type="autoMin"/>
              <x14:cfvo type="autoMax"/>
              <x14:borderColor rgb="FF638EC6"/>
              <x14:negativeFillColor rgb="FFFF0000"/>
              <x14:negativeBorderColor rgb="FFFF0000"/>
              <x14:axisColor rgb="FF000000"/>
            </x14:dataBar>
          </x14:cfRule>
          <xm:sqref>X722:X732</xm:sqref>
        </x14:conditionalFormatting>
        <x14:conditionalFormatting xmlns:xm="http://schemas.microsoft.com/office/excel/2006/main">
          <x14:cfRule type="dataBar" id="{48A7395A-BF13-4C81-AC9A-FBF720977B1B}">
            <x14:dataBar minLength="0" maxLength="100" border="1" negativeBarBorderColorSameAsPositive="0">
              <x14:cfvo type="autoMin"/>
              <x14:cfvo type="autoMax"/>
              <x14:borderColor rgb="FF63C384"/>
              <x14:negativeFillColor rgb="FFFF0000"/>
              <x14:negativeBorderColor rgb="FFFF0000"/>
              <x14:axisColor rgb="FF000000"/>
            </x14:dataBar>
          </x14:cfRule>
          <xm:sqref>Y6:Y9</xm:sqref>
        </x14:conditionalFormatting>
        <x14:conditionalFormatting xmlns:xm="http://schemas.microsoft.com/office/excel/2006/main">
          <x14:cfRule type="dataBar" id="{8E214EA6-BC59-4647-8558-B714F27B07AD}">
            <x14:dataBar minLength="0" maxLength="100" border="1" negativeBarBorderColorSameAsPositive="0">
              <x14:cfvo type="autoMin"/>
              <x14:cfvo type="autoMax"/>
              <x14:borderColor rgb="FF63C384"/>
              <x14:negativeFillColor rgb="FFFF0000"/>
              <x14:negativeBorderColor rgb="FFFF0000"/>
              <x14:axisColor rgb="FF000000"/>
            </x14:dataBar>
          </x14:cfRule>
          <xm:sqref>Y13:Y16</xm:sqref>
        </x14:conditionalFormatting>
        <x14:conditionalFormatting xmlns:xm="http://schemas.microsoft.com/office/excel/2006/main">
          <x14:cfRule type="dataBar" id="{B3818745-AE82-4106-BECA-0C1CF75D1845}">
            <x14:dataBar minLength="0" maxLength="100" border="1" negativeBarBorderColorSameAsPositive="0">
              <x14:cfvo type="autoMin"/>
              <x14:cfvo type="autoMax"/>
              <x14:borderColor rgb="FF63C384"/>
              <x14:negativeFillColor rgb="FFFF0000"/>
              <x14:negativeBorderColor rgb="FFFF0000"/>
              <x14:axisColor rgb="FF000000"/>
            </x14:dataBar>
          </x14:cfRule>
          <xm:sqref>Y20:Y26</xm:sqref>
        </x14:conditionalFormatting>
        <x14:conditionalFormatting xmlns:xm="http://schemas.microsoft.com/office/excel/2006/main">
          <x14:cfRule type="dataBar" id="{23457C1D-0011-46AB-A457-9589D23FD94F}">
            <x14:dataBar minLength="0" maxLength="100" border="1" negativeBarBorderColorSameAsPositive="0">
              <x14:cfvo type="autoMin"/>
              <x14:cfvo type="autoMax"/>
              <x14:borderColor rgb="FF63C384"/>
              <x14:negativeFillColor rgb="FFFF0000"/>
              <x14:negativeBorderColor rgb="FFFF0000"/>
              <x14:axisColor rgb="FF000000"/>
            </x14:dataBar>
          </x14:cfRule>
          <xm:sqref>Y27</xm:sqref>
        </x14:conditionalFormatting>
        <x14:conditionalFormatting xmlns:xm="http://schemas.microsoft.com/office/excel/2006/main">
          <x14:cfRule type="dataBar" id="{03B488FD-308F-4119-BAEE-8860A9719DA0}">
            <x14:dataBar minLength="0" maxLength="100" border="1" negativeBarBorderColorSameAsPositive="0">
              <x14:cfvo type="autoMin"/>
              <x14:cfvo type="autoMax"/>
              <x14:borderColor rgb="FF63C384"/>
              <x14:negativeFillColor rgb="FFFF0000"/>
              <x14:negativeBorderColor rgb="FFFF0000"/>
              <x14:axisColor rgb="FF000000"/>
            </x14:dataBar>
          </x14:cfRule>
          <xm:sqref>Y33:Y38</xm:sqref>
        </x14:conditionalFormatting>
        <x14:conditionalFormatting xmlns:xm="http://schemas.microsoft.com/office/excel/2006/main">
          <x14:cfRule type="dataBar" id="{B43FB41F-55CC-44E1-B734-3A291A0B7295}">
            <x14:dataBar minLength="0" maxLength="100" border="1" negativeBarBorderColorSameAsPositive="0">
              <x14:cfvo type="autoMin"/>
              <x14:cfvo type="autoMax"/>
              <x14:borderColor rgb="FF63C384"/>
              <x14:negativeFillColor rgb="FFFF0000"/>
              <x14:negativeBorderColor rgb="FFFF0000"/>
              <x14:axisColor rgb="FF000000"/>
            </x14:dataBar>
          </x14:cfRule>
          <xm:sqref>Y39</xm:sqref>
        </x14:conditionalFormatting>
        <x14:conditionalFormatting xmlns:xm="http://schemas.microsoft.com/office/excel/2006/main">
          <x14:cfRule type="dataBar" id="{7B4127B9-5E78-419D-A765-CC07A19FF6A7}">
            <x14:dataBar minLength="0" maxLength="100" border="1" negativeBarBorderColorSameAsPositive="0">
              <x14:cfvo type="autoMin"/>
              <x14:cfvo type="autoMax"/>
              <x14:borderColor rgb="FF63C384"/>
              <x14:negativeFillColor rgb="FFFF0000"/>
              <x14:negativeBorderColor rgb="FFFF0000"/>
              <x14:axisColor rgb="FF000000"/>
            </x14:dataBar>
          </x14:cfRule>
          <xm:sqref>Y44:Y48</xm:sqref>
        </x14:conditionalFormatting>
        <x14:conditionalFormatting xmlns:xm="http://schemas.microsoft.com/office/excel/2006/main">
          <x14:cfRule type="dataBar" id="{7A961F3B-6E61-4054-9583-9135E73D7FBC}">
            <x14:dataBar minLength="0" maxLength="100" border="1" negativeBarBorderColorSameAsPositive="0">
              <x14:cfvo type="autoMin"/>
              <x14:cfvo type="autoMax"/>
              <x14:borderColor rgb="FF63C384"/>
              <x14:negativeFillColor rgb="FFFF0000"/>
              <x14:negativeBorderColor rgb="FFFF0000"/>
              <x14:axisColor rgb="FF000000"/>
            </x14:dataBar>
          </x14:cfRule>
          <xm:sqref>Y49</xm:sqref>
        </x14:conditionalFormatting>
        <x14:conditionalFormatting xmlns:xm="http://schemas.microsoft.com/office/excel/2006/main">
          <x14:cfRule type="dataBar" id="{545BE260-6340-4EB1-B08B-1A8D5B04F9AE}">
            <x14:dataBar minLength="0" maxLength="100" border="1" negativeBarBorderColorSameAsPositive="0">
              <x14:cfvo type="autoMin"/>
              <x14:cfvo type="autoMax"/>
              <x14:borderColor rgb="FF63C384"/>
              <x14:negativeFillColor rgb="FFFF0000"/>
              <x14:negativeBorderColor rgb="FFFF0000"/>
              <x14:axisColor rgb="FF000000"/>
            </x14:dataBar>
          </x14:cfRule>
          <xm:sqref>Y53:Y57</xm:sqref>
        </x14:conditionalFormatting>
        <x14:conditionalFormatting xmlns:xm="http://schemas.microsoft.com/office/excel/2006/main">
          <x14:cfRule type="dataBar" id="{06612AEC-1C08-416C-BCB8-AED802DB5FEC}">
            <x14:dataBar minLength="0" maxLength="100" border="1" negativeBarBorderColorSameAsPositive="0">
              <x14:cfvo type="autoMin"/>
              <x14:cfvo type="autoMax"/>
              <x14:borderColor rgb="FF63C384"/>
              <x14:negativeFillColor rgb="FFFF0000"/>
              <x14:negativeBorderColor rgb="FFFF0000"/>
              <x14:axisColor rgb="FF000000"/>
            </x14:dataBar>
          </x14:cfRule>
          <xm:sqref>Y58</xm:sqref>
        </x14:conditionalFormatting>
        <x14:conditionalFormatting xmlns:xm="http://schemas.microsoft.com/office/excel/2006/main">
          <x14:cfRule type="dataBar" id="{0132A662-FEE4-4B96-BD31-44573FFB4CE6}">
            <x14:dataBar minLength="0" maxLength="100" border="1" negativeBarBorderColorSameAsPositive="0">
              <x14:cfvo type="autoMin"/>
              <x14:cfvo type="autoMax"/>
              <x14:borderColor rgb="FF63C384"/>
              <x14:negativeFillColor rgb="FFFF0000"/>
              <x14:negativeBorderColor rgb="FFFF0000"/>
              <x14:axisColor rgb="FF000000"/>
            </x14:dataBar>
          </x14:cfRule>
          <xm:sqref>Y62:Y63</xm:sqref>
        </x14:conditionalFormatting>
        <x14:conditionalFormatting xmlns:xm="http://schemas.microsoft.com/office/excel/2006/main">
          <x14:cfRule type="dataBar" id="{722AB5C4-39CD-41F9-A48C-981161A60A26}">
            <x14:dataBar minLength="0" maxLength="100" border="1" negativeBarBorderColorSameAsPositive="0">
              <x14:cfvo type="autoMin"/>
              <x14:cfvo type="autoMax"/>
              <x14:borderColor rgb="FF63C384"/>
              <x14:negativeFillColor rgb="FFFF0000"/>
              <x14:negativeBorderColor rgb="FFFF0000"/>
              <x14:axisColor rgb="FF000000"/>
            </x14:dataBar>
          </x14:cfRule>
          <xm:sqref>Y64</xm:sqref>
        </x14:conditionalFormatting>
        <x14:conditionalFormatting xmlns:xm="http://schemas.microsoft.com/office/excel/2006/main">
          <x14:cfRule type="dataBar" id="{F7107A30-7879-4AE3-BC76-59A307FB5338}">
            <x14:dataBar minLength="0" maxLength="100" border="1" negativeBarBorderColorSameAsPositive="0">
              <x14:cfvo type="autoMin"/>
              <x14:cfvo type="autoMax"/>
              <x14:borderColor rgb="FF63C384"/>
              <x14:negativeFillColor rgb="FFFF0000"/>
              <x14:negativeBorderColor rgb="FFFF0000"/>
              <x14:axisColor rgb="FF000000"/>
            </x14:dataBar>
          </x14:cfRule>
          <xm:sqref>Y70:Y71</xm:sqref>
        </x14:conditionalFormatting>
        <x14:conditionalFormatting xmlns:xm="http://schemas.microsoft.com/office/excel/2006/main">
          <x14:cfRule type="dataBar" id="{4E273FFF-F3F8-45EE-93B5-56AFFA54947D}">
            <x14:dataBar minLength="0" maxLength="100" border="1" negativeBarBorderColorSameAsPositive="0">
              <x14:cfvo type="autoMin"/>
              <x14:cfvo type="autoMax"/>
              <x14:borderColor rgb="FF63C384"/>
              <x14:negativeFillColor rgb="FFFF0000"/>
              <x14:negativeBorderColor rgb="FFFF0000"/>
              <x14:axisColor rgb="FF000000"/>
            </x14:dataBar>
          </x14:cfRule>
          <xm:sqref>Y72</xm:sqref>
        </x14:conditionalFormatting>
        <x14:conditionalFormatting xmlns:xm="http://schemas.microsoft.com/office/excel/2006/main">
          <x14:cfRule type="dataBar" id="{D64CF556-06AD-4667-8F7B-0F6B83A1688C}">
            <x14:dataBar minLength="0" maxLength="100" border="1" negativeBarBorderColorSameAsPositive="0">
              <x14:cfvo type="autoMin"/>
              <x14:cfvo type="autoMax"/>
              <x14:borderColor rgb="FF63C384"/>
              <x14:negativeFillColor rgb="FFFF0000"/>
              <x14:negativeBorderColor rgb="FFFF0000"/>
              <x14:axisColor rgb="FF000000"/>
            </x14:dataBar>
          </x14:cfRule>
          <xm:sqref>Y78:Y88</xm:sqref>
        </x14:conditionalFormatting>
        <x14:conditionalFormatting xmlns:xm="http://schemas.microsoft.com/office/excel/2006/main">
          <x14:cfRule type="dataBar" id="{A7F6C3B2-1DF4-4FCD-9562-6643C1FDB278}">
            <x14:dataBar minLength="0" maxLength="100" border="1" negativeBarBorderColorSameAsPositive="0">
              <x14:cfvo type="autoMin"/>
              <x14:cfvo type="autoMax"/>
              <x14:borderColor rgb="FF63C384"/>
              <x14:negativeFillColor rgb="FFFF0000"/>
              <x14:negativeBorderColor rgb="FFFF0000"/>
              <x14:axisColor rgb="FF000000"/>
            </x14:dataBar>
          </x14:cfRule>
          <xm:sqref>Y89</xm:sqref>
        </x14:conditionalFormatting>
        <x14:conditionalFormatting xmlns:xm="http://schemas.microsoft.com/office/excel/2006/main">
          <x14:cfRule type="dataBar" id="{4C3415D5-12BE-4939-A2DA-732F3661FA97}">
            <x14:dataBar minLength="0" maxLength="100" border="1" negativeBarBorderColorSameAsPositive="0">
              <x14:cfvo type="autoMin"/>
              <x14:cfvo type="autoMax"/>
              <x14:borderColor rgb="FF63C384"/>
              <x14:negativeFillColor rgb="FFFF0000"/>
              <x14:negativeBorderColor rgb="FFFF0000"/>
              <x14:axisColor rgb="FF000000"/>
            </x14:dataBar>
          </x14:cfRule>
          <xm:sqref>Y93:Y103</xm:sqref>
        </x14:conditionalFormatting>
        <x14:conditionalFormatting xmlns:xm="http://schemas.microsoft.com/office/excel/2006/main">
          <x14:cfRule type="dataBar" id="{EBEFA9C3-2F3B-4E61-8BAA-1F1AAABED3D7}">
            <x14:dataBar minLength="0" maxLength="100" border="1" negativeBarBorderColorSameAsPositive="0">
              <x14:cfvo type="autoMin"/>
              <x14:cfvo type="autoMax"/>
              <x14:borderColor rgb="FF63C384"/>
              <x14:negativeFillColor rgb="FFFF0000"/>
              <x14:negativeBorderColor rgb="FFFF0000"/>
              <x14:axisColor rgb="FF000000"/>
            </x14:dataBar>
          </x14:cfRule>
          <xm:sqref>Y104</xm:sqref>
        </x14:conditionalFormatting>
        <x14:conditionalFormatting xmlns:xm="http://schemas.microsoft.com/office/excel/2006/main">
          <x14:cfRule type="dataBar" id="{CF2D26C4-D4B7-45E8-AA84-86AC1096398C}">
            <x14:dataBar minLength="0" maxLength="100" border="1" negativeBarBorderColorSameAsPositive="0">
              <x14:cfvo type="autoMin"/>
              <x14:cfvo type="autoMax"/>
              <x14:borderColor rgb="FF63C384"/>
              <x14:negativeFillColor rgb="FFFF0000"/>
              <x14:negativeBorderColor rgb="FFFF0000"/>
              <x14:axisColor rgb="FF000000"/>
            </x14:dataBar>
          </x14:cfRule>
          <xm:sqref>Y108:Y112</xm:sqref>
        </x14:conditionalFormatting>
        <x14:conditionalFormatting xmlns:xm="http://schemas.microsoft.com/office/excel/2006/main">
          <x14:cfRule type="dataBar" id="{40FCDDFB-9D94-4A11-B8A3-2511FEB51186}">
            <x14:dataBar minLength="0" maxLength="100" border="1" negativeBarBorderColorSameAsPositive="0">
              <x14:cfvo type="autoMin"/>
              <x14:cfvo type="autoMax"/>
              <x14:borderColor rgb="FF63C384"/>
              <x14:negativeFillColor rgb="FFFF0000"/>
              <x14:negativeBorderColor rgb="FFFF0000"/>
              <x14:axisColor rgb="FF000000"/>
            </x14:dataBar>
          </x14:cfRule>
          <xm:sqref>Y113</xm:sqref>
        </x14:conditionalFormatting>
        <x14:conditionalFormatting xmlns:xm="http://schemas.microsoft.com/office/excel/2006/main">
          <x14:cfRule type="dataBar" id="{3C87891B-FD49-4511-988F-02322E06EF98}">
            <x14:dataBar minLength="0" maxLength="100" border="1" negativeBarBorderColorSameAsPositive="0">
              <x14:cfvo type="autoMin"/>
              <x14:cfvo type="autoMax"/>
              <x14:borderColor rgb="FF63C384"/>
              <x14:negativeFillColor rgb="FFFF0000"/>
              <x14:negativeBorderColor rgb="FFFF0000"/>
              <x14:axisColor rgb="FF000000"/>
            </x14:dataBar>
          </x14:cfRule>
          <xm:sqref>Y117:Y134</xm:sqref>
        </x14:conditionalFormatting>
        <x14:conditionalFormatting xmlns:xm="http://schemas.microsoft.com/office/excel/2006/main">
          <x14:cfRule type="dataBar" id="{8E635245-E254-4AB8-82BD-FAFB45CD0F94}">
            <x14:dataBar minLength="0" maxLength="100" border="1" negativeBarBorderColorSameAsPositive="0">
              <x14:cfvo type="autoMin"/>
              <x14:cfvo type="autoMax"/>
              <x14:borderColor rgb="FF63C384"/>
              <x14:negativeFillColor rgb="FFFF0000"/>
              <x14:negativeBorderColor rgb="FFFF0000"/>
              <x14:axisColor rgb="FF000000"/>
            </x14:dataBar>
          </x14:cfRule>
          <xm:sqref>Y135</xm:sqref>
        </x14:conditionalFormatting>
        <x14:conditionalFormatting xmlns:xm="http://schemas.microsoft.com/office/excel/2006/main">
          <x14:cfRule type="dataBar" id="{9EE48CFB-2B31-4E18-94BD-7165F5F01415}">
            <x14:dataBar minLength="0" maxLength="100" border="1" negativeBarBorderColorSameAsPositive="0">
              <x14:cfvo type="autoMin"/>
              <x14:cfvo type="autoMax"/>
              <x14:borderColor rgb="FF63C384"/>
              <x14:negativeFillColor rgb="FFFF0000"/>
              <x14:negativeBorderColor rgb="FFFF0000"/>
              <x14:axisColor rgb="FF000000"/>
            </x14:dataBar>
          </x14:cfRule>
          <xm:sqref>Y139:Y143</xm:sqref>
        </x14:conditionalFormatting>
        <x14:conditionalFormatting xmlns:xm="http://schemas.microsoft.com/office/excel/2006/main">
          <x14:cfRule type="dataBar" id="{DBCD6DAB-A806-4103-B5EB-CB78C202245E}">
            <x14:dataBar minLength="0" maxLength="100" border="1" negativeBarBorderColorSameAsPositive="0">
              <x14:cfvo type="autoMin"/>
              <x14:cfvo type="autoMax"/>
              <x14:borderColor rgb="FF63C384"/>
              <x14:negativeFillColor rgb="FFFF0000"/>
              <x14:negativeBorderColor rgb="FFFF0000"/>
              <x14:axisColor rgb="FF000000"/>
            </x14:dataBar>
          </x14:cfRule>
          <xm:sqref>Y144</xm:sqref>
        </x14:conditionalFormatting>
        <x14:conditionalFormatting xmlns:xm="http://schemas.microsoft.com/office/excel/2006/main">
          <x14:cfRule type="dataBar" id="{3EBCDE59-5D7D-481E-BD8F-1E5049E2DDDB}">
            <x14:dataBar minLength="0" maxLength="100" border="1" negativeBarBorderColorSameAsPositive="0">
              <x14:cfvo type="autoMin"/>
              <x14:cfvo type="autoMax"/>
              <x14:borderColor rgb="FF63C384"/>
              <x14:negativeFillColor rgb="FFFF0000"/>
              <x14:negativeBorderColor rgb="FFFF0000"/>
              <x14:axisColor rgb="FF000000"/>
            </x14:dataBar>
          </x14:cfRule>
          <xm:sqref>Y148:Y165</xm:sqref>
        </x14:conditionalFormatting>
        <x14:conditionalFormatting xmlns:xm="http://schemas.microsoft.com/office/excel/2006/main">
          <x14:cfRule type="dataBar" id="{6AF0F21D-A0F4-4A42-AF24-06B6D5E85F1A}">
            <x14:dataBar minLength="0" maxLength="100" border="1" negativeBarBorderColorSameAsPositive="0">
              <x14:cfvo type="autoMin"/>
              <x14:cfvo type="autoMax"/>
              <x14:borderColor rgb="FF63C384"/>
              <x14:negativeFillColor rgb="FFFF0000"/>
              <x14:negativeBorderColor rgb="FFFF0000"/>
              <x14:axisColor rgb="FF000000"/>
            </x14:dataBar>
          </x14:cfRule>
          <xm:sqref>Y166</xm:sqref>
        </x14:conditionalFormatting>
        <x14:conditionalFormatting xmlns:xm="http://schemas.microsoft.com/office/excel/2006/main">
          <x14:cfRule type="dataBar" id="{A10AEA10-06D5-4BF7-89F6-9563D1ECB2CF}">
            <x14:dataBar minLength="0" maxLength="100" border="1" negativeBarBorderColorSameAsPositive="0">
              <x14:cfvo type="autoMin"/>
              <x14:cfvo type="autoMax"/>
              <x14:borderColor rgb="FF63C384"/>
              <x14:negativeFillColor rgb="FFFF0000"/>
              <x14:negativeBorderColor rgb="FFFF0000"/>
              <x14:axisColor rgb="FF000000"/>
            </x14:dataBar>
          </x14:cfRule>
          <xm:sqref>Y170:Y185</xm:sqref>
        </x14:conditionalFormatting>
        <x14:conditionalFormatting xmlns:xm="http://schemas.microsoft.com/office/excel/2006/main">
          <x14:cfRule type="dataBar" id="{D0C3E17A-E6A4-47AD-8C43-62C62886C050}">
            <x14:dataBar minLength="0" maxLength="100" border="1" negativeBarBorderColorSameAsPositive="0">
              <x14:cfvo type="autoMin"/>
              <x14:cfvo type="autoMax"/>
              <x14:borderColor rgb="FF63C384"/>
              <x14:negativeFillColor rgb="FFFF0000"/>
              <x14:negativeBorderColor rgb="FFFF0000"/>
              <x14:axisColor rgb="FF000000"/>
            </x14:dataBar>
          </x14:cfRule>
          <xm:sqref>Y186</xm:sqref>
        </x14:conditionalFormatting>
        <x14:conditionalFormatting xmlns:xm="http://schemas.microsoft.com/office/excel/2006/main">
          <x14:cfRule type="dataBar" id="{99FEF90A-EACB-4E93-A912-5125C16336BF}">
            <x14:dataBar minLength="0" maxLength="100" border="1" negativeBarBorderColorSameAsPositive="0">
              <x14:cfvo type="autoMin"/>
              <x14:cfvo type="autoMax"/>
              <x14:borderColor rgb="FF63C384"/>
              <x14:negativeFillColor rgb="FFFF0000"/>
              <x14:negativeBorderColor rgb="FFFF0000"/>
              <x14:axisColor rgb="FF000000"/>
            </x14:dataBar>
          </x14:cfRule>
          <xm:sqref>Y190:Y205</xm:sqref>
        </x14:conditionalFormatting>
        <x14:conditionalFormatting xmlns:xm="http://schemas.microsoft.com/office/excel/2006/main">
          <x14:cfRule type="dataBar" id="{59F44F13-9573-43AD-B710-6B8626CECCB8}">
            <x14:dataBar minLength="0" maxLength="100" border="1" negativeBarBorderColorSameAsPositive="0">
              <x14:cfvo type="autoMin"/>
              <x14:cfvo type="autoMax"/>
              <x14:borderColor rgb="FF63C384"/>
              <x14:negativeFillColor rgb="FFFF0000"/>
              <x14:negativeBorderColor rgb="FFFF0000"/>
              <x14:axisColor rgb="FF000000"/>
            </x14:dataBar>
          </x14:cfRule>
          <xm:sqref>Y206</xm:sqref>
        </x14:conditionalFormatting>
        <x14:conditionalFormatting xmlns:xm="http://schemas.microsoft.com/office/excel/2006/main">
          <x14:cfRule type="dataBar" id="{F660B7A0-27D4-4B3E-892A-1556322F3937}">
            <x14:dataBar minLength="0" maxLength="100" border="1" negativeBarBorderColorSameAsPositive="0">
              <x14:cfvo type="autoMin"/>
              <x14:cfvo type="autoMax"/>
              <x14:borderColor rgb="FF63C384"/>
              <x14:negativeFillColor rgb="FFFF0000"/>
              <x14:negativeBorderColor rgb="FFFF0000"/>
              <x14:axisColor rgb="FF000000"/>
            </x14:dataBar>
          </x14:cfRule>
          <xm:sqref>Y210:Y226</xm:sqref>
        </x14:conditionalFormatting>
        <x14:conditionalFormatting xmlns:xm="http://schemas.microsoft.com/office/excel/2006/main">
          <x14:cfRule type="dataBar" id="{C1F65172-8263-4BBB-825D-467FDF38CBD5}">
            <x14:dataBar minLength="0" maxLength="100" border="1" negativeBarBorderColorSameAsPositive="0">
              <x14:cfvo type="autoMin"/>
              <x14:cfvo type="autoMax"/>
              <x14:borderColor rgb="FF63C384"/>
              <x14:negativeFillColor rgb="FFFF0000"/>
              <x14:negativeBorderColor rgb="FFFF0000"/>
              <x14:axisColor rgb="FF000000"/>
            </x14:dataBar>
          </x14:cfRule>
          <xm:sqref>Y230:Y246</xm:sqref>
        </x14:conditionalFormatting>
        <x14:conditionalFormatting xmlns:xm="http://schemas.microsoft.com/office/excel/2006/main">
          <x14:cfRule type="dataBar" id="{408CB179-11B2-4DA6-BD5F-E6A2DD45B8D3}">
            <x14:dataBar minLength="0" maxLength="100" border="1" negativeBarBorderColorSameAsPositive="0">
              <x14:cfvo type="autoMin"/>
              <x14:cfvo type="autoMax"/>
              <x14:borderColor rgb="FF63C384"/>
              <x14:negativeFillColor rgb="FFFF0000"/>
              <x14:negativeBorderColor rgb="FFFF0000"/>
              <x14:axisColor rgb="FF000000"/>
            </x14:dataBar>
          </x14:cfRule>
          <xm:sqref>Y250:Y259</xm:sqref>
        </x14:conditionalFormatting>
        <x14:conditionalFormatting xmlns:xm="http://schemas.microsoft.com/office/excel/2006/main">
          <x14:cfRule type="dataBar" id="{58B7E7D7-1D46-4B1B-B028-AB60AB6BCA00}">
            <x14:dataBar minLength="0" maxLength="100" border="1" negativeBarBorderColorSameAsPositive="0">
              <x14:cfvo type="autoMin"/>
              <x14:cfvo type="autoMax"/>
              <x14:borderColor rgb="FF63C384"/>
              <x14:negativeFillColor rgb="FFFF0000"/>
              <x14:negativeBorderColor rgb="FFFF0000"/>
              <x14:axisColor rgb="FF000000"/>
            </x14:dataBar>
          </x14:cfRule>
          <xm:sqref>Y260</xm:sqref>
        </x14:conditionalFormatting>
        <x14:conditionalFormatting xmlns:xm="http://schemas.microsoft.com/office/excel/2006/main">
          <x14:cfRule type="dataBar" id="{D5A9F68F-650A-4848-9E20-D30FBC23E57E}">
            <x14:dataBar minLength="0" maxLength="100" border="1" negativeBarBorderColorSameAsPositive="0">
              <x14:cfvo type="autoMin"/>
              <x14:cfvo type="autoMax"/>
              <x14:borderColor rgb="FF63C384"/>
              <x14:negativeFillColor rgb="FFFF0000"/>
              <x14:negativeBorderColor rgb="FFFF0000"/>
              <x14:axisColor rgb="FF000000"/>
            </x14:dataBar>
          </x14:cfRule>
          <xm:sqref>Y264:Y274</xm:sqref>
        </x14:conditionalFormatting>
        <x14:conditionalFormatting xmlns:xm="http://schemas.microsoft.com/office/excel/2006/main">
          <x14:cfRule type="dataBar" id="{E78D7840-1D52-440C-A08A-FD60C98ECB11}">
            <x14:dataBar minLength="0" maxLength="100" border="1" negativeBarBorderColorSameAsPositive="0">
              <x14:cfvo type="autoMin"/>
              <x14:cfvo type="autoMax"/>
              <x14:borderColor rgb="FF63C384"/>
              <x14:negativeFillColor rgb="FFFF0000"/>
              <x14:negativeBorderColor rgb="FFFF0000"/>
              <x14:axisColor rgb="FF000000"/>
            </x14:dataBar>
          </x14:cfRule>
          <xm:sqref>Y278:Y288</xm:sqref>
        </x14:conditionalFormatting>
        <x14:conditionalFormatting xmlns:xm="http://schemas.microsoft.com/office/excel/2006/main">
          <x14:cfRule type="dataBar" id="{E63F0267-1D30-4E0A-9486-A5CC0BD9F0FA}">
            <x14:dataBar minLength="0" maxLength="100" border="1" negativeBarBorderColorSameAsPositive="0">
              <x14:cfvo type="autoMin"/>
              <x14:cfvo type="autoMax"/>
              <x14:borderColor rgb="FF63C384"/>
              <x14:negativeFillColor rgb="FFFF0000"/>
              <x14:negativeBorderColor rgb="FFFF0000"/>
              <x14:axisColor rgb="FF000000"/>
            </x14:dataBar>
          </x14:cfRule>
          <xm:sqref>Y292:Y302</xm:sqref>
        </x14:conditionalFormatting>
        <x14:conditionalFormatting xmlns:xm="http://schemas.microsoft.com/office/excel/2006/main">
          <x14:cfRule type="dataBar" id="{7D749A01-C792-4A3A-8A0D-ED3F7DE950DB}">
            <x14:dataBar minLength="0" maxLength="100" border="1" negativeBarBorderColorSameAsPositive="0">
              <x14:cfvo type="autoMin"/>
              <x14:cfvo type="autoMax"/>
              <x14:borderColor rgb="FF63C384"/>
              <x14:negativeFillColor rgb="FFFF0000"/>
              <x14:negativeBorderColor rgb="FFFF0000"/>
              <x14:axisColor rgb="FF000000"/>
            </x14:dataBar>
          </x14:cfRule>
          <xm:sqref>Y306:Y325</xm:sqref>
        </x14:conditionalFormatting>
        <x14:conditionalFormatting xmlns:xm="http://schemas.microsoft.com/office/excel/2006/main">
          <x14:cfRule type="dataBar" id="{16FD0CC2-0669-40C7-89DE-BA4F98D321C9}">
            <x14:dataBar minLength="0" maxLength="100" border="1" negativeBarBorderColorSameAsPositive="0">
              <x14:cfvo type="autoMin"/>
              <x14:cfvo type="autoMax"/>
              <x14:borderColor rgb="FF63C384"/>
              <x14:negativeFillColor rgb="FFFF0000"/>
              <x14:negativeBorderColor rgb="FFFF0000"/>
              <x14:axisColor rgb="FF000000"/>
            </x14:dataBar>
          </x14:cfRule>
          <xm:sqref>Y329:Y348</xm:sqref>
        </x14:conditionalFormatting>
        <x14:conditionalFormatting xmlns:xm="http://schemas.microsoft.com/office/excel/2006/main">
          <x14:cfRule type="dataBar" id="{5606364C-2259-4DA6-842D-57CB11F71C83}">
            <x14:dataBar minLength="0" maxLength="100" border="1" negativeBarBorderColorSameAsPositive="0">
              <x14:cfvo type="autoMin"/>
              <x14:cfvo type="autoMax"/>
              <x14:borderColor rgb="FF63C384"/>
              <x14:negativeFillColor rgb="FFFF0000"/>
              <x14:negativeBorderColor rgb="FFFF0000"/>
              <x14:axisColor rgb="FF000000"/>
            </x14:dataBar>
          </x14:cfRule>
          <xm:sqref>Y352:Y371</xm:sqref>
        </x14:conditionalFormatting>
        <x14:conditionalFormatting xmlns:xm="http://schemas.microsoft.com/office/excel/2006/main">
          <x14:cfRule type="dataBar" id="{FEFAAF5D-D145-481C-8780-A43C5F8C85D3}">
            <x14:dataBar minLength="0" maxLength="100" border="1" negativeBarBorderColorSameAsPositive="0">
              <x14:cfvo type="autoMin"/>
              <x14:cfvo type="autoMax"/>
              <x14:borderColor rgb="FF63C384"/>
              <x14:negativeFillColor rgb="FFFF0000"/>
              <x14:negativeBorderColor rgb="FFFF0000"/>
              <x14:axisColor rgb="FF000000"/>
            </x14:dataBar>
          </x14:cfRule>
          <xm:sqref>Y375:Y394</xm:sqref>
        </x14:conditionalFormatting>
        <x14:conditionalFormatting xmlns:xm="http://schemas.microsoft.com/office/excel/2006/main">
          <x14:cfRule type="dataBar" id="{9FB18656-E848-4983-B475-CEF69111E4A9}">
            <x14:dataBar minLength="0" maxLength="100" border="1" negativeBarBorderColorSameAsPositive="0">
              <x14:cfvo type="autoMin"/>
              <x14:cfvo type="autoMax"/>
              <x14:borderColor rgb="FF63C384"/>
              <x14:negativeFillColor rgb="FFFF0000"/>
              <x14:negativeBorderColor rgb="FFFF0000"/>
              <x14:axisColor rgb="FF000000"/>
            </x14:dataBar>
          </x14:cfRule>
          <xm:sqref>Y398:Y417</xm:sqref>
        </x14:conditionalFormatting>
        <x14:conditionalFormatting xmlns:xm="http://schemas.microsoft.com/office/excel/2006/main">
          <x14:cfRule type="dataBar" id="{ABB05ABD-7689-43DF-AC1E-3B907DB79550}">
            <x14:dataBar minLength="0" maxLength="100" border="1" negativeBarBorderColorSameAsPositive="0">
              <x14:cfvo type="autoMin"/>
              <x14:cfvo type="autoMax"/>
              <x14:borderColor rgb="FF63C384"/>
              <x14:negativeFillColor rgb="FFFF0000"/>
              <x14:negativeBorderColor rgb="FFFF0000"/>
              <x14:axisColor rgb="FF000000"/>
            </x14:dataBar>
          </x14:cfRule>
          <xm:sqref>Y421:Y440</xm:sqref>
        </x14:conditionalFormatting>
        <x14:conditionalFormatting xmlns:xm="http://schemas.microsoft.com/office/excel/2006/main">
          <x14:cfRule type="dataBar" id="{047FA6E8-B632-450A-B678-DE47B0766E9F}">
            <x14:dataBar minLength="0" maxLength="100" border="1" negativeBarBorderColorSameAsPositive="0">
              <x14:cfvo type="autoMin"/>
              <x14:cfvo type="autoMax"/>
              <x14:borderColor rgb="FF63C384"/>
              <x14:negativeFillColor rgb="FFFF0000"/>
              <x14:negativeBorderColor rgb="FFFF0000"/>
              <x14:axisColor rgb="FF000000"/>
            </x14:dataBar>
          </x14:cfRule>
          <xm:sqref>Y444:Y459</xm:sqref>
        </x14:conditionalFormatting>
        <x14:conditionalFormatting xmlns:xm="http://schemas.microsoft.com/office/excel/2006/main">
          <x14:cfRule type="dataBar" id="{40F24E7E-A40D-4516-BE31-7BCF1EE823C3}">
            <x14:dataBar minLength="0" maxLength="100" border="1" negativeBarBorderColorSameAsPositive="0">
              <x14:cfvo type="autoMin"/>
              <x14:cfvo type="autoMax"/>
              <x14:borderColor rgb="FF63C384"/>
              <x14:negativeFillColor rgb="FFFF0000"/>
              <x14:negativeBorderColor rgb="FFFF0000"/>
              <x14:axisColor rgb="FF000000"/>
            </x14:dataBar>
          </x14:cfRule>
          <xm:sqref>Y463:Y478</xm:sqref>
        </x14:conditionalFormatting>
        <x14:conditionalFormatting xmlns:xm="http://schemas.microsoft.com/office/excel/2006/main">
          <x14:cfRule type="dataBar" id="{2C2447A5-7FF8-445C-9F0E-EFFE23533ACF}">
            <x14:dataBar minLength="0" maxLength="100" border="1" negativeBarBorderColorSameAsPositive="0">
              <x14:cfvo type="autoMin"/>
              <x14:cfvo type="autoMax"/>
              <x14:borderColor rgb="FF63C384"/>
              <x14:negativeFillColor rgb="FFFF0000"/>
              <x14:negativeBorderColor rgb="FFFF0000"/>
              <x14:axisColor rgb="FF000000"/>
            </x14:dataBar>
          </x14:cfRule>
          <xm:sqref>Y482:Y485</xm:sqref>
        </x14:conditionalFormatting>
        <x14:conditionalFormatting xmlns:xm="http://schemas.microsoft.com/office/excel/2006/main">
          <x14:cfRule type="dataBar" id="{CD2A74C6-8F64-4BB8-847D-2DD88CB48EFD}">
            <x14:dataBar minLength="0" maxLength="100" border="1" negativeBarBorderColorSameAsPositive="0">
              <x14:cfvo type="autoMin"/>
              <x14:cfvo type="autoMax"/>
              <x14:borderColor rgb="FF63C384"/>
              <x14:negativeFillColor rgb="FFFF0000"/>
              <x14:negativeBorderColor rgb="FFFF0000"/>
              <x14:axisColor rgb="FF000000"/>
            </x14:dataBar>
          </x14:cfRule>
          <xm:sqref>Y489:Y492</xm:sqref>
        </x14:conditionalFormatting>
        <x14:conditionalFormatting xmlns:xm="http://schemas.microsoft.com/office/excel/2006/main">
          <x14:cfRule type="dataBar" id="{54567D4E-6549-4462-879D-000346D1864C}">
            <x14:dataBar minLength="0" maxLength="100" border="1" negativeBarBorderColorSameAsPositive="0">
              <x14:cfvo type="autoMin"/>
              <x14:cfvo type="autoMax"/>
              <x14:borderColor rgb="FF63C384"/>
              <x14:negativeFillColor rgb="FFFF0000"/>
              <x14:negativeBorderColor rgb="FFFF0000"/>
              <x14:axisColor rgb="FF000000"/>
            </x14:dataBar>
          </x14:cfRule>
          <xm:sqref>Y496:Y499</xm:sqref>
        </x14:conditionalFormatting>
        <x14:conditionalFormatting xmlns:xm="http://schemas.microsoft.com/office/excel/2006/main">
          <x14:cfRule type="dataBar" id="{964C2B7E-1343-4AA4-9DA2-0FE31B88F5D0}">
            <x14:dataBar minLength="0" maxLength="100" border="1" negativeBarBorderColorSameAsPositive="0">
              <x14:cfvo type="autoMin"/>
              <x14:cfvo type="autoMax"/>
              <x14:borderColor rgb="FF63C384"/>
              <x14:negativeFillColor rgb="FFFF0000"/>
              <x14:negativeBorderColor rgb="FFFF0000"/>
              <x14:axisColor rgb="FF000000"/>
            </x14:dataBar>
          </x14:cfRule>
          <xm:sqref>Y503:Y507</xm:sqref>
        </x14:conditionalFormatting>
        <x14:conditionalFormatting xmlns:xm="http://schemas.microsoft.com/office/excel/2006/main">
          <x14:cfRule type="dataBar" id="{E66770A9-BF80-4DC4-BC7D-2069BE0DE0D9}">
            <x14:dataBar minLength="0" maxLength="100" border="1" negativeBarBorderColorSameAsPositive="0">
              <x14:cfvo type="autoMin"/>
              <x14:cfvo type="autoMax"/>
              <x14:borderColor rgb="FF63C384"/>
              <x14:negativeFillColor rgb="FFFF0000"/>
              <x14:negativeBorderColor rgb="FFFF0000"/>
              <x14:axisColor rgb="FF000000"/>
            </x14:dataBar>
          </x14:cfRule>
          <xm:sqref>Y510:Y513</xm:sqref>
        </x14:conditionalFormatting>
        <x14:conditionalFormatting xmlns:xm="http://schemas.microsoft.com/office/excel/2006/main">
          <x14:cfRule type="dataBar" id="{CE7B95B5-24E0-4FA5-9F4F-6A6E708849A8}">
            <x14:dataBar minLength="0" maxLength="100" border="1" negativeBarBorderColorSameAsPositive="0">
              <x14:cfvo type="autoMin"/>
              <x14:cfvo type="autoMax"/>
              <x14:borderColor rgb="FF63C384"/>
              <x14:negativeFillColor rgb="FFFF0000"/>
              <x14:negativeBorderColor rgb="FFFF0000"/>
              <x14:axisColor rgb="FF000000"/>
            </x14:dataBar>
          </x14:cfRule>
          <xm:sqref>Y517:Y520</xm:sqref>
        </x14:conditionalFormatting>
        <x14:conditionalFormatting xmlns:xm="http://schemas.microsoft.com/office/excel/2006/main">
          <x14:cfRule type="dataBar" id="{44E7E224-83DC-4C9A-8F4F-078F55A067DC}">
            <x14:dataBar minLength="0" maxLength="100" border="1" negativeBarBorderColorSameAsPositive="0">
              <x14:cfvo type="autoMin"/>
              <x14:cfvo type="autoMax"/>
              <x14:borderColor rgb="FF63C384"/>
              <x14:negativeFillColor rgb="FFFF0000"/>
              <x14:negativeBorderColor rgb="FFFF0000"/>
              <x14:axisColor rgb="FF000000"/>
            </x14:dataBar>
          </x14:cfRule>
          <xm:sqref>Y524:Y527</xm:sqref>
        </x14:conditionalFormatting>
        <x14:conditionalFormatting xmlns:xm="http://schemas.microsoft.com/office/excel/2006/main">
          <x14:cfRule type="dataBar" id="{29D0BA71-092D-46BB-BBB5-5EFBB5CABAF2}">
            <x14:dataBar minLength="0" maxLength="100" border="1" negativeBarBorderColorSameAsPositive="0">
              <x14:cfvo type="autoMin"/>
              <x14:cfvo type="autoMax"/>
              <x14:borderColor rgb="FF63C384"/>
              <x14:negativeFillColor rgb="FFFF0000"/>
              <x14:negativeBorderColor rgb="FFFF0000"/>
              <x14:axisColor rgb="FF000000"/>
            </x14:dataBar>
          </x14:cfRule>
          <xm:sqref>Y531:Y534</xm:sqref>
        </x14:conditionalFormatting>
        <x14:conditionalFormatting xmlns:xm="http://schemas.microsoft.com/office/excel/2006/main">
          <x14:cfRule type="dataBar" id="{263483C9-F413-4C70-870D-5ACEC0B77796}">
            <x14:dataBar minLength="0" maxLength="100" border="1" negativeBarBorderColorSameAsPositive="0">
              <x14:cfvo type="autoMin"/>
              <x14:cfvo type="autoMax"/>
              <x14:borderColor rgb="FF63C384"/>
              <x14:negativeFillColor rgb="FFFF0000"/>
              <x14:negativeBorderColor rgb="FFFF0000"/>
              <x14:axisColor rgb="FF000000"/>
            </x14:dataBar>
          </x14:cfRule>
          <xm:sqref>Y538:Y545</xm:sqref>
        </x14:conditionalFormatting>
        <x14:conditionalFormatting xmlns:xm="http://schemas.microsoft.com/office/excel/2006/main">
          <x14:cfRule type="dataBar" id="{9E662FAD-1A35-4FAD-9D36-B328FD23D49F}">
            <x14:dataBar minLength="0" maxLength="100" border="1" negativeBarBorderColorSameAsPositive="0">
              <x14:cfvo type="autoMin"/>
              <x14:cfvo type="autoMax"/>
              <x14:borderColor rgb="FF63C384"/>
              <x14:negativeFillColor rgb="FFFF0000"/>
              <x14:negativeBorderColor rgb="FFFF0000"/>
              <x14:axisColor rgb="FF000000"/>
            </x14:dataBar>
          </x14:cfRule>
          <xm:sqref>Y550:Y557</xm:sqref>
        </x14:conditionalFormatting>
        <x14:conditionalFormatting xmlns:xm="http://schemas.microsoft.com/office/excel/2006/main">
          <x14:cfRule type="dataBar" id="{4488265C-390D-4CC8-829A-5FC5E5526D40}">
            <x14:dataBar minLength="0" maxLength="100" border="1" negativeBarBorderColorSameAsPositive="0">
              <x14:cfvo type="autoMin"/>
              <x14:cfvo type="autoMax"/>
              <x14:borderColor rgb="FF63C384"/>
              <x14:negativeFillColor rgb="FFFF0000"/>
              <x14:negativeBorderColor rgb="FFFF0000"/>
              <x14:axisColor rgb="FF000000"/>
            </x14:dataBar>
          </x14:cfRule>
          <xm:sqref>Y563:Y570</xm:sqref>
        </x14:conditionalFormatting>
        <x14:conditionalFormatting xmlns:xm="http://schemas.microsoft.com/office/excel/2006/main">
          <x14:cfRule type="dataBar" id="{2FCC002D-885A-4CF4-986C-CD1A81551F43}">
            <x14:dataBar minLength="0" maxLength="100" border="1" negativeBarBorderColorSameAsPositive="0">
              <x14:cfvo type="autoMin"/>
              <x14:cfvo type="autoMax"/>
              <x14:borderColor rgb="FF63C384"/>
              <x14:negativeFillColor rgb="FFFF0000"/>
              <x14:negativeBorderColor rgb="FFFF0000"/>
              <x14:axisColor rgb="FF000000"/>
            </x14:dataBar>
          </x14:cfRule>
          <xm:sqref>Y575:Y582</xm:sqref>
        </x14:conditionalFormatting>
        <x14:conditionalFormatting xmlns:xm="http://schemas.microsoft.com/office/excel/2006/main">
          <x14:cfRule type="dataBar" id="{E6DF013F-27F1-4B4D-BA0A-6DF8812CFBB6}">
            <x14:dataBar minLength="0" maxLength="100" border="1" negativeBarBorderColorSameAsPositive="0">
              <x14:cfvo type="autoMin"/>
              <x14:cfvo type="autoMax"/>
              <x14:borderColor rgb="FF63C384"/>
              <x14:negativeFillColor rgb="FFFF0000"/>
              <x14:negativeBorderColor rgb="FFFF0000"/>
              <x14:axisColor rgb="FF000000"/>
            </x14:dataBar>
          </x14:cfRule>
          <xm:sqref>Y588:Y595</xm:sqref>
        </x14:conditionalFormatting>
        <x14:conditionalFormatting xmlns:xm="http://schemas.microsoft.com/office/excel/2006/main">
          <x14:cfRule type="dataBar" id="{521D4CC2-3CAD-41EF-B99C-59EF7ACE2AF4}">
            <x14:dataBar minLength="0" maxLength="100" border="1" negativeBarBorderColorSameAsPositive="0">
              <x14:cfvo type="autoMin"/>
              <x14:cfvo type="autoMax"/>
              <x14:borderColor rgb="FF63C384"/>
              <x14:negativeFillColor rgb="FFFF0000"/>
              <x14:negativeBorderColor rgb="FFFF0000"/>
              <x14:axisColor rgb="FF000000"/>
            </x14:dataBar>
          </x14:cfRule>
          <xm:sqref>Y600:Y607</xm:sqref>
        </x14:conditionalFormatting>
        <x14:conditionalFormatting xmlns:xm="http://schemas.microsoft.com/office/excel/2006/main">
          <x14:cfRule type="dataBar" id="{CA41DD8C-AFDD-48D0-A952-47E7C4FFB8E7}">
            <x14:dataBar minLength="0" maxLength="100" border="1" negativeBarBorderColorSameAsPositive="0">
              <x14:cfvo type="autoMin"/>
              <x14:cfvo type="autoMax"/>
              <x14:borderColor rgb="FF63C384"/>
              <x14:negativeFillColor rgb="FFFF0000"/>
              <x14:negativeBorderColor rgb="FFFF0000"/>
              <x14:axisColor rgb="FF000000"/>
            </x14:dataBar>
          </x14:cfRule>
          <xm:sqref>Y612:Y619</xm:sqref>
        </x14:conditionalFormatting>
        <x14:conditionalFormatting xmlns:xm="http://schemas.microsoft.com/office/excel/2006/main">
          <x14:cfRule type="dataBar" id="{5B63A7E2-3499-4458-8D01-7C26FD8E57D7}">
            <x14:dataBar minLength="0" maxLength="100" border="1" negativeBarBorderColorSameAsPositive="0">
              <x14:cfvo type="autoMin"/>
              <x14:cfvo type="autoMax"/>
              <x14:borderColor rgb="FF63C384"/>
              <x14:negativeFillColor rgb="FFFF0000"/>
              <x14:negativeBorderColor rgb="FFFF0000"/>
              <x14:axisColor rgb="FF000000"/>
            </x14:dataBar>
          </x14:cfRule>
          <xm:sqref>Y624:Y631</xm:sqref>
        </x14:conditionalFormatting>
        <x14:conditionalFormatting xmlns:xm="http://schemas.microsoft.com/office/excel/2006/main">
          <x14:cfRule type="dataBar" id="{B3943866-606E-4E3E-87E9-1FD7A7733D9E}">
            <x14:dataBar minLength="0" maxLength="100" border="1" negativeBarBorderColorSameAsPositive="0">
              <x14:cfvo type="autoMin"/>
              <x14:cfvo type="autoMax"/>
              <x14:borderColor rgb="FF63C384"/>
              <x14:negativeFillColor rgb="FFFF0000"/>
              <x14:negativeBorderColor rgb="FFFF0000"/>
              <x14:axisColor rgb="FF000000"/>
            </x14:dataBar>
          </x14:cfRule>
          <xm:sqref>Y637:Y640</xm:sqref>
        </x14:conditionalFormatting>
        <x14:conditionalFormatting xmlns:xm="http://schemas.microsoft.com/office/excel/2006/main">
          <x14:cfRule type="dataBar" id="{B4611D10-C196-437A-AEA4-98615FB569DF}">
            <x14:dataBar minLength="0" maxLength="100" border="1" negativeBarBorderColorSameAsPositive="0">
              <x14:cfvo type="autoMin"/>
              <x14:cfvo type="autoMax"/>
              <x14:borderColor rgb="FF63C384"/>
              <x14:negativeFillColor rgb="FFFF0000"/>
              <x14:negativeBorderColor rgb="FFFF0000"/>
              <x14:axisColor rgb="FF000000"/>
            </x14:dataBar>
          </x14:cfRule>
          <xm:sqref>Y644:Y647</xm:sqref>
        </x14:conditionalFormatting>
        <x14:conditionalFormatting xmlns:xm="http://schemas.microsoft.com/office/excel/2006/main">
          <x14:cfRule type="dataBar" id="{8998FB8E-90C0-466E-87B5-514563CA0DDC}">
            <x14:dataBar minLength="0" maxLength="100" border="1" negativeBarBorderColorSameAsPositive="0">
              <x14:cfvo type="autoMin"/>
              <x14:cfvo type="autoMax"/>
              <x14:borderColor rgb="FF63C384"/>
              <x14:negativeFillColor rgb="FFFF0000"/>
              <x14:negativeBorderColor rgb="FFFF0000"/>
              <x14:axisColor rgb="FF000000"/>
            </x14:dataBar>
          </x14:cfRule>
          <xm:sqref>Y651:Y654</xm:sqref>
        </x14:conditionalFormatting>
        <x14:conditionalFormatting xmlns:xm="http://schemas.microsoft.com/office/excel/2006/main">
          <x14:cfRule type="dataBar" id="{159D6488-1FB1-42A5-9128-D7DB159C02A2}">
            <x14:dataBar minLength="0" maxLength="100" border="1" negativeBarBorderColorSameAsPositive="0">
              <x14:cfvo type="autoMin"/>
              <x14:cfvo type="autoMax"/>
              <x14:borderColor rgb="FF63C384"/>
              <x14:negativeFillColor rgb="FFFF0000"/>
              <x14:negativeBorderColor rgb="FFFF0000"/>
              <x14:axisColor rgb="FF000000"/>
            </x14:dataBar>
          </x14:cfRule>
          <xm:sqref>Y658:Y661</xm:sqref>
        </x14:conditionalFormatting>
        <x14:conditionalFormatting xmlns:xm="http://schemas.microsoft.com/office/excel/2006/main">
          <x14:cfRule type="dataBar" id="{E9D4AB34-DC63-4909-9D99-E03A0FC39BF4}">
            <x14:dataBar minLength="0" maxLength="100" border="1" negativeBarBorderColorSameAsPositive="0">
              <x14:cfvo type="autoMin"/>
              <x14:cfvo type="autoMax"/>
              <x14:borderColor rgb="FF63C384"/>
              <x14:negativeFillColor rgb="FFFF0000"/>
              <x14:negativeBorderColor rgb="FFFF0000"/>
              <x14:axisColor rgb="FF000000"/>
            </x14:dataBar>
          </x14:cfRule>
          <xm:sqref>Y665:Y671</xm:sqref>
        </x14:conditionalFormatting>
        <x14:conditionalFormatting xmlns:xm="http://schemas.microsoft.com/office/excel/2006/main">
          <x14:cfRule type="dataBar" id="{44068DB0-983D-4FCF-AFFE-735435B36D11}">
            <x14:dataBar minLength="0" maxLength="100" border="1" negativeBarBorderColorSameAsPositive="0">
              <x14:cfvo type="autoMin"/>
              <x14:cfvo type="autoMax"/>
              <x14:borderColor rgb="FF63C384"/>
              <x14:negativeFillColor rgb="FFFF0000"/>
              <x14:negativeBorderColor rgb="FFFF0000"/>
              <x14:axisColor rgb="FF000000"/>
            </x14:dataBar>
          </x14:cfRule>
          <xm:sqref>Y675:Y681</xm:sqref>
        </x14:conditionalFormatting>
        <x14:conditionalFormatting xmlns:xm="http://schemas.microsoft.com/office/excel/2006/main">
          <x14:cfRule type="dataBar" id="{CC761185-A064-4FC4-8B47-62EF7210F0F4}">
            <x14:dataBar minLength="0" maxLength="100" border="1" negativeBarBorderColorSameAsPositive="0">
              <x14:cfvo type="autoMin"/>
              <x14:cfvo type="autoMax"/>
              <x14:borderColor rgb="FF63C384"/>
              <x14:negativeFillColor rgb="FFFF0000"/>
              <x14:negativeBorderColor rgb="FFFF0000"/>
              <x14:axisColor rgb="FF000000"/>
            </x14:dataBar>
          </x14:cfRule>
          <xm:sqref>Y685:Y691</xm:sqref>
        </x14:conditionalFormatting>
        <x14:conditionalFormatting xmlns:xm="http://schemas.microsoft.com/office/excel/2006/main">
          <x14:cfRule type="dataBar" id="{D35CF739-591F-409A-8C6F-C09EE0FEE38F}">
            <x14:dataBar minLength="0" maxLength="100" border="1" negativeBarBorderColorSameAsPositive="0">
              <x14:cfvo type="autoMin"/>
              <x14:cfvo type="autoMax"/>
              <x14:borderColor rgb="FF63C384"/>
              <x14:negativeFillColor rgb="FFFF0000"/>
              <x14:negativeBorderColor rgb="FFFF0000"/>
              <x14:axisColor rgb="FF000000"/>
            </x14:dataBar>
          </x14:cfRule>
          <xm:sqref>Y695:Y701</xm:sqref>
        </x14:conditionalFormatting>
        <x14:conditionalFormatting xmlns:xm="http://schemas.microsoft.com/office/excel/2006/main">
          <x14:cfRule type="dataBar" id="{DDFE2ED2-F2B5-49E6-B36D-E514BB31C94A}">
            <x14:dataBar minLength="0" maxLength="100" border="1" negativeBarBorderColorSameAsPositive="0">
              <x14:cfvo type="autoMin"/>
              <x14:cfvo type="autoMax"/>
              <x14:borderColor rgb="FF63C384"/>
              <x14:negativeFillColor rgb="FFFF0000"/>
              <x14:negativeBorderColor rgb="FFFF0000"/>
              <x14:axisColor rgb="FF000000"/>
            </x14:dataBar>
          </x14:cfRule>
          <xm:sqref>Y705:Y716</xm:sqref>
        </x14:conditionalFormatting>
        <x14:conditionalFormatting xmlns:xm="http://schemas.microsoft.com/office/excel/2006/main">
          <x14:cfRule type="dataBar" id="{2B53A782-63CF-4E3B-92CF-A7B182C56934}">
            <x14:dataBar minLength="0" maxLength="100" border="1" negativeBarBorderColorSameAsPositive="0">
              <x14:cfvo type="autoMin"/>
              <x14:cfvo type="autoMax"/>
              <x14:borderColor rgb="FF63C384"/>
              <x14:negativeFillColor rgb="FFFF0000"/>
              <x14:negativeBorderColor rgb="FFFF0000"/>
              <x14:axisColor rgb="FF000000"/>
            </x14:dataBar>
          </x14:cfRule>
          <xm:sqref>Y722:Y733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D102"/>
  <sheetViews>
    <sheetView showGridLines="0" zoomScaleNormal="100" workbookViewId="0">
      <pane ySplit="2" topLeftCell="A3" activePane="bottomLeft" state="frozen"/>
      <selection pane="bottomLeft"/>
    </sheetView>
  </sheetViews>
  <sheetFormatPr baseColWidth="10" defaultColWidth="11.42578125" defaultRowHeight="12.75" x14ac:dyDescent="0.25"/>
  <cols>
    <col min="1" max="1" width="46" style="4" customWidth="1"/>
    <col min="2" max="4" width="17.140625" style="5" customWidth="1"/>
    <col min="5" max="16384" width="11.42578125" style="4"/>
  </cols>
  <sheetData>
    <row r="1" spans="1:4" ht="21" x14ac:dyDescent="0.25">
      <c r="A1" s="64" t="s">
        <v>515</v>
      </c>
    </row>
    <row r="2" spans="1:4" ht="37.5" customHeight="1" x14ac:dyDescent="0.25">
      <c r="A2" s="18"/>
    </row>
    <row r="3" spans="1:4" ht="18.75" x14ac:dyDescent="0.25">
      <c r="A3" s="18"/>
    </row>
    <row r="4" spans="1:4" ht="15" customHeight="1" x14ac:dyDescent="0.25">
      <c r="A4" s="22" t="s">
        <v>516</v>
      </c>
    </row>
    <row r="5" spans="1:4" ht="16.5" customHeight="1" x14ac:dyDescent="0.25">
      <c r="A5" s="127" t="s">
        <v>99</v>
      </c>
      <c r="B5" s="131" t="s">
        <v>96</v>
      </c>
      <c r="C5" s="131" t="s">
        <v>97</v>
      </c>
      <c r="D5" s="132" t="s">
        <v>65</v>
      </c>
    </row>
    <row r="6" spans="1:4" ht="15" customHeight="1" x14ac:dyDescent="0.25">
      <c r="A6" s="88" t="s">
        <v>282</v>
      </c>
      <c r="B6" s="32">
        <v>3065</v>
      </c>
      <c r="C6" s="32">
        <v>9982</v>
      </c>
      <c r="D6" s="32">
        <v>13047</v>
      </c>
    </row>
    <row r="7" spans="1:4" ht="15" customHeight="1" x14ac:dyDescent="0.25">
      <c r="A7" s="88" t="s">
        <v>283</v>
      </c>
      <c r="B7" s="32">
        <v>3979</v>
      </c>
      <c r="C7" s="32">
        <v>13554</v>
      </c>
      <c r="D7" s="32">
        <v>17533</v>
      </c>
    </row>
    <row r="8" spans="1:4" ht="15" customHeight="1" x14ac:dyDescent="0.25">
      <c r="A8" s="76" t="s">
        <v>247</v>
      </c>
      <c r="B8" s="32">
        <v>1006</v>
      </c>
      <c r="C8" s="32">
        <v>23110</v>
      </c>
      <c r="D8" s="32">
        <v>24116</v>
      </c>
    </row>
    <row r="9" spans="1:4" ht="15" customHeight="1" x14ac:dyDescent="0.25">
      <c r="A9" s="92" t="s">
        <v>0</v>
      </c>
      <c r="B9" s="137">
        <v>8050</v>
      </c>
      <c r="C9" s="137">
        <v>46646</v>
      </c>
      <c r="D9" s="137">
        <v>54696</v>
      </c>
    </row>
    <row r="10" spans="1:4" ht="15" customHeight="1" x14ac:dyDescent="0.25">
      <c r="A10" s="114"/>
    </row>
    <row r="11" spans="1:4" ht="15.75" x14ac:dyDescent="0.25">
      <c r="A11" s="22" t="s">
        <v>517</v>
      </c>
    </row>
    <row r="12" spans="1:4" ht="27.75" x14ac:dyDescent="0.25">
      <c r="A12" s="127" t="s">
        <v>99</v>
      </c>
      <c r="B12" s="131" t="s">
        <v>96</v>
      </c>
      <c r="C12" s="131" t="s">
        <v>97</v>
      </c>
      <c r="D12" s="131" t="s">
        <v>263</v>
      </c>
    </row>
    <row r="13" spans="1:4" ht="15" customHeight="1" x14ac:dyDescent="0.25">
      <c r="A13" s="88" t="s">
        <v>282</v>
      </c>
      <c r="B13" s="98">
        <v>703</v>
      </c>
      <c r="C13" s="98">
        <v>3394</v>
      </c>
      <c r="D13" s="95">
        <v>4097</v>
      </c>
    </row>
    <row r="14" spans="1:4" ht="15" customHeight="1" x14ac:dyDescent="0.25">
      <c r="A14" s="88" t="s">
        <v>283</v>
      </c>
      <c r="B14" s="98">
        <v>794</v>
      </c>
      <c r="C14" s="98">
        <v>4693</v>
      </c>
      <c r="D14" s="95">
        <v>5487</v>
      </c>
    </row>
    <row r="15" spans="1:4" ht="15" customHeight="1" x14ac:dyDescent="0.25">
      <c r="A15" s="76" t="s">
        <v>247</v>
      </c>
      <c r="B15" s="98">
        <v>255</v>
      </c>
      <c r="C15" s="138">
        <v>7417</v>
      </c>
      <c r="D15" s="121">
        <v>7672</v>
      </c>
    </row>
    <row r="16" spans="1:4" ht="15" customHeight="1" x14ac:dyDescent="0.25">
      <c r="A16" s="92" t="s">
        <v>0</v>
      </c>
      <c r="B16" s="8">
        <v>1752</v>
      </c>
      <c r="C16" s="137">
        <v>15504</v>
      </c>
      <c r="D16" s="90">
        <v>17256</v>
      </c>
    </row>
    <row r="17" spans="1:4" ht="15" customHeight="1" x14ac:dyDescent="0.25">
      <c r="A17" s="100"/>
    </row>
    <row r="18" spans="1:4" ht="15.75" x14ac:dyDescent="0.25">
      <c r="A18" s="22" t="s">
        <v>518</v>
      </c>
    </row>
    <row r="19" spans="1:4" ht="18.75" customHeight="1" x14ac:dyDescent="0.25">
      <c r="A19" s="127" t="s">
        <v>372</v>
      </c>
      <c r="B19" s="131" t="s">
        <v>96</v>
      </c>
      <c r="C19" s="131" t="s">
        <v>97</v>
      </c>
      <c r="D19" s="132" t="s">
        <v>65</v>
      </c>
    </row>
    <row r="20" spans="1:4" ht="15" customHeight="1" x14ac:dyDescent="0.25">
      <c r="A20" s="84" t="s">
        <v>256</v>
      </c>
      <c r="B20" s="95">
        <v>3425</v>
      </c>
      <c r="C20" s="95">
        <v>23137</v>
      </c>
      <c r="D20" s="95">
        <v>26562</v>
      </c>
    </row>
    <row r="21" spans="1:4" ht="15" customHeight="1" x14ac:dyDescent="0.25">
      <c r="A21" s="84" t="s">
        <v>257</v>
      </c>
      <c r="B21" s="95">
        <v>4624</v>
      </c>
      <c r="C21" s="95">
        <v>23504</v>
      </c>
      <c r="D21" s="95">
        <v>28128</v>
      </c>
    </row>
    <row r="22" spans="1:4" ht="15" customHeight="1" x14ac:dyDescent="0.25">
      <c r="A22" s="84" t="s">
        <v>689</v>
      </c>
      <c r="B22" s="95">
        <v>1</v>
      </c>
      <c r="C22" s="95">
        <v>5</v>
      </c>
      <c r="D22" s="95">
        <v>6</v>
      </c>
    </row>
    <row r="23" spans="1:4" ht="15" customHeight="1" x14ac:dyDescent="0.25">
      <c r="A23" s="66" t="s">
        <v>567</v>
      </c>
      <c r="B23" s="8">
        <v>8050</v>
      </c>
      <c r="C23" s="8">
        <v>46646</v>
      </c>
      <c r="D23" s="8">
        <v>54696</v>
      </c>
    </row>
    <row r="24" spans="1:4" ht="15" customHeight="1" x14ac:dyDescent="0.25">
      <c r="A24" s="174"/>
      <c r="B24" s="6"/>
      <c r="C24" s="6"/>
      <c r="D24" s="6"/>
    </row>
    <row r="25" spans="1:4" ht="15" customHeight="1" x14ac:dyDescent="0.25">
      <c r="A25" s="22" t="s">
        <v>519</v>
      </c>
    </row>
    <row r="26" spans="1:4" ht="25.5" customHeight="1" x14ac:dyDescent="0.25">
      <c r="A26" s="127" t="s">
        <v>372</v>
      </c>
      <c r="B26" s="131" t="s">
        <v>96</v>
      </c>
      <c r="C26" s="131" t="s">
        <v>97</v>
      </c>
      <c r="D26" s="131" t="s">
        <v>263</v>
      </c>
    </row>
    <row r="27" spans="1:4" ht="15" customHeight="1" x14ac:dyDescent="0.25">
      <c r="A27" s="84" t="s">
        <v>140</v>
      </c>
      <c r="B27" s="39">
        <v>739</v>
      </c>
      <c r="C27" s="39">
        <v>7984</v>
      </c>
      <c r="D27" s="39">
        <v>8723</v>
      </c>
    </row>
    <row r="28" spans="1:4" ht="15" customHeight="1" x14ac:dyDescent="0.25">
      <c r="A28" s="84" t="s">
        <v>493</v>
      </c>
      <c r="B28" s="39">
        <v>1013</v>
      </c>
      <c r="C28" s="39">
        <v>7517</v>
      </c>
      <c r="D28" s="39">
        <v>8530</v>
      </c>
    </row>
    <row r="29" spans="1:4" ht="15" customHeight="1" x14ac:dyDescent="0.25">
      <c r="A29" s="84" t="s">
        <v>690</v>
      </c>
      <c r="B29" s="39">
        <v>0</v>
      </c>
      <c r="C29" s="39">
        <v>3</v>
      </c>
      <c r="D29" s="39">
        <v>3</v>
      </c>
    </row>
    <row r="30" spans="1:4" ht="15" customHeight="1" x14ac:dyDescent="0.25">
      <c r="A30" s="66" t="s">
        <v>100</v>
      </c>
      <c r="B30" s="29">
        <v>1752</v>
      </c>
      <c r="C30" s="29">
        <v>15504</v>
      </c>
      <c r="D30" s="29">
        <v>17256</v>
      </c>
    </row>
    <row r="31" spans="1:4" ht="15" customHeight="1" x14ac:dyDescent="0.25">
      <c r="B31" s="6"/>
      <c r="C31" s="6"/>
      <c r="D31" s="6"/>
    </row>
    <row r="32" spans="1:4" ht="15" customHeight="1" x14ac:dyDescent="0.25">
      <c r="A32" s="22" t="s">
        <v>520</v>
      </c>
    </row>
    <row r="33" spans="1:4" ht="25.5" customHeight="1" x14ac:dyDescent="0.25">
      <c r="A33" s="126" t="s">
        <v>93</v>
      </c>
      <c r="B33" s="131" t="s">
        <v>96</v>
      </c>
      <c r="C33" s="131" t="s">
        <v>97</v>
      </c>
      <c r="D33" s="132" t="s">
        <v>65</v>
      </c>
    </row>
    <row r="34" spans="1:4" ht="15" customHeight="1" x14ac:dyDescent="0.25">
      <c r="A34" s="84" t="s">
        <v>36</v>
      </c>
      <c r="B34" s="45">
        <v>0</v>
      </c>
      <c r="C34" s="45">
        <v>0</v>
      </c>
      <c r="D34" s="45">
        <v>0</v>
      </c>
    </row>
    <row r="35" spans="1:4" ht="15" customHeight="1" x14ac:dyDescent="0.25">
      <c r="A35" s="75" t="s">
        <v>37</v>
      </c>
      <c r="B35" s="45">
        <v>226</v>
      </c>
      <c r="C35" s="45">
        <v>3300</v>
      </c>
      <c r="D35" s="45">
        <v>3526</v>
      </c>
    </row>
    <row r="36" spans="1:4" ht="15" customHeight="1" x14ac:dyDescent="0.25">
      <c r="A36" s="75" t="s">
        <v>38</v>
      </c>
      <c r="B36" s="45">
        <v>2047</v>
      </c>
      <c r="C36" s="45">
        <v>9479</v>
      </c>
      <c r="D36" s="45">
        <v>11526</v>
      </c>
    </row>
    <row r="37" spans="1:4" ht="15" customHeight="1" x14ac:dyDescent="0.25">
      <c r="A37" s="75" t="s">
        <v>39</v>
      </c>
      <c r="B37" s="45">
        <v>2395</v>
      </c>
      <c r="C37" s="45">
        <v>10596</v>
      </c>
      <c r="D37" s="45">
        <v>12991</v>
      </c>
    </row>
    <row r="38" spans="1:4" ht="15" customHeight="1" x14ac:dyDescent="0.25">
      <c r="A38" s="75" t="s">
        <v>40</v>
      </c>
      <c r="B38" s="45">
        <v>1695</v>
      </c>
      <c r="C38" s="45">
        <v>9770</v>
      </c>
      <c r="D38" s="45">
        <v>11465</v>
      </c>
    </row>
    <row r="39" spans="1:4" ht="15" customHeight="1" x14ac:dyDescent="0.25">
      <c r="A39" s="75" t="s">
        <v>1</v>
      </c>
      <c r="B39" s="45">
        <v>1687</v>
      </c>
      <c r="C39" s="45">
        <v>13496</v>
      </c>
      <c r="D39" s="45">
        <v>15183</v>
      </c>
    </row>
    <row r="40" spans="1:4" ht="15" customHeight="1" x14ac:dyDescent="0.25">
      <c r="A40" s="75" t="s">
        <v>66</v>
      </c>
      <c r="B40" s="45">
        <v>0</v>
      </c>
      <c r="C40" s="45">
        <v>5</v>
      </c>
      <c r="D40" s="45">
        <v>5</v>
      </c>
    </row>
    <row r="41" spans="1:4" ht="15" customHeight="1" x14ac:dyDescent="0.25">
      <c r="A41" s="80" t="s">
        <v>0</v>
      </c>
      <c r="B41" s="137">
        <v>8050</v>
      </c>
      <c r="C41" s="137">
        <v>46646</v>
      </c>
      <c r="D41" s="137">
        <v>54696</v>
      </c>
    </row>
    <row r="42" spans="1:4" ht="15" customHeight="1" x14ac:dyDescent="0.25">
      <c r="A42" s="228" t="s">
        <v>110</v>
      </c>
      <c r="B42" s="130">
        <v>34.414037267080744</v>
      </c>
      <c r="C42" s="130">
        <v>35.555541261979805</v>
      </c>
      <c r="D42" s="130">
        <v>35.387522627123296</v>
      </c>
    </row>
    <row r="43" spans="1:4" ht="15" customHeight="1" x14ac:dyDescent="0.25"/>
    <row r="44" spans="1:4" ht="15" customHeight="1" x14ac:dyDescent="0.25">
      <c r="A44" s="22" t="s">
        <v>521</v>
      </c>
    </row>
    <row r="45" spans="1:4" ht="15" customHeight="1" x14ac:dyDescent="0.25">
      <c r="A45" s="126" t="s">
        <v>54</v>
      </c>
      <c r="B45" s="131" t="s">
        <v>96</v>
      </c>
      <c r="C45" s="131" t="s">
        <v>97</v>
      </c>
      <c r="D45" s="132" t="s">
        <v>65</v>
      </c>
    </row>
    <row r="46" spans="1:4" ht="15" customHeight="1" x14ac:dyDescent="0.25">
      <c r="A46" s="74" t="s">
        <v>45</v>
      </c>
      <c r="B46" s="32">
        <v>81</v>
      </c>
      <c r="C46" s="32">
        <v>13023</v>
      </c>
      <c r="D46" s="32">
        <v>13104</v>
      </c>
    </row>
    <row r="47" spans="1:4" ht="15" customHeight="1" x14ac:dyDescent="0.25">
      <c r="A47" s="74" t="s">
        <v>46</v>
      </c>
      <c r="B47" s="32">
        <v>338</v>
      </c>
      <c r="C47" s="32">
        <v>445</v>
      </c>
      <c r="D47" s="32">
        <v>783</v>
      </c>
    </row>
    <row r="48" spans="1:4" ht="15" customHeight="1" x14ac:dyDescent="0.25">
      <c r="A48" s="74" t="s">
        <v>47</v>
      </c>
      <c r="B48" s="32">
        <v>145</v>
      </c>
      <c r="C48" s="32">
        <v>1212</v>
      </c>
      <c r="D48" s="32">
        <v>1357</v>
      </c>
    </row>
    <row r="49" spans="1:4" ht="15" customHeight="1" x14ac:dyDescent="0.25">
      <c r="A49" s="74" t="s">
        <v>48</v>
      </c>
      <c r="B49" s="32">
        <v>2567</v>
      </c>
      <c r="C49" s="32">
        <v>3108</v>
      </c>
      <c r="D49" s="32">
        <v>5675</v>
      </c>
    </row>
    <row r="50" spans="1:4" ht="15" customHeight="1" x14ac:dyDescent="0.25">
      <c r="A50" s="74" t="s">
        <v>49</v>
      </c>
      <c r="B50" s="32">
        <v>1076</v>
      </c>
      <c r="C50" s="32">
        <v>6640</v>
      </c>
      <c r="D50" s="32">
        <v>7716</v>
      </c>
    </row>
    <row r="51" spans="1:4" ht="15" customHeight="1" x14ac:dyDescent="0.25">
      <c r="A51" s="74" t="s">
        <v>7</v>
      </c>
      <c r="B51" s="32">
        <v>246</v>
      </c>
      <c r="C51" s="32">
        <v>3480</v>
      </c>
      <c r="D51" s="32">
        <v>3726</v>
      </c>
    </row>
    <row r="52" spans="1:4" ht="15" customHeight="1" x14ac:dyDescent="0.25">
      <c r="A52" s="74" t="s">
        <v>50</v>
      </c>
      <c r="B52" s="32">
        <v>444</v>
      </c>
      <c r="C52" s="32">
        <v>8477</v>
      </c>
      <c r="D52" s="32">
        <v>8921</v>
      </c>
    </row>
    <row r="53" spans="1:4" ht="15" customHeight="1" x14ac:dyDescent="0.25">
      <c r="A53" s="74" t="s">
        <v>51</v>
      </c>
      <c r="B53" s="32">
        <v>719</v>
      </c>
      <c r="C53" s="32">
        <v>1374</v>
      </c>
      <c r="D53" s="32">
        <v>2093</v>
      </c>
    </row>
    <row r="54" spans="1:4" ht="15" customHeight="1" x14ac:dyDescent="0.25">
      <c r="A54" s="74" t="s">
        <v>52</v>
      </c>
      <c r="B54" s="32">
        <v>610</v>
      </c>
      <c r="C54" s="32">
        <v>3264</v>
      </c>
      <c r="D54" s="32">
        <v>3874</v>
      </c>
    </row>
    <row r="55" spans="1:4" ht="15" customHeight="1" x14ac:dyDescent="0.25">
      <c r="A55" s="74" t="s">
        <v>53</v>
      </c>
      <c r="B55" s="32">
        <v>1824</v>
      </c>
      <c r="C55" s="32">
        <v>5623</v>
      </c>
      <c r="D55" s="32">
        <v>7447</v>
      </c>
    </row>
    <row r="56" spans="1:4" ht="15" customHeight="1" x14ac:dyDescent="0.25">
      <c r="A56" s="92" t="s">
        <v>0</v>
      </c>
      <c r="B56" s="90">
        <v>8050</v>
      </c>
      <c r="C56" s="90">
        <v>46646</v>
      </c>
      <c r="D56" s="90">
        <v>54696</v>
      </c>
    </row>
    <row r="57" spans="1:4" ht="15" customHeight="1" x14ac:dyDescent="0.25"/>
    <row r="58" spans="1:4" ht="15" customHeight="1" x14ac:dyDescent="0.25">
      <c r="A58" s="22" t="s">
        <v>568</v>
      </c>
    </row>
    <row r="59" spans="1:4" ht="25.5" customHeight="1" x14ac:dyDescent="0.25">
      <c r="A59" s="126" t="s">
        <v>54</v>
      </c>
      <c r="B59" s="131" t="s">
        <v>96</v>
      </c>
      <c r="C59" s="131" t="s">
        <v>97</v>
      </c>
      <c r="D59" s="132" t="s">
        <v>65</v>
      </c>
    </row>
    <row r="60" spans="1:4" ht="15" customHeight="1" x14ac:dyDescent="0.25">
      <c r="A60" s="74" t="s">
        <v>552</v>
      </c>
      <c r="B60" s="32">
        <v>327</v>
      </c>
      <c r="C60" s="32">
        <v>17210</v>
      </c>
      <c r="D60" s="32">
        <v>17537</v>
      </c>
    </row>
    <row r="61" spans="1:4" ht="15" customHeight="1" x14ac:dyDescent="0.25">
      <c r="A61" s="74" t="s">
        <v>553</v>
      </c>
      <c r="B61" s="32">
        <v>338</v>
      </c>
      <c r="C61" s="32">
        <v>483</v>
      </c>
      <c r="D61" s="32">
        <v>821</v>
      </c>
    </row>
    <row r="62" spans="1:4" ht="15" customHeight="1" x14ac:dyDescent="0.25">
      <c r="A62" s="74" t="s">
        <v>554</v>
      </c>
      <c r="B62" s="32">
        <v>958</v>
      </c>
      <c r="C62" s="32">
        <v>2287</v>
      </c>
      <c r="D62" s="32">
        <v>3245</v>
      </c>
    </row>
    <row r="63" spans="1:4" ht="15" customHeight="1" x14ac:dyDescent="0.25">
      <c r="A63" s="74" t="s">
        <v>555</v>
      </c>
      <c r="B63" s="32">
        <v>2764</v>
      </c>
      <c r="C63" s="32">
        <v>3454</v>
      </c>
      <c r="D63" s="32">
        <v>6218</v>
      </c>
    </row>
    <row r="64" spans="1:4" ht="15" customHeight="1" x14ac:dyDescent="0.25">
      <c r="A64" s="74" t="s">
        <v>556</v>
      </c>
      <c r="B64" s="32">
        <v>882</v>
      </c>
      <c r="C64" s="32">
        <v>5364</v>
      </c>
      <c r="D64" s="32">
        <v>6246</v>
      </c>
    </row>
    <row r="65" spans="1:4" ht="15" customHeight="1" x14ac:dyDescent="0.25">
      <c r="A65" s="74" t="s">
        <v>50</v>
      </c>
      <c r="B65" s="32">
        <v>427</v>
      </c>
      <c r="C65" s="32">
        <v>8170</v>
      </c>
      <c r="D65" s="32">
        <v>8597</v>
      </c>
    </row>
    <row r="66" spans="1:4" ht="15" customHeight="1" x14ac:dyDescent="0.25">
      <c r="A66" s="74" t="s">
        <v>557</v>
      </c>
      <c r="B66" s="32">
        <v>1473</v>
      </c>
      <c r="C66" s="32">
        <v>4323</v>
      </c>
      <c r="D66" s="32">
        <v>5796</v>
      </c>
    </row>
    <row r="67" spans="1:4" ht="15" customHeight="1" x14ac:dyDescent="0.25">
      <c r="A67" s="74" t="s">
        <v>558</v>
      </c>
      <c r="B67" s="32">
        <v>626</v>
      </c>
      <c r="C67" s="32">
        <v>3501</v>
      </c>
      <c r="D67" s="32">
        <v>4127</v>
      </c>
    </row>
    <row r="68" spans="1:4" ht="15" customHeight="1" x14ac:dyDescent="0.25">
      <c r="A68" s="74" t="s">
        <v>559</v>
      </c>
      <c r="B68" s="32">
        <v>17</v>
      </c>
      <c r="C68" s="32">
        <v>739</v>
      </c>
      <c r="D68" s="32">
        <v>756</v>
      </c>
    </row>
    <row r="69" spans="1:4" ht="15" customHeight="1" x14ac:dyDescent="0.25">
      <c r="A69" s="74" t="s">
        <v>560</v>
      </c>
      <c r="B69" s="32">
        <v>238</v>
      </c>
      <c r="C69" s="32">
        <v>1115</v>
      </c>
      <c r="D69" s="32">
        <v>1353</v>
      </c>
    </row>
    <row r="70" spans="1:4" ht="15" customHeight="1" x14ac:dyDescent="0.25">
      <c r="A70" s="92" t="s">
        <v>0</v>
      </c>
      <c r="B70" s="90">
        <v>8050</v>
      </c>
      <c r="C70" s="90">
        <v>46646</v>
      </c>
      <c r="D70" s="90">
        <v>54696</v>
      </c>
    </row>
    <row r="71" spans="1:4" ht="15" customHeight="1" x14ac:dyDescent="0.25">
      <c r="B71" s="4"/>
      <c r="C71" s="4"/>
      <c r="D71" s="4"/>
    </row>
    <row r="72" spans="1:4" ht="15" customHeight="1" x14ac:dyDescent="0.25">
      <c r="A72" s="22" t="s">
        <v>522</v>
      </c>
    </row>
    <row r="73" spans="1:4" ht="25.5" customHeight="1" x14ac:dyDescent="0.25">
      <c r="A73" s="126" t="s">
        <v>56</v>
      </c>
      <c r="B73" s="131" t="s">
        <v>96</v>
      </c>
      <c r="C73" s="131" t="s">
        <v>97</v>
      </c>
      <c r="D73" s="132" t="s">
        <v>65</v>
      </c>
    </row>
    <row r="74" spans="1:4" ht="15" customHeight="1" x14ac:dyDescent="0.25">
      <c r="A74" s="74" t="s">
        <v>88</v>
      </c>
      <c r="B74" s="39">
        <v>7522</v>
      </c>
      <c r="C74" s="39">
        <v>13893</v>
      </c>
      <c r="D74" s="39">
        <v>21415</v>
      </c>
    </row>
    <row r="75" spans="1:4" ht="15" customHeight="1" x14ac:dyDescent="0.25">
      <c r="A75" s="74" t="s">
        <v>89</v>
      </c>
      <c r="B75" s="39">
        <v>481</v>
      </c>
      <c r="C75" s="39">
        <v>10111</v>
      </c>
      <c r="D75" s="39">
        <v>10592</v>
      </c>
    </row>
    <row r="76" spans="1:4" ht="15" customHeight="1" x14ac:dyDescent="0.25">
      <c r="A76" s="74" t="s">
        <v>90</v>
      </c>
      <c r="B76" s="39">
        <v>29</v>
      </c>
      <c r="C76" s="39">
        <v>7672</v>
      </c>
      <c r="D76" s="39">
        <v>7701</v>
      </c>
    </row>
    <row r="77" spans="1:4" ht="15" customHeight="1" x14ac:dyDescent="0.25">
      <c r="A77" s="74" t="s">
        <v>91</v>
      </c>
      <c r="B77" s="39">
        <v>0</v>
      </c>
      <c r="C77" s="39">
        <v>13807</v>
      </c>
      <c r="D77" s="39">
        <v>13807</v>
      </c>
    </row>
    <row r="78" spans="1:4" ht="15" customHeight="1" x14ac:dyDescent="0.25">
      <c r="A78" s="74" t="s">
        <v>92</v>
      </c>
      <c r="B78" s="39">
        <v>18</v>
      </c>
      <c r="C78" s="39">
        <v>1163</v>
      </c>
      <c r="D78" s="39">
        <v>1181</v>
      </c>
    </row>
    <row r="79" spans="1:4" ht="15" customHeight="1" x14ac:dyDescent="0.25">
      <c r="A79" s="92" t="s">
        <v>0</v>
      </c>
      <c r="B79" s="8">
        <v>8050</v>
      </c>
      <c r="C79" s="8">
        <v>46646</v>
      </c>
      <c r="D79" s="29">
        <v>54696</v>
      </c>
    </row>
    <row r="80" spans="1:4" ht="15" customHeight="1" x14ac:dyDescent="0.25"/>
    <row r="81" spans="1:4" ht="15" customHeight="1" x14ac:dyDescent="0.25">
      <c r="A81" s="22" t="s">
        <v>523</v>
      </c>
    </row>
    <row r="82" spans="1:4" ht="25.5" customHeight="1" x14ac:dyDescent="0.25">
      <c r="A82" s="126" t="s">
        <v>44</v>
      </c>
      <c r="B82" s="133" t="s">
        <v>96</v>
      </c>
      <c r="C82" s="133" t="s">
        <v>97</v>
      </c>
      <c r="D82" s="132" t="s">
        <v>65</v>
      </c>
    </row>
    <row r="83" spans="1:4" ht="15" customHeight="1" x14ac:dyDescent="0.25">
      <c r="A83" s="78" t="s">
        <v>229</v>
      </c>
      <c r="B83" s="20">
        <v>53</v>
      </c>
      <c r="C83" s="20">
        <v>184</v>
      </c>
      <c r="D83" s="20">
        <v>237</v>
      </c>
    </row>
    <row r="84" spans="1:4" ht="15" customHeight="1" x14ac:dyDescent="0.25">
      <c r="A84" s="78" t="s">
        <v>230</v>
      </c>
      <c r="B84" s="20">
        <v>24</v>
      </c>
      <c r="C84" s="20">
        <v>24</v>
      </c>
      <c r="D84" s="20">
        <v>48</v>
      </c>
    </row>
    <row r="85" spans="1:4" ht="15" customHeight="1" x14ac:dyDescent="0.25">
      <c r="A85" s="78" t="s">
        <v>231</v>
      </c>
      <c r="B85" s="20">
        <v>177</v>
      </c>
      <c r="C85" s="20">
        <v>418</v>
      </c>
      <c r="D85" s="20">
        <v>595</v>
      </c>
    </row>
    <row r="86" spans="1:4" ht="15" customHeight="1" x14ac:dyDescent="0.25">
      <c r="A86" s="78" t="s">
        <v>232</v>
      </c>
      <c r="B86" s="24">
        <v>16</v>
      </c>
      <c r="C86" s="24">
        <v>34</v>
      </c>
      <c r="D86" s="24">
        <v>50</v>
      </c>
    </row>
    <row r="87" spans="1:4" ht="15" customHeight="1" x14ac:dyDescent="0.25">
      <c r="A87" s="78" t="s">
        <v>233</v>
      </c>
      <c r="B87" s="20">
        <v>118</v>
      </c>
      <c r="C87" s="20">
        <v>414</v>
      </c>
      <c r="D87" s="20">
        <v>532</v>
      </c>
    </row>
    <row r="88" spans="1:4" ht="15" customHeight="1" x14ac:dyDescent="0.25">
      <c r="A88" s="78" t="s">
        <v>234</v>
      </c>
      <c r="B88" s="20">
        <v>1121</v>
      </c>
      <c r="C88" s="20">
        <v>3556</v>
      </c>
      <c r="D88" s="20">
        <v>4677</v>
      </c>
    </row>
    <row r="89" spans="1:4" ht="15" customHeight="1" x14ac:dyDescent="0.25">
      <c r="A89" s="78" t="s">
        <v>235</v>
      </c>
      <c r="B89" s="20">
        <v>4417</v>
      </c>
      <c r="C89" s="20">
        <v>34121</v>
      </c>
      <c r="D89" s="20">
        <v>38538</v>
      </c>
    </row>
    <row r="90" spans="1:4" ht="15" customHeight="1" x14ac:dyDescent="0.25">
      <c r="A90" s="88" t="s">
        <v>325</v>
      </c>
      <c r="B90" s="7">
        <v>17</v>
      </c>
      <c r="C90" s="7">
        <v>73</v>
      </c>
      <c r="D90" s="7">
        <v>90</v>
      </c>
    </row>
    <row r="91" spans="1:4" ht="15" customHeight="1" x14ac:dyDescent="0.25">
      <c r="A91" s="74" t="s">
        <v>236</v>
      </c>
      <c r="B91" s="24">
        <v>443</v>
      </c>
      <c r="C91" s="20">
        <v>820</v>
      </c>
      <c r="D91" s="20">
        <v>1263</v>
      </c>
    </row>
    <row r="92" spans="1:4" ht="15" customHeight="1" x14ac:dyDescent="0.25">
      <c r="A92" s="74" t="s">
        <v>293</v>
      </c>
      <c r="B92" s="20">
        <v>104</v>
      </c>
      <c r="C92" s="20">
        <v>297</v>
      </c>
      <c r="D92" s="20">
        <v>401</v>
      </c>
    </row>
    <row r="93" spans="1:4" ht="15" customHeight="1" x14ac:dyDescent="0.25">
      <c r="A93" s="74" t="s">
        <v>242</v>
      </c>
      <c r="B93" s="20">
        <v>917</v>
      </c>
      <c r="C93" s="20">
        <v>2828</v>
      </c>
      <c r="D93" s="20">
        <v>3745</v>
      </c>
    </row>
    <row r="94" spans="1:4" ht="15" customHeight="1" x14ac:dyDescent="0.25">
      <c r="A94" s="74" t="s">
        <v>237</v>
      </c>
      <c r="B94" s="20">
        <v>385</v>
      </c>
      <c r="C94" s="20">
        <v>2164</v>
      </c>
      <c r="D94" s="20">
        <v>2549</v>
      </c>
    </row>
    <row r="95" spans="1:4" ht="15" customHeight="1" x14ac:dyDescent="0.25">
      <c r="A95" s="74" t="s">
        <v>238</v>
      </c>
      <c r="B95" s="20">
        <v>217</v>
      </c>
      <c r="C95" s="20">
        <v>812</v>
      </c>
      <c r="D95" s="20">
        <v>1029</v>
      </c>
    </row>
    <row r="96" spans="1:4" ht="15" customHeight="1" x14ac:dyDescent="0.25">
      <c r="A96" s="74" t="s">
        <v>239</v>
      </c>
      <c r="B96" s="20">
        <v>21</v>
      </c>
      <c r="C96" s="20">
        <v>803</v>
      </c>
      <c r="D96" s="20">
        <v>824</v>
      </c>
    </row>
    <row r="97" spans="1:4" ht="15" customHeight="1" x14ac:dyDescent="0.25">
      <c r="A97" s="74" t="s">
        <v>240</v>
      </c>
      <c r="B97" s="20">
        <v>0</v>
      </c>
      <c r="C97" s="20">
        <v>0</v>
      </c>
      <c r="D97" s="20">
        <v>0</v>
      </c>
    </row>
    <row r="98" spans="1:4" ht="15" customHeight="1" x14ac:dyDescent="0.25">
      <c r="A98" s="74" t="s">
        <v>241</v>
      </c>
      <c r="B98" s="20">
        <v>20</v>
      </c>
      <c r="C98" s="20">
        <v>98</v>
      </c>
      <c r="D98" s="20">
        <v>118</v>
      </c>
    </row>
    <row r="99" spans="1:4" ht="15" customHeight="1" x14ac:dyDescent="0.25">
      <c r="A99" s="79" t="s">
        <v>0</v>
      </c>
      <c r="B99" s="21">
        <v>8050</v>
      </c>
      <c r="C99" s="21">
        <v>46646</v>
      </c>
      <c r="D99" s="21">
        <v>54696</v>
      </c>
    </row>
    <row r="100" spans="1:4" ht="15" customHeight="1" x14ac:dyDescent="0.25">
      <c r="A100" s="5"/>
    </row>
    <row r="101" spans="1:4" ht="15" x14ac:dyDescent="0.25">
      <c r="A101" s="83" t="s">
        <v>254</v>
      </c>
    </row>
    <row r="102" spans="1:4" ht="15" x14ac:dyDescent="0.25">
      <c r="A102" s="41" t="s">
        <v>243</v>
      </c>
    </row>
  </sheetData>
  <hyperlinks>
    <hyperlink ref="A102" location="Índice!C1" display="Volver al ïndice" xr:uid="{00000000-0004-0000-0500-000000000000}"/>
  </hyperlinks>
  <pageMargins left="0.7" right="0.7" top="0.75" bottom="0.75" header="0.3" footer="0.3"/>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Y99"/>
  <sheetViews>
    <sheetView showGridLines="0" zoomScale="90" zoomScaleNormal="90" workbookViewId="0">
      <pane xSplit="1" topLeftCell="B1" activePane="topRight" state="frozen"/>
      <selection pane="topRight" activeCell="A2" sqref="A2"/>
    </sheetView>
  </sheetViews>
  <sheetFormatPr baseColWidth="10" defaultColWidth="10.85546875" defaultRowHeight="15" x14ac:dyDescent="0.25"/>
  <cols>
    <col min="1" max="1" width="23" style="4" customWidth="1"/>
    <col min="2" max="12" width="8.7109375" style="4" customWidth="1"/>
    <col min="13" max="20" width="8.7109375" style="3" customWidth="1"/>
    <col min="21" max="24" width="12.42578125" style="27" customWidth="1"/>
    <col min="25" max="25" width="13.5703125" style="3" customWidth="1"/>
    <col min="26" max="16384" width="10.85546875" style="3"/>
  </cols>
  <sheetData>
    <row r="1" spans="1:25" ht="18.75" x14ac:dyDescent="0.25">
      <c r="A1" s="33" t="s">
        <v>524</v>
      </c>
      <c r="B1" s="33"/>
      <c r="C1" s="33"/>
    </row>
    <row r="2" spans="1:25" ht="37.5" customHeight="1" x14ac:dyDescent="0.25">
      <c r="A2" s="18"/>
      <c r="B2" s="18"/>
      <c r="C2" s="18"/>
    </row>
    <row r="3" spans="1:25" ht="18.75" x14ac:dyDescent="0.25">
      <c r="A3" s="18"/>
      <c r="B3" s="18"/>
      <c r="C3" s="18"/>
    </row>
    <row r="4" spans="1:25" ht="15.75" x14ac:dyDescent="0.25">
      <c r="A4" s="22" t="s">
        <v>248</v>
      </c>
      <c r="B4" s="22"/>
      <c r="C4" s="22"/>
    </row>
    <row r="5" spans="1:25" ht="40.5" customHeight="1" x14ac:dyDescent="0.25">
      <c r="A5" s="104" t="s">
        <v>99</v>
      </c>
      <c r="B5" s="105">
        <v>2007</v>
      </c>
      <c r="C5" s="105">
        <v>2008</v>
      </c>
      <c r="D5" s="105">
        <v>2009</v>
      </c>
      <c r="E5" s="105">
        <v>2010</v>
      </c>
      <c r="F5" s="105">
        <v>2011</v>
      </c>
      <c r="G5" s="105">
        <v>2012</v>
      </c>
      <c r="H5" s="105">
        <v>2013</v>
      </c>
      <c r="I5" s="105">
        <v>2014</v>
      </c>
      <c r="J5" s="105">
        <v>2015</v>
      </c>
      <c r="K5" s="105">
        <v>2016</v>
      </c>
      <c r="L5" s="105">
        <v>2017</v>
      </c>
      <c r="M5" s="132">
        <v>2018</v>
      </c>
      <c r="N5" s="105">
        <v>2019</v>
      </c>
      <c r="O5" s="105">
        <v>2020</v>
      </c>
      <c r="P5" s="105">
        <v>2021</v>
      </c>
      <c r="Q5" s="105">
        <v>2022</v>
      </c>
      <c r="R5" s="105">
        <v>2023</v>
      </c>
      <c r="S5" s="105">
        <v>2024</v>
      </c>
      <c r="T5" s="105">
        <v>2025</v>
      </c>
      <c r="U5" s="106" t="s">
        <v>546</v>
      </c>
      <c r="V5" s="106" t="s">
        <v>547</v>
      </c>
      <c r="W5" s="106" t="s">
        <v>548</v>
      </c>
      <c r="X5" s="106" t="s">
        <v>549</v>
      </c>
      <c r="Y5" s="216" t="s">
        <v>563</v>
      </c>
    </row>
    <row r="6" spans="1:25" x14ac:dyDescent="0.25">
      <c r="A6" s="88" t="s">
        <v>282</v>
      </c>
      <c r="B6" s="93">
        <v>8640</v>
      </c>
      <c r="C6" s="93">
        <v>10810</v>
      </c>
      <c r="D6" s="93">
        <v>10714</v>
      </c>
      <c r="E6" s="93">
        <v>12675</v>
      </c>
      <c r="F6" s="93">
        <v>11317</v>
      </c>
      <c r="G6" s="93">
        <v>14249</v>
      </c>
      <c r="H6" s="93">
        <v>14823</v>
      </c>
      <c r="I6" s="93">
        <v>14867</v>
      </c>
      <c r="J6" s="93">
        <v>13807</v>
      </c>
      <c r="K6" s="93">
        <v>13807</v>
      </c>
      <c r="L6" s="93">
        <v>13148</v>
      </c>
      <c r="M6" s="93">
        <v>12402</v>
      </c>
      <c r="N6" s="93">
        <v>12561</v>
      </c>
      <c r="O6" s="93">
        <v>10521</v>
      </c>
      <c r="P6" s="93">
        <v>12304</v>
      </c>
      <c r="Q6" s="93">
        <v>12418</v>
      </c>
      <c r="R6" s="93">
        <v>11828</v>
      </c>
      <c r="S6" s="93">
        <v>12121</v>
      </c>
      <c r="T6" s="93">
        <v>13047</v>
      </c>
      <c r="U6" s="149">
        <f>(T6-K6)/K6</f>
        <v>-5.5044542623307019E-2</v>
      </c>
      <c r="V6" s="149">
        <f>(T6-P6)/P6</f>
        <v>6.0386866059817947E-2</v>
      </c>
      <c r="W6" s="149">
        <f>(T6-S6)/S6</f>
        <v>7.6396336935896383E-2</v>
      </c>
      <c r="X6" s="218">
        <f>T6/T$10</f>
        <v>0.23853663887670032</v>
      </c>
      <c r="Y6" s="219">
        <f>T6-S6</f>
        <v>926</v>
      </c>
    </row>
    <row r="7" spans="1:25" x14ac:dyDescent="0.25">
      <c r="A7" s="88" t="s">
        <v>283</v>
      </c>
      <c r="B7" s="93">
        <v>6602</v>
      </c>
      <c r="C7" s="93">
        <v>7183</v>
      </c>
      <c r="D7" s="93">
        <v>8183</v>
      </c>
      <c r="E7" s="93">
        <v>8838</v>
      </c>
      <c r="F7" s="93">
        <v>8715</v>
      </c>
      <c r="G7" s="93">
        <v>8944</v>
      </c>
      <c r="H7" s="93">
        <v>9359</v>
      </c>
      <c r="I7" s="93">
        <v>10327</v>
      </c>
      <c r="J7" s="93">
        <v>10571</v>
      </c>
      <c r="K7" s="93">
        <v>11832</v>
      </c>
      <c r="L7" s="93">
        <v>11114</v>
      </c>
      <c r="M7" s="93">
        <v>11016</v>
      </c>
      <c r="N7" s="93">
        <v>13457</v>
      </c>
      <c r="O7" s="93">
        <v>13937</v>
      </c>
      <c r="P7" s="93">
        <v>15330</v>
      </c>
      <c r="Q7" s="93">
        <v>15647</v>
      </c>
      <c r="R7" s="93">
        <v>16526</v>
      </c>
      <c r="S7" s="93">
        <v>16947</v>
      </c>
      <c r="T7" s="93">
        <v>17533</v>
      </c>
      <c r="U7" s="149">
        <f>(T7-K7)/K7</f>
        <v>0.48182893847194053</v>
      </c>
      <c r="V7" s="149">
        <f>(T7-P7)/P7</f>
        <v>0.14370515329419439</v>
      </c>
      <c r="W7" s="149">
        <f>(T7-S7)/S7</f>
        <v>3.4578391455714876E-2</v>
      </c>
      <c r="X7" s="218">
        <f t="shared" ref="X7:X10" si="0">T7/T$10</f>
        <v>0.32055360538247768</v>
      </c>
      <c r="Y7" s="219">
        <f>T7-S7</f>
        <v>586</v>
      </c>
    </row>
    <row r="8" spans="1:25" x14ac:dyDescent="0.25">
      <c r="A8" s="76" t="s">
        <v>247</v>
      </c>
      <c r="B8" s="77">
        <v>5451</v>
      </c>
      <c r="C8" s="77">
        <v>8081</v>
      </c>
      <c r="D8" s="77">
        <v>9460</v>
      </c>
      <c r="E8" s="77">
        <v>11885</v>
      </c>
      <c r="F8" s="77">
        <v>14448</v>
      </c>
      <c r="G8" s="77">
        <v>18008</v>
      </c>
      <c r="H8" s="77">
        <v>22544</v>
      </c>
      <c r="I8" s="77">
        <v>21612</v>
      </c>
      <c r="J8" s="77">
        <v>20738</v>
      </c>
      <c r="K8" s="77">
        <v>21945</v>
      </c>
      <c r="L8" s="77">
        <v>24436</v>
      </c>
      <c r="M8" s="77">
        <v>23457</v>
      </c>
      <c r="N8" s="77">
        <v>22373</v>
      </c>
      <c r="O8" s="77">
        <v>21003</v>
      </c>
      <c r="P8" s="77">
        <v>25326</v>
      </c>
      <c r="Q8" s="77">
        <v>26258</v>
      </c>
      <c r="R8" s="77">
        <v>23804</v>
      </c>
      <c r="S8" s="77">
        <v>22937</v>
      </c>
      <c r="T8" s="77">
        <v>24116</v>
      </c>
      <c r="U8" s="149">
        <f>(T8-K8)/K8</f>
        <v>9.8929141034404186E-2</v>
      </c>
      <c r="V8" s="149">
        <f>(T8-P8)/P8</f>
        <v>-4.777698807549554E-2</v>
      </c>
      <c r="W8" s="149">
        <f>(T8-S8)/S8</f>
        <v>5.1401665431399048E-2</v>
      </c>
      <c r="X8" s="218">
        <f t="shared" si="0"/>
        <v>0.44090975574082197</v>
      </c>
      <c r="Y8" s="219">
        <f>T8-S8</f>
        <v>1179</v>
      </c>
    </row>
    <row r="9" spans="1:25" x14ac:dyDescent="0.25">
      <c r="A9" s="76" t="s">
        <v>295</v>
      </c>
      <c r="B9" s="77">
        <v>0</v>
      </c>
      <c r="C9" s="77">
        <v>0</v>
      </c>
      <c r="D9" s="77">
        <v>0</v>
      </c>
      <c r="E9" s="77">
        <v>0</v>
      </c>
      <c r="F9" s="77">
        <v>0</v>
      </c>
      <c r="G9" s="77">
        <v>0</v>
      </c>
      <c r="H9" s="77">
        <v>0</v>
      </c>
      <c r="I9" s="77">
        <v>0</v>
      </c>
      <c r="J9" s="77">
        <v>0</v>
      </c>
      <c r="K9" s="77">
        <v>0</v>
      </c>
      <c r="L9" s="77">
        <v>0</v>
      </c>
      <c r="M9" s="77">
        <v>0</v>
      </c>
      <c r="N9" s="77">
        <v>0</v>
      </c>
      <c r="O9" s="77">
        <v>22</v>
      </c>
      <c r="P9" s="77">
        <v>287</v>
      </c>
      <c r="Q9" s="77">
        <v>262</v>
      </c>
      <c r="R9" s="77">
        <v>145</v>
      </c>
      <c r="S9" s="77">
        <v>56</v>
      </c>
      <c r="T9" s="77">
        <v>0</v>
      </c>
      <c r="U9" s="149" t="s">
        <v>130</v>
      </c>
      <c r="V9" s="149">
        <f>(T9-P9)/P9</f>
        <v>-1</v>
      </c>
      <c r="W9" s="149">
        <f>(T9-S9)/S9</f>
        <v>-1</v>
      </c>
      <c r="X9" s="218">
        <f t="shared" si="0"/>
        <v>0</v>
      </c>
      <c r="Y9" s="219">
        <f>T9-S9</f>
        <v>-56</v>
      </c>
    </row>
    <row r="10" spans="1:25" x14ac:dyDescent="0.25">
      <c r="A10" s="92" t="s">
        <v>0</v>
      </c>
      <c r="B10" s="2">
        <v>20693</v>
      </c>
      <c r="C10" s="2">
        <v>26074</v>
      </c>
      <c r="D10" s="2">
        <v>28357</v>
      </c>
      <c r="E10" s="2">
        <v>33398</v>
      </c>
      <c r="F10" s="2">
        <v>34480</v>
      </c>
      <c r="G10" s="2">
        <v>41201</v>
      </c>
      <c r="H10" s="2">
        <v>46726</v>
      </c>
      <c r="I10" s="2">
        <v>46806</v>
      </c>
      <c r="J10" s="2">
        <v>45116</v>
      </c>
      <c r="K10" s="2">
        <v>47584</v>
      </c>
      <c r="L10" s="2">
        <v>48698</v>
      </c>
      <c r="M10" s="2">
        <v>46875</v>
      </c>
      <c r="N10" s="2">
        <v>48391</v>
      </c>
      <c r="O10" s="2">
        <v>45483</v>
      </c>
      <c r="P10" s="2">
        <v>53247</v>
      </c>
      <c r="Q10" s="2">
        <v>54585</v>
      </c>
      <c r="R10" s="2">
        <v>52303</v>
      </c>
      <c r="S10" s="2">
        <v>52061</v>
      </c>
      <c r="T10" s="2">
        <v>54696</v>
      </c>
      <c r="U10" s="150">
        <f>(T10-K10)/K10</f>
        <v>0.14946200403496973</v>
      </c>
      <c r="V10" s="150">
        <f>(T10-P10)/P10</f>
        <v>2.7212800721167388E-2</v>
      </c>
      <c r="W10" s="150">
        <f>(T10-S10)/S10</f>
        <v>5.0613703155913257E-2</v>
      </c>
      <c r="X10" s="220">
        <f t="shared" si="0"/>
        <v>1</v>
      </c>
      <c r="Y10" s="221">
        <f>T10-S10</f>
        <v>2635</v>
      </c>
    </row>
    <row r="11" spans="1:25" ht="27" customHeight="1" x14ac:dyDescent="0.25">
      <c r="A11" s="276" t="s">
        <v>491</v>
      </c>
      <c r="B11" s="276"/>
      <c r="C11" s="276"/>
      <c r="D11" s="276"/>
      <c r="E11" s="276"/>
      <c r="F11" s="276"/>
      <c r="G11" s="276"/>
      <c r="H11" s="276"/>
      <c r="I11" s="276"/>
      <c r="J11" s="276"/>
      <c r="K11" s="276"/>
      <c r="L11" s="276"/>
      <c r="M11" s="276"/>
      <c r="N11" s="276"/>
      <c r="O11" s="276"/>
      <c r="P11" s="276"/>
      <c r="Q11" s="276"/>
      <c r="R11" s="276"/>
      <c r="S11" s="276"/>
      <c r="T11" s="276"/>
      <c r="U11" s="276"/>
      <c r="V11" s="276"/>
      <c r="W11" s="276"/>
      <c r="X11" s="276"/>
      <c r="Y11" s="9"/>
    </row>
    <row r="12" spans="1:25" x14ac:dyDescent="0.25">
      <c r="A12" s="114" t="s">
        <v>687</v>
      </c>
      <c r="M12" s="12"/>
      <c r="N12" s="12"/>
      <c r="O12" s="12"/>
      <c r="P12" s="12"/>
      <c r="Q12" s="12"/>
      <c r="R12" s="12"/>
      <c r="S12" s="12"/>
      <c r="T12" s="12"/>
      <c r="U12" s="28"/>
      <c r="V12" s="46"/>
      <c r="W12" s="46"/>
      <c r="X12" s="46"/>
      <c r="Y12" s="10"/>
    </row>
    <row r="13" spans="1:25" x14ac:dyDescent="0.25">
      <c r="A13" s="12"/>
      <c r="B13" s="12"/>
      <c r="C13" s="12"/>
      <c r="D13" s="12"/>
      <c r="E13" s="12"/>
      <c r="F13" s="12"/>
      <c r="G13" s="12"/>
      <c r="H13" s="12"/>
      <c r="I13" s="12"/>
      <c r="J13" s="12"/>
      <c r="K13" s="12"/>
      <c r="L13" s="12"/>
      <c r="M13" s="12"/>
      <c r="N13" s="12"/>
      <c r="O13" s="12"/>
      <c r="P13" s="12"/>
      <c r="Q13" s="12"/>
      <c r="R13" s="12"/>
      <c r="S13" s="12"/>
      <c r="T13" s="12"/>
      <c r="U13" s="28"/>
      <c r="V13" s="46"/>
      <c r="W13" s="46"/>
      <c r="X13" s="46"/>
      <c r="Y13" s="10"/>
    </row>
    <row r="14" spans="1:25" ht="18" x14ac:dyDescent="0.25">
      <c r="A14" s="22" t="s">
        <v>249</v>
      </c>
      <c r="B14" s="22"/>
      <c r="C14" s="22"/>
      <c r="M14" s="12"/>
      <c r="N14" s="12"/>
      <c r="O14" s="12"/>
      <c r="P14" s="12"/>
      <c r="Q14" s="12"/>
      <c r="R14" s="12"/>
      <c r="S14" s="12"/>
      <c r="T14" s="12"/>
      <c r="U14" s="28"/>
    </row>
    <row r="15" spans="1:25" ht="39.75" customHeight="1" x14ac:dyDescent="0.25">
      <c r="A15" s="104" t="s">
        <v>99</v>
      </c>
      <c r="B15" s="105">
        <v>2007</v>
      </c>
      <c r="C15" s="105">
        <v>2008</v>
      </c>
      <c r="D15" s="105">
        <v>2009</v>
      </c>
      <c r="E15" s="105">
        <v>2010</v>
      </c>
      <c r="F15" s="105">
        <v>2011</v>
      </c>
      <c r="G15" s="105">
        <v>2012</v>
      </c>
      <c r="H15" s="105">
        <v>2013</v>
      </c>
      <c r="I15" s="105">
        <v>2014</v>
      </c>
      <c r="J15" s="105">
        <v>2015</v>
      </c>
      <c r="K15" s="105">
        <v>2016</v>
      </c>
      <c r="L15" s="105">
        <v>2017</v>
      </c>
      <c r="M15" s="132">
        <v>2018</v>
      </c>
      <c r="N15" s="105">
        <v>2019</v>
      </c>
      <c r="O15" s="105">
        <v>2020</v>
      </c>
      <c r="P15" s="105">
        <v>2021</v>
      </c>
      <c r="Q15" s="105">
        <v>2022</v>
      </c>
      <c r="R15" s="105">
        <v>2023</v>
      </c>
      <c r="S15" s="105">
        <v>2024</v>
      </c>
      <c r="T15" s="105">
        <v>2025</v>
      </c>
      <c r="U15" s="106" t="s">
        <v>546</v>
      </c>
      <c r="V15" s="106" t="s">
        <v>547</v>
      </c>
      <c r="W15" s="106" t="s">
        <v>548</v>
      </c>
      <c r="X15" s="106" t="s">
        <v>549</v>
      </c>
      <c r="Y15" s="216" t="s">
        <v>563</v>
      </c>
    </row>
    <row r="16" spans="1:25" x14ac:dyDescent="0.25">
      <c r="A16" s="88" t="s">
        <v>282</v>
      </c>
      <c r="B16" s="123">
        <v>3108</v>
      </c>
      <c r="C16" s="123">
        <v>3781</v>
      </c>
      <c r="D16" s="32">
        <v>3398</v>
      </c>
      <c r="E16" s="32">
        <v>4110</v>
      </c>
      <c r="F16" s="32">
        <v>3228</v>
      </c>
      <c r="G16" s="32">
        <v>3389</v>
      </c>
      <c r="H16" s="32">
        <v>3362</v>
      </c>
      <c r="I16" s="32">
        <v>3347</v>
      </c>
      <c r="J16" s="32">
        <v>3311</v>
      </c>
      <c r="K16" s="32">
        <v>3549</v>
      </c>
      <c r="L16" s="32">
        <v>3156</v>
      </c>
      <c r="M16" s="32">
        <v>3440</v>
      </c>
      <c r="N16" s="32">
        <v>3240</v>
      </c>
      <c r="O16" s="32">
        <v>2658</v>
      </c>
      <c r="P16" s="32">
        <v>3821</v>
      </c>
      <c r="Q16" s="32">
        <v>3221</v>
      </c>
      <c r="R16" s="32">
        <v>3635</v>
      </c>
      <c r="S16" s="32">
        <v>3547</v>
      </c>
      <c r="T16" s="32">
        <v>4097</v>
      </c>
      <c r="U16" s="149">
        <f t="shared" ref="U16:U19" si="1">(T16-K16)/K16</f>
        <v>0.15440969287123132</v>
      </c>
      <c r="V16" s="149">
        <f t="shared" ref="V16:V19" si="2">(T16-P16)/P16</f>
        <v>7.2232399895315366E-2</v>
      </c>
      <c r="W16" s="149">
        <f t="shared" ref="W16:W19" si="3">(T16-S16)/S16</f>
        <v>0.15506061460389062</v>
      </c>
      <c r="X16" s="218">
        <f>T16/T$19</f>
        <v>0.23742466388502551</v>
      </c>
      <c r="Y16" s="219">
        <f t="shared" ref="Y16:Y19" si="4">T16-S16</f>
        <v>550</v>
      </c>
    </row>
    <row r="17" spans="1:25" x14ac:dyDescent="0.25">
      <c r="A17" s="88" t="s">
        <v>283</v>
      </c>
      <c r="B17" s="123">
        <v>2455</v>
      </c>
      <c r="C17" s="123">
        <v>2324</v>
      </c>
      <c r="D17" s="32">
        <v>2948</v>
      </c>
      <c r="E17" s="32">
        <v>2563</v>
      </c>
      <c r="F17" s="32">
        <v>2738</v>
      </c>
      <c r="G17" s="32">
        <v>2487</v>
      </c>
      <c r="H17" s="32">
        <v>2737</v>
      </c>
      <c r="I17" s="32">
        <v>2716</v>
      </c>
      <c r="J17" s="32">
        <v>3099</v>
      </c>
      <c r="K17" s="32">
        <v>3420</v>
      </c>
      <c r="L17" s="32">
        <v>3385</v>
      </c>
      <c r="M17" s="32">
        <v>3165</v>
      </c>
      <c r="N17" s="32">
        <v>4071</v>
      </c>
      <c r="O17" s="32">
        <v>3423</v>
      </c>
      <c r="P17" s="32">
        <v>4731</v>
      </c>
      <c r="Q17" s="32">
        <v>4426</v>
      </c>
      <c r="R17" s="32">
        <v>4701</v>
      </c>
      <c r="S17" s="32">
        <v>5053</v>
      </c>
      <c r="T17" s="32">
        <v>5487</v>
      </c>
      <c r="U17" s="149">
        <f t="shared" si="1"/>
        <v>0.60438596491228069</v>
      </c>
      <c r="V17" s="149">
        <f t="shared" si="2"/>
        <v>0.15979708306911858</v>
      </c>
      <c r="W17" s="149">
        <f t="shared" si="3"/>
        <v>8.5889570552147243E-2</v>
      </c>
      <c r="X17" s="218">
        <f t="shared" ref="X17:X19" si="5">T17/T$19</f>
        <v>0.31797635605006952</v>
      </c>
      <c r="Y17" s="219">
        <f t="shared" si="4"/>
        <v>434</v>
      </c>
    </row>
    <row r="18" spans="1:25" x14ac:dyDescent="0.25">
      <c r="A18" s="76" t="s">
        <v>247</v>
      </c>
      <c r="B18" s="139">
        <v>2608</v>
      </c>
      <c r="C18" s="139">
        <v>4193</v>
      </c>
      <c r="D18" s="32">
        <v>4016</v>
      </c>
      <c r="E18" s="32">
        <v>5297</v>
      </c>
      <c r="F18" s="32">
        <v>5477</v>
      </c>
      <c r="G18" s="32">
        <v>5841</v>
      </c>
      <c r="H18" s="32">
        <v>7824</v>
      </c>
      <c r="I18" s="32">
        <v>7496</v>
      </c>
      <c r="J18" s="32">
        <v>6892</v>
      </c>
      <c r="K18" s="32">
        <v>6850</v>
      </c>
      <c r="L18" s="32">
        <v>7458</v>
      </c>
      <c r="M18" s="32">
        <v>7967</v>
      </c>
      <c r="N18" s="32">
        <v>6301</v>
      </c>
      <c r="O18" s="32">
        <v>5464</v>
      </c>
      <c r="P18" s="32">
        <v>8750</v>
      </c>
      <c r="Q18" s="32">
        <v>7363</v>
      </c>
      <c r="R18" s="32">
        <v>6567</v>
      </c>
      <c r="S18" s="32">
        <v>7512</v>
      </c>
      <c r="T18" s="32">
        <v>7672</v>
      </c>
      <c r="U18" s="149">
        <f t="shared" si="1"/>
        <v>0.12</v>
      </c>
      <c r="V18" s="149">
        <f t="shared" si="2"/>
        <v>-0.1232</v>
      </c>
      <c r="W18" s="149">
        <f t="shared" si="3"/>
        <v>2.1299254526091587E-2</v>
      </c>
      <c r="X18" s="218">
        <f t="shared" si="5"/>
        <v>0.44459898006490495</v>
      </c>
      <c r="Y18" s="219">
        <f t="shared" si="4"/>
        <v>160</v>
      </c>
    </row>
    <row r="19" spans="1:25" s="42" customFormat="1" x14ac:dyDescent="0.25">
      <c r="A19" s="92" t="s">
        <v>0</v>
      </c>
      <c r="B19" s="90">
        <v>8171</v>
      </c>
      <c r="C19" s="90">
        <v>10298</v>
      </c>
      <c r="D19" s="90">
        <v>10362</v>
      </c>
      <c r="E19" s="90">
        <v>11970</v>
      </c>
      <c r="F19" s="90">
        <v>11443</v>
      </c>
      <c r="G19" s="90">
        <v>11717</v>
      </c>
      <c r="H19" s="90">
        <v>13923</v>
      </c>
      <c r="I19" s="90">
        <v>13559</v>
      </c>
      <c r="J19" s="90">
        <v>13302</v>
      </c>
      <c r="K19" s="90">
        <v>13819</v>
      </c>
      <c r="L19" s="90">
        <v>13999</v>
      </c>
      <c r="M19" s="90">
        <v>14572</v>
      </c>
      <c r="N19" s="90">
        <v>13612</v>
      </c>
      <c r="O19" s="90">
        <v>11545</v>
      </c>
      <c r="P19" s="90">
        <v>17302</v>
      </c>
      <c r="Q19" s="90">
        <v>15010</v>
      </c>
      <c r="R19" s="90">
        <v>14903</v>
      </c>
      <c r="S19" s="90">
        <v>16112</v>
      </c>
      <c r="T19" s="90">
        <v>17256</v>
      </c>
      <c r="U19" s="150">
        <f t="shared" si="1"/>
        <v>0.24871553658007092</v>
      </c>
      <c r="V19" s="150">
        <f t="shared" si="2"/>
        <v>-2.6586521789388512E-3</v>
      </c>
      <c r="W19" s="150">
        <f t="shared" si="3"/>
        <v>7.1002979145978154E-2</v>
      </c>
      <c r="X19" s="220">
        <f t="shared" si="5"/>
        <v>1</v>
      </c>
      <c r="Y19" s="221">
        <f t="shared" si="4"/>
        <v>1144</v>
      </c>
    </row>
    <row r="20" spans="1:25" s="42" customFormat="1" x14ac:dyDescent="0.25">
      <c r="A20" s="100" t="s">
        <v>296</v>
      </c>
      <c r="B20" s="103"/>
      <c r="C20" s="103"/>
      <c r="D20" s="48"/>
      <c r="E20" s="48"/>
      <c r="F20" s="48"/>
      <c r="G20" s="48"/>
      <c r="H20" s="48"/>
      <c r="I20" s="48"/>
      <c r="J20" s="48"/>
      <c r="K20" s="48"/>
      <c r="L20" s="48"/>
      <c r="M20" s="48"/>
      <c r="N20" s="48"/>
      <c r="O20" s="48"/>
      <c r="P20" s="48"/>
      <c r="Q20" s="48"/>
      <c r="R20" s="48"/>
      <c r="S20" s="48"/>
      <c r="T20" s="48"/>
      <c r="U20" s="49"/>
      <c r="V20" s="49"/>
      <c r="W20" s="49"/>
      <c r="X20" s="49"/>
    </row>
    <row r="21" spans="1:25" x14ac:dyDescent="0.25">
      <c r="H21" s="13"/>
      <c r="M21" s="12"/>
      <c r="N21" s="12"/>
      <c r="O21" s="12"/>
      <c r="P21" s="12"/>
      <c r="Q21" s="12"/>
      <c r="R21" s="12"/>
      <c r="S21" s="12"/>
      <c r="T21" s="12"/>
      <c r="U21" s="28"/>
    </row>
    <row r="22" spans="1:25" ht="15.75" x14ac:dyDescent="0.25">
      <c r="A22" s="22" t="s">
        <v>122</v>
      </c>
      <c r="B22" s="22"/>
      <c r="C22" s="22"/>
      <c r="M22" s="12"/>
      <c r="N22" s="12"/>
      <c r="O22" s="12"/>
      <c r="P22" s="12"/>
      <c r="Q22" s="12"/>
      <c r="R22" s="12"/>
      <c r="S22" s="12"/>
      <c r="T22" s="12"/>
      <c r="U22" s="28"/>
    </row>
    <row r="23" spans="1:25" ht="41.25" customHeight="1" x14ac:dyDescent="0.25">
      <c r="A23" s="104" t="s">
        <v>95</v>
      </c>
      <c r="B23" s="105">
        <v>2007</v>
      </c>
      <c r="C23" s="105">
        <v>2008</v>
      </c>
      <c r="D23" s="105">
        <v>2009</v>
      </c>
      <c r="E23" s="105">
        <v>2010</v>
      </c>
      <c r="F23" s="105">
        <v>2011</v>
      </c>
      <c r="G23" s="105">
        <v>2012</v>
      </c>
      <c r="H23" s="105">
        <v>2013</v>
      </c>
      <c r="I23" s="105">
        <v>2014</v>
      </c>
      <c r="J23" s="105">
        <v>2015</v>
      </c>
      <c r="K23" s="105">
        <v>2016</v>
      </c>
      <c r="L23" s="105">
        <v>2017</v>
      </c>
      <c r="M23" s="132">
        <v>2018</v>
      </c>
      <c r="N23" s="105">
        <v>2019</v>
      </c>
      <c r="O23" s="105">
        <v>2020</v>
      </c>
      <c r="P23" s="105">
        <v>2021</v>
      </c>
      <c r="Q23" s="105">
        <v>2022</v>
      </c>
      <c r="R23" s="105">
        <v>2023</v>
      </c>
      <c r="S23" s="105">
        <v>2024</v>
      </c>
      <c r="T23" s="105">
        <v>2025</v>
      </c>
      <c r="U23" s="106" t="s">
        <v>546</v>
      </c>
      <c r="V23" s="106" t="s">
        <v>547</v>
      </c>
      <c r="W23" s="106" t="s">
        <v>548</v>
      </c>
      <c r="X23" s="106" t="s">
        <v>549</v>
      </c>
      <c r="Y23" s="216" t="s">
        <v>563</v>
      </c>
    </row>
    <row r="24" spans="1:25" x14ac:dyDescent="0.25">
      <c r="A24" s="74" t="s">
        <v>96</v>
      </c>
      <c r="B24" s="20">
        <v>3029</v>
      </c>
      <c r="C24" s="20">
        <v>3629</v>
      </c>
      <c r="D24" s="20">
        <v>3738</v>
      </c>
      <c r="E24" s="20">
        <v>4055</v>
      </c>
      <c r="F24" s="20">
        <v>4052</v>
      </c>
      <c r="G24" s="20">
        <v>4471</v>
      </c>
      <c r="H24" s="20">
        <v>4653</v>
      </c>
      <c r="I24" s="20">
        <v>4925</v>
      </c>
      <c r="J24" s="20">
        <v>5172</v>
      </c>
      <c r="K24" s="20">
        <v>5545</v>
      </c>
      <c r="L24" s="20">
        <v>5536</v>
      </c>
      <c r="M24" s="20">
        <v>5939</v>
      </c>
      <c r="N24" s="20">
        <v>6046</v>
      </c>
      <c r="O24" s="20">
        <v>6024</v>
      </c>
      <c r="P24" s="20">
        <v>6729</v>
      </c>
      <c r="Q24" s="20">
        <v>6875</v>
      </c>
      <c r="R24" s="20">
        <v>7102</v>
      </c>
      <c r="S24" s="20">
        <v>7473</v>
      </c>
      <c r="T24" s="20">
        <v>8050</v>
      </c>
      <c r="U24" s="149">
        <f t="shared" ref="U24:U26" si="6">(T24-K24)/K24</f>
        <v>0.45175834084761046</v>
      </c>
      <c r="V24" s="149">
        <f t="shared" ref="V24:V26" si="7">(T24-P24)/P24</f>
        <v>0.19631445980086193</v>
      </c>
      <c r="W24" s="149">
        <f t="shared" ref="W24:W26" si="8">(T24-S24)/S24</f>
        <v>7.721129399170347E-2</v>
      </c>
      <c r="X24" s="218">
        <f t="shared" ref="X24:X26" si="9">T24/T$10</f>
        <v>0.14717712446979669</v>
      </c>
      <c r="Y24" s="219">
        <f t="shared" ref="Y24:Y26" si="10">T24-S24</f>
        <v>577</v>
      </c>
    </row>
    <row r="25" spans="1:25" x14ac:dyDescent="0.25">
      <c r="A25" s="74" t="s">
        <v>97</v>
      </c>
      <c r="B25" s="20">
        <v>17664</v>
      </c>
      <c r="C25" s="20">
        <v>22445</v>
      </c>
      <c r="D25" s="20">
        <v>24619</v>
      </c>
      <c r="E25" s="20">
        <v>29343</v>
      </c>
      <c r="F25" s="20">
        <v>30428</v>
      </c>
      <c r="G25" s="20">
        <v>36730</v>
      </c>
      <c r="H25" s="20">
        <v>42073</v>
      </c>
      <c r="I25" s="20">
        <v>41881</v>
      </c>
      <c r="J25" s="20">
        <v>39944</v>
      </c>
      <c r="K25" s="20">
        <v>42039</v>
      </c>
      <c r="L25" s="20">
        <v>43162</v>
      </c>
      <c r="M25" s="20">
        <v>40936</v>
      </c>
      <c r="N25" s="20">
        <v>42345</v>
      </c>
      <c r="O25" s="20">
        <v>39459</v>
      </c>
      <c r="P25" s="20">
        <v>46518</v>
      </c>
      <c r="Q25" s="20">
        <v>47710</v>
      </c>
      <c r="R25" s="20">
        <v>45201</v>
      </c>
      <c r="S25" s="20">
        <v>44588</v>
      </c>
      <c r="T25" s="20">
        <v>46646</v>
      </c>
      <c r="U25" s="149">
        <f t="shared" si="6"/>
        <v>0.10958871524060991</v>
      </c>
      <c r="V25" s="149">
        <f t="shared" si="7"/>
        <v>2.7516230276452124E-3</v>
      </c>
      <c r="W25" s="149">
        <f t="shared" si="8"/>
        <v>4.6155916390060107E-2</v>
      </c>
      <c r="X25" s="218">
        <f t="shared" si="9"/>
        <v>0.85282287553020331</v>
      </c>
      <c r="Y25" s="219">
        <f t="shared" si="10"/>
        <v>2058</v>
      </c>
    </row>
    <row r="26" spans="1:25" s="42" customFormat="1" x14ac:dyDescent="0.25">
      <c r="A26" s="92" t="s">
        <v>0</v>
      </c>
      <c r="B26" s="21">
        <v>20693</v>
      </c>
      <c r="C26" s="21">
        <v>26074</v>
      </c>
      <c r="D26" s="21">
        <v>28357</v>
      </c>
      <c r="E26" s="21">
        <v>33398</v>
      </c>
      <c r="F26" s="21">
        <v>34480</v>
      </c>
      <c r="G26" s="21">
        <v>41201</v>
      </c>
      <c r="H26" s="21">
        <v>46726</v>
      </c>
      <c r="I26" s="21">
        <v>46806</v>
      </c>
      <c r="J26" s="21">
        <v>45116</v>
      </c>
      <c r="K26" s="21">
        <v>47584</v>
      </c>
      <c r="L26" s="21">
        <v>48698</v>
      </c>
      <c r="M26" s="21">
        <v>46875</v>
      </c>
      <c r="N26" s="21">
        <v>48391</v>
      </c>
      <c r="O26" s="21">
        <v>45483</v>
      </c>
      <c r="P26" s="21">
        <v>53247</v>
      </c>
      <c r="Q26" s="21">
        <v>54585</v>
      </c>
      <c r="R26" s="21">
        <v>52303</v>
      </c>
      <c r="S26" s="21">
        <v>52061</v>
      </c>
      <c r="T26" s="21">
        <v>54696</v>
      </c>
      <c r="U26" s="150">
        <f t="shared" si="6"/>
        <v>0.14946200403496973</v>
      </c>
      <c r="V26" s="150">
        <f t="shared" si="7"/>
        <v>2.7212800721167388E-2</v>
      </c>
      <c r="W26" s="150">
        <f t="shared" si="8"/>
        <v>5.0613703155913257E-2</v>
      </c>
      <c r="X26" s="220">
        <f t="shared" si="9"/>
        <v>1</v>
      </c>
      <c r="Y26" s="221">
        <f t="shared" si="10"/>
        <v>2635</v>
      </c>
    </row>
    <row r="27" spans="1:25" x14ac:dyDescent="0.25">
      <c r="D27" s="3"/>
      <c r="E27" s="3"/>
      <c r="F27" s="3"/>
      <c r="G27" s="3"/>
      <c r="H27" s="13"/>
      <c r="M27" s="12"/>
      <c r="N27" s="12"/>
      <c r="O27" s="12"/>
      <c r="P27" s="12"/>
      <c r="Q27" s="12"/>
      <c r="R27" s="12"/>
      <c r="S27" s="12"/>
      <c r="T27" s="12"/>
      <c r="U27" s="12"/>
    </row>
    <row r="28" spans="1:25" ht="18" x14ac:dyDescent="0.25">
      <c r="A28" s="22" t="s">
        <v>123</v>
      </c>
      <c r="B28" s="22"/>
      <c r="C28" s="22"/>
      <c r="M28" s="12"/>
      <c r="N28" s="12"/>
      <c r="O28" s="12"/>
      <c r="P28" s="12"/>
      <c r="Q28" s="12"/>
      <c r="R28" s="12"/>
      <c r="S28" s="12"/>
      <c r="T28" s="12"/>
      <c r="U28" s="12"/>
    </row>
    <row r="29" spans="1:25" ht="40.5" customHeight="1" x14ac:dyDescent="0.25">
      <c r="A29" s="104" t="s">
        <v>95</v>
      </c>
      <c r="B29" s="105">
        <v>2007</v>
      </c>
      <c r="C29" s="105">
        <v>2008</v>
      </c>
      <c r="D29" s="105">
        <v>2009</v>
      </c>
      <c r="E29" s="105">
        <v>2010</v>
      </c>
      <c r="F29" s="105">
        <v>2011</v>
      </c>
      <c r="G29" s="105">
        <v>2012</v>
      </c>
      <c r="H29" s="105">
        <v>2013</v>
      </c>
      <c r="I29" s="105">
        <v>2014</v>
      </c>
      <c r="J29" s="105">
        <v>2015</v>
      </c>
      <c r="K29" s="105">
        <v>2016</v>
      </c>
      <c r="L29" s="105">
        <v>2017</v>
      </c>
      <c r="M29" s="132">
        <v>2018</v>
      </c>
      <c r="N29" s="105">
        <v>2019</v>
      </c>
      <c r="O29" s="105">
        <v>2020</v>
      </c>
      <c r="P29" s="105">
        <v>2021</v>
      </c>
      <c r="Q29" s="105">
        <v>2022</v>
      </c>
      <c r="R29" s="105">
        <v>2023</v>
      </c>
      <c r="S29" s="105">
        <v>2024</v>
      </c>
      <c r="T29" s="105">
        <v>2025</v>
      </c>
      <c r="U29" s="106" t="s">
        <v>546</v>
      </c>
      <c r="V29" s="106" t="s">
        <v>547</v>
      </c>
      <c r="W29" s="106" t="s">
        <v>548</v>
      </c>
      <c r="X29" s="106" t="s">
        <v>549</v>
      </c>
      <c r="Y29" s="216" t="s">
        <v>563</v>
      </c>
    </row>
    <row r="30" spans="1:25" x14ac:dyDescent="0.25">
      <c r="A30" s="74" t="s">
        <v>96</v>
      </c>
      <c r="B30" s="32">
        <v>766</v>
      </c>
      <c r="C30" s="32">
        <v>892</v>
      </c>
      <c r="D30" s="32">
        <v>725</v>
      </c>
      <c r="E30" s="32">
        <v>841</v>
      </c>
      <c r="F30" s="32">
        <v>920</v>
      </c>
      <c r="G30" s="32">
        <v>870</v>
      </c>
      <c r="H30" s="32">
        <v>967</v>
      </c>
      <c r="I30" s="32">
        <v>944</v>
      </c>
      <c r="J30" s="32">
        <v>979</v>
      </c>
      <c r="K30" s="32">
        <v>1025</v>
      </c>
      <c r="L30" s="32">
        <v>1052</v>
      </c>
      <c r="M30" s="32">
        <v>1203</v>
      </c>
      <c r="N30" s="32">
        <v>1226</v>
      </c>
      <c r="O30" s="32">
        <v>1150</v>
      </c>
      <c r="P30" s="32">
        <v>1288</v>
      </c>
      <c r="Q30" s="32">
        <v>1115</v>
      </c>
      <c r="R30" s="32">
        <v>1346</v>
      </c>
      <c r="S30" s="32">
        <v>1589</v>
      </c>
      <c r="T30" s="32">
        <v>1752</v>
      </c>
      <c r="U30" s="149">
        <f t="shared" ref="U30:U32" si="11">(T30-K30)/K30</f>
        <v>0.70926829268292679</v>
      </c>
      <c r="V30" s="149">
        <f t="shared" ref="V30:V32" si="12">(T30-P30)/P30</f>
        <v>0.36024844720496896</v>
      </c>
      <c r="W30" s="149">
        <f t="shared" ref="W30:W32" si="13">(T30-S30)/S30</f>
        <v>0.10258023914411579</v>
      </c>
      <c r="X30" s="218">
        <f t="shared" ref="X30:X32" si="14">T30/T$19</f>
        <v>0.10152990264255911</v>
      </c>
      <c r="Y30" s="219">
        <f t="shared" ref="Y30:Y32" si="15">T30-S30</f>
        <v>163</v>
      </c>
    </row>
    <row r="31" spans="1:25" x14ac:dyDescent="0.25">
      <c r="A31" s="74" t="s">
        <v>97</v>
      </c>
      <c r="B31" s="32">
        <v>7405</v>
      </c>
      <c r="C31" s="32">
        <v>9406</v>
      </c>
      <c r="D31" s="32">
        <v>9637</v>
      </c>
      <c r="E31" s="32">
        <v>11129</v>
      </c>
      <c r="F31" s="32">
        <v>10523</v>
      </c>
      <c r="G31" s="32">
        <v>10847</v>
      </c>
      <c r="H31" s="32">
        <v>12956</v>
      </c>
      <c r="I31" s="32">
        <v>12615</v>
      </c>
      <c r="J31" s="32">
        <v>12323</v>
      </c>
      <c r="K31" s="32">
        <v>12794</v>
      </c>
      <c r="L31" s="32">
        <v>12947</v>
      </c>
      <c r="M31" s="32">
        <v>13369</v>
      </c>
      <c r="N31" s="32">
        <v>12386</v>
      </c>
      <c r="O31" s="32">
        <v>10395</v>
      </c>
      <c r="P31" s="32">
        <v>16014</v>
      </c>
      <c r="Q31" s="32">
        <v>13895</v>
      </c>
      <c r="R31" s="32">
        <v>13557</v>
      </c>
      <c r="S31" s="32">
        <v>14523</v>
      </c>
      <c r="T31" s="32">
        <v>15504</v>
      </c>
      <c r="U31" s="149">
        <f t="shared" si="11"/>
        <v>0.21181803970611224</v>
      </c>
      <c r="V31" s="149">
        <f t="shared" si="12"/>
        <v>-3.1847133757961783E-2</v>
      </c>
      <c r="W31" s="149">
        <f t="shared" si="13"/>
        <v>6.754802726709358E-2</v>
      </c>
      <c r="X31" s="218">
        <f t="shared" si="14"/>
        <v>0.89847009735744088</v>
      </c>
      <c r="Y31" s="219">
        <f t="shared" si="15"/>
        <v>981</v>
      </c>
    </row>
    <row r="32" spans="1:25" s="42" customFormat="1" x14ac:dyDescent="0.25">
      <c r="A32" s="92" t="s">
        <v>0</v>
      </c>
      <c r="B32" s="90">
        <v>8171</v>
      </c>
      <c r="C32" s="90">
        <v>10298</v>
      </c>
      <c r="D32" s="90">
        <v>10362</v>
      </c>
      <c r="E32" s="90">
        <v>11970</v>
      </c>
      <c r="F32" s="90">
        <v>11443</v>
      </c>
      <c r="G32" s="90">
        <v>11717</v>
      </c>
      <c r="H32" s="90">
        <v>13923</v>
      </c>
      <c r="I32" s="90">
        <v>13559</v>
      </c>
      <c r="J32" s="90">
        <v>13302</v>
      </c>
      <c r="K32" s="90">
        <v>13819</v>
      </c>
      <c r="L32" s="90">
        <v>13999</v>
      </c>
      <c r="M32" s="90">
        <v>14572</v>
      </c>
      <c r="N32" s="90">
        <v>13612</v>
      </c>
      <c r="O32" s="90">
        <v>11545</v>
      </c>
      <c r="P32" s="90">
        <v>17302</v>
      </c>
      <c r="Q32" s="90">
        <v>15010</v>
      </c>
      <c r="R32" s="90">
        <v>14903</v>
      </c>
      <c r="S32" s="90">
        <v>16112</v>
      </c>
      <c r="T32" s="90">
        <v>17256</v>
      </c>
      <c r="U32" s="150">
        <f t="shared" si="11"/>
        <v>0.24871553658007092</v>
      </c>
      <c r="V32" s="150">
        <f t="shared" si="12"/>
        <v>-2.6586521789388512E-3</v>
      </c>
      <c r="W32" s="150">
        <f t="shared" si="13"/>
        <v>7.1002979145978154E-2</v>
      </c>
      <c r="X32" s="220">
        <f t="shared" si="14"/>
        <v>1</v>
      </c>
      <c r="Y32" s="221">
        <f t="shared" si="15"/>
        <v>1144</v>
      </c>
    </row>
    <row r="33" spans="1:25" x14ac:dyDescent="0.25">
      <c r="M33" s="12"/>
      <c r="N33" s="12"/>
      <c r="O33" s="12"/>
      <c r="P33" s="12"/>
      <c r="Q33" s="12"/>
      <c r="R33" s="12"/>
      <c r="S33" s="12"/>
      <c r="T33" s="12"/>
      <c r="U33" s="28"/>
    </row>
    <row r="34" spans="1:25" ht="15.75" x14ac:dyDescent="0.25">
      <c r="A34" s="22" t="s">
        <v>250</v>
      </c>
      <c r="B34" s="22"/>
      <c r="C34" s="22"/>
      <c r="M34" s="12"/>
      <c r="N34" s="12"/>
      <c r="O34" s="12"/>
      <c r="P34" s="12"/>
      <c r="Q34" s="12"/>
      <c r="R34" s="12"/>
      <c r="S34" s="12"/>
      <c r="T34" s="12"/>
      <c r="U34" s="28"/>
    </row>
    <row r="35" spans="1:25" ht="40.5" customHeight="1" x14ac:dyDescent="0.25">
      <c r="A35" s="104" t="s">
        <v>99</v>
      </c>
      <c r="B35" s="105">
        <v>2007</v>
      </c>
      <c r="C35" s="105">
        <v>2008</v>
      </c>
      <c r="D35" s="105">
        <v>2009</v>
      </c>
      <c r="E35" s="105">
        <v>2010</v>
      </c>
      <c r="F35" s="105">
        <v>2011</v>
      </c>
      <c r="G35" s="105">
        <v>2012</v>
      </c>
      <c r="H35" s="105">
        <v>2013</v>
      </c>
      <c r="I35" s="105">
        <v>2014</v>
      </c>
      <c r="J35" s="105">
        <v>2015</v>
      </c>
      <c r="K35" s="105">
        <v>2016</v>
      </c>
      <c r="L35" s="105">
        <v>2017</v>
      </c>
      <c r="M35" s="132">
        <v>2018</v>
      </c>
      <c r="N35" s="105">
        <v>2019</v>
      </c>
      <c r="O35" s="105">
        <v>2020</v>
      </c>
      <c r="P35" s="105">
        <v>2021</v>
      </c>
      <c r="Q35" s="105">
        <v>2022</v>
      </c>
      <c r="R35" s="105">
        <v>2023</v>
      </c>
      <c r="S35" s="105">
        <v>2024</v>
      </c>
      <c r="T35" s="105">
        <v>2025</v>
      </c>
      <c r="U35" s="106" t="s">
        <v>546</v>
      </c>
      <c r="V35" s="106" t="s">
        <v>547</v>
      </c>
      <c r="W35" s="106" t="s">
        <v>548</v>
      </c>
      <c r="X35" s="106" t="s">
        <v>549</v>
      </c>
      <c r="Y35" s="216" t="s">
        <v>563</v>
      </c>
    </row>
    <row r="36" spans="1:25" s="42" customFormat="1" x14ac:dyDescent="0.25">
      <c r="A36" s="71" t="s">
        <v>282</v>
      </c>
      <c r="B36" s="21">
        <v>8640</v>
      </c>
      <c r="C36" s="21">
        <v>10810</v>
      </c>
      <c r="D36" s="21">
        <v>10714</v>
      </c>
      <c r="E36" s="21">
        <v>12675</v>
      </c>
      <c r="F36" s="21">
        <v>11317</v>
      </c>
      <c r="G36" s="21">
        <v>14249</v>
      </c>
      <c r="H36" s="21">
        <v>14823</v>
      </c>
      <c r="I36" s="21">
        <v>14867</v>
      </c>
      <c r="J36" s="21">
        <v>13807</v>
      </c>
      <c r="K36" s="21">
        <v>13807</v>
      </c>
      <c r="L36" s="21">
        <v>13148</v>
      </c>
      <c r="M36" s="21">
        <v>12402</v>
      </c>
      <c r="N36" s="21">
        <v>12561</v>
      </c>
      <c r="O36" s="21">
        <v>10521</v>
      </c>
      <c r="P36" s="21">
        <v>12304</v>
      </c>
      <c r="Q36" s="21">
        <v>12418</v>
      </c>
      <c r="R36" s="21">
        <v>11828</v>
      </c>
      <c r="S36" s="21">
        <v>12121</v>
      </c>
      <c r="T36" s="21">
        <v>13047</v>
      </c>
      <c r="U36" s="150">
        <f t="shared" ref="U36:U48" si="16">(T36-K36)/K36</f>
        <v>-5.5044542623307019E-2</v>
      </c>
      <c r="V36" s="150">
        <f t="shared" ref="V36:V48" si="17">(T36-P36)/P36</f>
        <v>6.0386866059817947E-2</v>
      </c>
      <c r="W36" s="150">
        <f t="shared" ref="W36:W48" si="18">(T36-S36)/S36</f>
        <v>7.6396336935896383E-2</v>
      </c>
      <c r="X36" s="220">
        <f t="shared" ref="X36:X48" si="19">T36/T$10</f>
        <v>0.23853663887670032</v>
      </c>
      <c r="Y36" s="221">
        <f t="shared" ref="Y36:Y48" si="20">T36-S36</f>
        <v>926</v>
      </c>
    </row>
    <row r="37" spans="1:25" x14ac:dyDescent="0.25">
      <c r="A37" s="143" t="s">
        <v>96</v>
      </c>
      <c r="B37" s="20">
        <v>1303</v>
      </c>
      <c r="C37" s="20">
        <v>1527</v>
      </c>
      <c r="D37" s="20">
        <v>1568</v>
      </c>
      <c r="E37" s="20">
        <v>1756</v>
      </c>
      <c r="F37" s="20">
        <v>1764</v>
      </c>
      <c r="G37" s="20">
        <v>2028</v>
      </c>
      <c r="H37" s="20">
        <v>2029</v>
      </c>
      <c r="I37" s="20">
        <v>2163</v>
      </c>
      <c r="J37" s="20">
        <v>2223</v>
      </c>
      <c r="K37" s="20">
        <v>2372</v>
      </c>
      <c r="L37" s="20">
        <v>2343</v>
      </c>
      <c r="M37" s="20">
        <v>2464</v>
      </c>
      <c r="N37" s="20">
        <v>2490</v>
      </c>
      <c r="O37" s="20">
        <v>2371</v>
      </c>
      <c r="P37" s="20">
        <v>2601</v>
      </c>
      <c r="Q37" s="20">
        <v>2685</v>
      </c>
      <c r="R37" s="20">
        <v>2663</v>
      </c>
      <c r="S37" s="20">
        <v>2826</v>
      </c>
      <c r="T37" s="20">
        <v>3065</v>
      </c>
      <c r="U37" s="149">
        <f t="shared" si="16"/>
        <v>0.29215851602023607</v>
      </c>
      <c r="V37" s="149">
        <f t="shared" si="17"/>
        <v>0.17839292579777008</v>
      </c>
      <c r="W37" s="149">
        <f t="shared" si="18"/>
        <v>8.4571832979476291E-2</v>
      </c>
      <c r="X37" s="218">
        <f t="shared" si="19"/>
        <v>5.6037004534152404E-2</v>
      </c>
      <c r="Y37" s="219">
        <f t="shared" si="20"/>
        <v>239</v>
      </c>
    </row>
    <row r="38" spans="1:25" x14ac:dyDescent="0.25">
      <c r="A38" s="143" t="s">
        <v>97</v>
      </c>
      <c r="B38" s="20">
        <v>7337</v>
      </c>
      <c r="C38" s="20">
        <v>9283</v>
      </c>
      <c r="D38" s="20">
        <v>9146</v>
      </c>
      <c r="E38" s="20">
        <v>10919</v>
      </c>
      <c r="F38" s="20">
        <v>9553</v>
      </c>
      <c r="G38" s="20">
        <v>12221</v>
      </c>
      <c r="H38" s="20">
        <v>12794</v>
      </c>
      <c r="I38" s="20">
        <v>12704</v>
      </c>
      <c r="J38" s="20">
        <v>11584</v>
      </c>
      <c r="K38" s="20">
        <v>11435</v>
      </c>
      <c r="L38" s="20">
        <v>10805</v>
      </c>
      <c r="M38" s="20">
        <v>9938</v>
      </c>
      <c r="N38" s="20">
        <v>10071</v>
      </c>
      <c r="O38" s="20">
        <v>8150</v>
      </c>
      <c r="P38" s="20">
        <v>9703</v>
      </c>
      <c r="Q38" s="20">
        <v>9733</v>
      </c>
      <c r="R38" s="20">
        <v>9165</v>
      </c>
      <c r="S38" s="20">
        <v>9295</v>
      </c>
      <c r="T38" s="20">
        <v>9982</v>
      </c>
      <c r="U38" s="149">
        <f t="shared" si="16"/>
        <v>-0.12706602536073458</v>
      </c>
      <c r="V38" s="149">
        <f t="shared" si="17"/>
        <v>2.8753993610223641E-2</v>
      </c>
      <c r="W38" s="149">
        <f t="shared" si="18"/>
        <v>7.3910704679935449E-2</v>
      </c>
      <c r="X38" s="218">
        <f t="shared" si="19"/>
        <v>0.1824996343425479</v>
      </c>
      <c r="Y38" s="219">
        <f t="shared" si="20"/>
        <v>687</v>
      </c>
    </row>
    <row r="39" spans="1:25" s="42" customFormat="1" x14ac:dyDescent="0.25">
      <c r="A39" s="71" t="s">
        <v>283</v>
      </c>
      <c r="B39" s="21">
        <v>6602</v>
      </c>
      <c r="C39" s="21">
        <v>7183</v>
      </c>
      <c r="D39" s="21">
        <v>8183</v>
      </c>
      <c r="E39" s="21">
        <v>8838</v>
      </c>
      <c r="F39" s="21">
        <v>8715</v>
      </c>
      <c r="G39" s="21">
        <v>8944</v>
      </c>
      <c r="H39" s="21">
        <v>9359</v>
      </c>
      <c r="I39" s="21">
        <v>10327</v>
      </c>
      <c r="J39" s="21">
        <v>10571</v>
      </c>
      <c r="K39" s="21">
        <v>11832</v>
      </c>
      <c r="L39" s="21">
        <v>11114</v>
      </c>
      <c r="M39" s="21">
        <v>11016</v>
      </c>
      <c r="N39" s="21">
        <v>13457</v>
      </c>
      <c r="O39" s="21">
        <v>13937</v>
      </c>
      <c r="P39" s="21">
        <v>15330</v>
      </c>
      <c r="Q39" s="21">
        <v>15647</v>
      </c>
      <c r="R39" s="21">
        <v>16526</v>
      </c>
      <c r="S39" s="21">
        <v>16947</v>
      </c>
      <c r="T39" s="21">
        <v>17533</v>
      </c>
      <c r="U39" s="150">
        <f t="shared" si="16"/>
        <v>0.48182893847194053</v>
      </c>
      <c r="V39" s="150">
        <f t="shared" si="17"/>
        <v>0.14370515329419439</v>
      </c>
      <c r="W39" s="150">
        <f t="shared" si="18"/>
        <v>3.4578391455714876E-2</v>
      </c>
      <c r="X39" s="220">
        <f t="shared" si="19"/>
        <v>0.32055360538247768</v>
      </c>
      <c r="Y39" s="221">
        <f t="shared" si="20"/>
        <v>586</v>
      </c>
    </row>
    <row r="40" spans="1:25" x14ac:dyDescent="0.25">
      <c r="A40" s="143" t="s">
        <v>96</v>
      </c>
      <c r="B40" s="20">
        <v>1519</v>
      </c>
      <c r="C40" s="20">
        <v>1536</v>
      </c>
      <c r="D40" s="20">
        <v>1560</v>
      </c>
      <c r="E40" s="20">
        <v>1798</v>
      </c>
      <c r="F40" s="20">
        <v>1951</v>
      </c>
      <c r="G40" s="20">
        <v>1980</v>
      </c>
      <c r="H40" s="20">
        <v>2074</v>
      </c>
      <c r="I40" s="20">
        <v>2187</v>
      </c>
      <c r="J40" s="20">
        <v>2342</v>
      </c>
      <c r="K40" s="20">
        <v>2564</v>
      </c>
      <c r="L40" s="20">
        <v>2554</v>
      </c>
      <c r="M40" s="20">
        <v>2719</v>
      </c>
      <c r="N40" s="20">
        <v>2956</v>
      </c>
      <c r="O40" s="20">
        <v>3115</v>
      </c>
      <c r="P40" s="20">
        <v>3332</v>
      </c>
      <c r="Q40" s="20">
        <v>3430</v>
      </c>
      <c r="R40" s="20">
        <v>3610</v>
      </c>
      <c r="S40" s="20">
        <v>3741</v>
      </c>
      <c r="T40" s="20">
        <v>3979</v>
      </c>
      <c r="U40" s="149">
        <f t="shared" si="16"/>
        <v>0.55187207488299528</v>
      </c>
      <c r="V40" s="149">
        <f t="shared" si="17"/>
        <v>0.19417767106842737</v>
      </c>
      <c r="W40" s="149">
        <f t="shared" si="18"/>
        <v>6.3619353114140603E-2</v>
      </c>
      <c r="X40" s="218">
        <f t="shared" si="19"/>
        <v>7.2747550095070931E-2</v>
      </c>
      <c r="Y40" s="219">
        <f t="shared" si="20"/>
        <v>238</v>
      </c>
    </row>
    <row r="41" spans="1:25" x14ac:dyDescent="0.25">
      <c r="A41" s="143" t="s">
        <v>97</v>
      </c>
      <c r="B41" s="20">
        <v>5083</v>
      </c>
      <c r="C41" s="20">
        <v>5647</v>
      </c>
      <c r="D41" s="20">
        <v>6623</v>
      </c>
      <c r="E41" s="20">
        <v>7040</v>
      </c>
      <c r="F41" s="20">
        <v>6764</v>
      </c>
      <c r="G41" s="20">
        <v>6964</v>
      </c>
      <c r="H41" s="20">
        <v>7285</v>
      </c>
      <c r="I41" s="20">
        <v>8140</v>
      </c>
      <c r="J41" s="20">
        <v>8229</v>
      </c>
      <c r="K41" s="20">
        <v>9268</v>
      </c>
      <c r="L41" s="20">
        <v>8560</v>
      </c>
      <c r="M41" s="20">
        <v>8297</v>
      </c>
      <c r="N41" s="20">
        <v>10501</v>
      </c>
      <c r="O41" s="20">
        <v>10822</v>
      </c>
      <c r="P41" s="20">
        <v>11998</v>
      </c>
      <c r="Q41" s="20">
        <v>12217</v>
      </c>
      <c r="R41" s="20">
        <v>12916</v>
      </c>
      <c r="S41" s="20">
        <v>13206</v>
      </c>
      <c r="T41" s="20">
        <v>13554</v>
      </c>
      <c r="U41" s="149">
        <f t="shared" si="16"/>
        <v>0.46245144583513165</v>
      </c>
      <c r="V41" s="149">
        <f t="shared" si="17"/>
        <v>0.12968828138023003</v>
      </c>
      <c r="W41" s="149">
        <f t="shared" si="18"/>
        <v>2.6351658337119492E-2</v>
      </c>
      <c r="X41" s="218">
        <f t="shared" si="19"/>
        <v>0.24780605528740676</v>
      </c>
      <c r="Y41" s="219">
        <f t="shared" si="20"/>
        <v>348</v>
      </c>
    </row>
    <row r="42" spans="1:25" s="42" customFormat="1" x14ac:dyDescent="0.25">
      <c r="A42" s="71" t="s">
        <v>247</v>
      </c>
      <c r="B42" s="21">
        <v>5451</v>
      </c>
      <c r="C42" s="21">
        <v>8081</v>
      </c>
      <c r="D42" s="21">
        <v>9460</v>
      </c>
      <c r="E42" s="21">
        <v>11885</v>
      </c>
      <c r="F42" s="21">
        <v>14448</v>
      </c>
      <c r="G42" s="21">
        <v>18008</v>
      </c>
      <c r="H42" s="21">
        <v>22544</v>
      </c>
      <c r="I42" s="21">
        <v>21612</v>
      </c>
      <c r="J42" s="21">
        <v>20738</v>
      </c>
      <c r="K42" s="21">
        <v>21945</v>
      </c>
      <c r="L42" s="21">
        <v>24436</v>
      </c>
      <c r="M42" s="21">
        <v>23457</v>
      </c>
      <c r="N42" s="21">
        <v>22373</v>
      </c>
      <c r="O42" s="21">
        <v>21003</v>
      </c>
      <c r="P42" s="21">
        <v>25326</v>
      </c>
      <c r="Q42" s="21">
        <v>26258</v>
      </c>
      <c r="R42" s="21">
        <v>23804</v>
      </c>
      <c r="S42" s="21">
        <v>22937</v>
      </c>
      <c r="T42" s="21">
        <v>24116</v>
      </c>
      <c r="U42" s="150">
        <f t="shared" si="16"/>
        <v>9.8929141034404186E-2</v>
      </c>
      <c r="V42" s="150">
        <f t="shared" si="17"/>
        <v>-4.777698807549554E-2</v>
      </c>
      <c r="W42" s="150">
        <f t="shared" si="18"/>
        <v>5.1401665431399048E-2</v>
      </c>
      <c r="X42" s="220">
        <f t="shared" si="19"/>
        <v>0.44090975574082197</v>
      </c>
      <c r="Y42" s="221">
        <f t="shared" si="20"/>
        <v>1179</v>
      </c>
    </row>
    <row r="43" spans="1:25" x14ac:dyDescent="0.25">
      <c r="A43" s="143" t="s">
        <v>96</v>
      </c>
      <c r="B43" s="20">
        <v>207</v>
      </c>
      <c r="C43" s="20">
        <v>566</v>
      </c>
      <c r="D43" s="20">
        <v>610</v>
      </c>
      <c r="E43" s="20">
        <v>501</v>
      </c>
      <c r="F43" s="20">
        <v>337</v>
      </c>
      <c r="G43" s="20">
        <v>463</v>
      </c>
      <c r="H43" s="20">
        <v>550</v>
      </c>
      <c r="I43" s="20">
        <v>575</v>
      </c>
      <c r="J43" s="20">
        <v>607</v>
      </c>
      <c r="K43" s="20">
        <v>609</v>
      </c>
      <c r="L43" s="20">
        <v>639</v>
      </c>
      <c r="M43" s="20">
        <v>756</v>
      </c>
      <c r="N43" s="20">
        <v>600</v>
      </c>
      <c r="O43" s="20">
        <v>538</v>
      </c>
      <c r="P43" s="20">
        <v>679</v>
      </c>
      <c r="Q43" s="20">
        <v>646</v>
      </c>
      <c r="R43" s="20">
        <v>756</v>
      </c>
      <c r="S43" s="20">
        <v>877</v>
      </c>
      <c r="T43" s="20">
        <v>1006</v>
      </c>
      <c r="U43" s="149">
        <f t="shared" si="16"/>
        <v>0.65188834154351394</v>
      </c>
      <c r="V43" s="149">
        <f t="shared" si="17"/>
        <v>0.48159057437407954</v>
      </c>
      <c r="W43" s="149">
        <f t="shared" si="18"/>
        <v>0.14709236031927023</v>
      </c>
      <c r="X43" s="218">
        <f t="shared" si="19"/>
        <v>1.8392569840573351E-2</v>
      </c>
      <c r="Y43" s="219">
        <f t="shared" si="20"/>
        <v>129</v>
      </c>
    </row>
    <row r="44" spans="1:25" x14ac:dyDescent="0.25">
      <c r="A44" s="143" t="s">
        <v>97</v>
      </c>
      <c r="B44" s="20">
        <v>5244</v>
      </c>
      <c r="C44" s="20">
        <v>7515</v>
      </c>
      <c r="D44" s="20">
        <v>8850</v>
      </c>
      <c r="E44" s="20">
        <v>11384</v>
      </c>
      <c r="F44" s="20">
        <v>14111</v>
      </c>
      <c r="G44" s="20">
        <v>17545</v>
      </c>
      <c r="H44" s="20">
        <v>21994</v>
      </c>
      <c r="I44" s="20">
        <v>21037</v>
      </c>
      <c r="J44" s="20">
        <v>20131</v>
      </c>
      <c r="K44" s="20">
        <v>21336</v>
      </c>
      <c r="L44" s="20">
        <v>23797</v>
      </c>
      <c r="M44" s="20">
        <v>22701</v>
      </c>
      <c r="N44" s="20">
        <v>21773</v>
      </c>
      <c r="O44" s="20">
        <v>20465</v>
      </c>
      <c r="P44" s="20">
        <v>24647</v>
      </c>
      <c r="Q44" s="20">
        <v>25612</v>
      </c>
      <c r="R44" s="20">
        <v>23048</v>
      </c>
      <c r="S44" s="20">
        <v>22060</v>
      </c>
      <c r="T44" s="20">
        <v>23110</v>
      </c>
      <c r="U44" s="149">
        <f t="shared" si="16"/>
        <v>8.3145856767904008E-2</v>
      </c>
      <c r="V44" s="149">
        <f t="shared" si="17"/>
        <v>-6.2360530693390676E-2</v>
      </c>
      <c r="W44" s="149">
        <f t="shared" si="18"/>
        <v>4.7597461468721666E-2</v>
      </c>
      <c r="X44" s="218">
        <f t="shared" si="19"/>
        <v>0.42251718590024867</v>
      </c>
      <c r="Y44" s="219">
        <f t="shared" si="20"/>
        <v>1050</v>
      </c>
    </row>
    <row r="45" spans="1:25" x14ac:dyDescent="0.25">
      <c r="A45" s="71" t="s">
        <v>295</v>
      </c>
      <c r="B45" s="21">
        <v>0</v>
      </c>
      <c r="C45" s="21">
        <v>0</v>
      </c>
      <c r="D45" s="21">
        <v>0</v>
      </c>
      <c r="E45" s="21">
        <v>0</v>
      </c>
      <c r="F45" s="21">
        <v>0</v>
      </c>
      <c r="G45" s="21">
        <v>0</v>
      </c>
      <c r="H45" s="21">
        <v>0</v>
      </c>
      <c r="I45" s="21">
        <v>0</v>
      </c>
      <c r="J45" s="21">
        <v>0</v>
      </c>
      <c r="K45" s="21">
        <v>0</v>
      </c>
      <c r="L45" s="21">
        <v>0</v>
      </c>
      <c r="M45" s="21">
        <v>0</v>
      </c>
      <c r="N45" s="21">
        <v>0</v>
      </c>
      <c r="O45" s="21">
        <v>22</v>
      </c>
      <c r="P45" s="21">
        <v>287</v>
      </c>
      <c r="Q45" s="21">
        <v>262</v>
      </c>
      <c r="R45" s="21">
        <v>145</v>
      </c>
      <c r="S45" s="21">
        <v>56</v>
      </c>
      <c r="T45" s="21">
        <v>0</v>
      </c>
      <c r="U45" s="150" t="s">
        <v>130</v>
      </c>
      <c r="V45" s="150">
        <f t="shared" si="17"/>
        <v>-1</v>
      </c>
      <c r="W45" s="150">
        <f t="shared" si="18"/>
        <v>-1</v>
      </c>
      <c r="X45" s="220">
        <f t="shared" si="19"/>
        <v>0</v>
      </c>
      <c r="Y45" s="221">
        <f t="shared" si="20"/>
        <v>-56</v>
      </c>
    </row>
    <row r="46" spans="1:25" x14ac:dyDescent="0.25">
      <c r="A46" s="143" t="s">
        <v>96</v>
      </c>
      <c r="B46" s="95">
        <v>0</v>
      </c>
      <c r="C46" s="95">
        <v>0</v>
      </c>
      <c r="D46" s="95">
        <v>0</v>
      </c>
      <c r="E46" s="95">
        <v>0</v>
      </c>
      <c r="F46" s="95">
        <v>0</v>
      </c>
      <c r="G46" s="95">
        <v>0</v>
      </c>
      <c r="H46" s="95">
        <v>0</v>
      </c>
      <c r="I46" s="95">
        <v>0</v>
      </c>
      <c r="J46" s="95">
        <v>0</v>
      </c>
      <c r="K46" s="95">
        <v>0</v>
      </c>
      <c r="L46" s="95">
        <v>0</v>
      </c>
      <c r="M46" s="95">
        <v>0</v>
      </c>
      <c r="N46" s="95">
        <v>0</v>
      </c>
      <c r="O46" s="95">
        <v>0</v>
      </c>
      <c r="P46" s="95">
        <v>117</v>
      </c>
      <c r="Q46" s="95">
        <v>114</v>
      </c>
      <c r="R46" s="95">
        <v>73</v>
      </c>
      <c r="S46" s="95">
        <v>29</v>
      </c>
      <c r="T46" s="95">
        <v>0</v>
      </c>
      <c r="U46" s="149" t="s">
        <v>130</v>
      </c>
      <c r="V46" s="149">
        <f t="shared" si="17"/>
        <v>-1</v>
      </c>
      <c r="W46" s="149">
        <f t="shared" si="18"/>
        <v>-1</v>
      </c>
      <c r="X46" s="218">
        <f t="shared" si="19"/>
        <v>0</v>
      </c>
      <c r="Y46" s="219">
        <f t="shared" si="20"/>
        <v>-29</v>
      </c>
    </row>
    <row r="47" spans="1:25" x14ac:dyDescent="0.25">
      <c r="A47" s="143" t="s">
        <v>97</v>
      </c>
      <c r="B47" s="20">
        <v>0</v>
      </c>
      <c r="C47" s="20">
        <v>0</v>
      </c>
      <c r="D47" s="20">
        <v>0</v>
      </c>
      <c r="E47" s="20">
        <v>0</v>
      </c>
      <c r="F47" s="20">
        <v>0</v>
      </c>
      <c r="G47" s="20">
        <v>0</v>
      </c>
      <c r="H47" s="20">
        <v>0</v>
      </c>
      <c r="I47" s="20">
        <v>0</v>
      </c>
      <c r="J47" s="20">
        <v>0</v>
      </c>
      <c r="K47" s="20">
        <v>0</v>
      </c>
      <c r="L47" s="20">
        <v>0</v>
      </c>
      <c r="M47" s="20">
        <v>0</v>
      </c>
      <c r="N47" s="20">
        <v>0</v>
      </c>
      <c r="O47" s="20">
        <v>22</v>
      </c>
      <c r="P47" s="20">
        <v>170</v>
      </c>
      <c r="Q47" s="20">
        <v>148</v>
      </c>
      <c r="R47" s="20">
        <v>72</v>
      </c>
      <c r="S47" s="20">
        <v>27</v>
      </c>
      <c r="T47" s="20">
        <v>0</v>
      </c>
      <c r="U47" s="149" t="s">
        <v>130</v>
      </c>
      <c r="V47" s="149">
        <f t="shared" si="17"/>
        <v>-1</v>
      </c>
      <c r="W47" s="149">
        <f t="shared" si="18"/>
        <v>-1</v>
      </c>
      <c r="X47" s="218">
        <f t="shared" si="19"/>
        <v>0</v>
      </c>
      <c r="Y47" s="219">
        <f t="shared" si="20"/>
        <v>-27</v>
      </c>
    </row>
    <row r="48" spans="1:25" s="42" customFormat="1" x14ac:dyDescent="0.25">
      <c r="A48" s="71" t="s">
        <v>0</v>
      </c>
      <c r="B48" s="21">
        <v>20693</v>
      </c>
      <c r="C48" s="21">
        <v>26074</v>
      </c>
      <c r="D48" s="21">
        <v>28357</v>
      </c>
      <c r="E48" s="21">
        <v>33398</v>
      </c>
      <c r="F48" s="21">
        <v>34480</v>
      </c>
      <c r="G48" s="21">
        <v>41201</v>
      </c>
      <c r="H48" s="21">
        <v>46726</v>
      </c>
      <c r="I48" s="21">
        <v>46806</v>
      </c>
      <c r="J48" s="21">
        <v>45116</v>
      </c>
      <c r="K48" s="21">
        <v>47584</v>
      </c>
      <c r="L48" s="21">
        <v>48698</v>
      </c>
      <c r="M48" s="21">
        <v>46875</v>
      </c>
      <c r="N48" s="21">
        <v>48391</v>
      </c>
      <c r="O48" s="21">
        <v>45483</v>
      </c>
      <c r="P48" s="21">
        <v>53247</v>
      </c>
      <c r="Q48" s="21">
        <v>54585</v>
      </c>
      <c r="R48" s="21">
        <v>52303</v>
      </c>
      <c r="S48" s="21">
        <v>52061</v>
      </c>
      <c r="T48" s="21">
        <v>54696</v>
      </c>
      <c r="U48" s="150">
        <f t="shared" si="16"/>
        <v>0.14946200403496973</v>
      </c>
      <c r="V48" s="150">
        <f t="shared" si="17"/>
        <v>2.7212800721167388E-2</v>
      </c>
      <c r="W48" s="150">
        <f t="shared" si="18"/>
        <v>5.0613703155913257E-2</v>
      </c>
      <c r="X48" s="220">
        <f t="shared" si="19"/>
        <v>1</v>
      </c>
      <c r="Y48" s="221">
        <f t="shared" si="20"/>
        <v>2635</v>
      </c>
    </row>
    <row r="49" spans="1:25" x14ac:dyDescent="0.25">
      <c r="A49" s="100" t="s">
        <v>296</v>
      </c>
      <c r="B49" s="3"/>
      <c r="C49" s="3"/>
      <c r="D49" s="3"/>
      <c r="E49" s="3"/>
      <c r="F49" s="3"/>
      <c r="G49" s="3"/>
      <c r="H49" s="3"/>
      <c r="I49" s="3"/>
      <c r="J49" s="3"/>
      <c r="K49" s="3"/>
      <c r="L49" s="3"/>
      <c r="U49" s="3"/>
      <c r="V49" s="3"/>
      <c r="W49" s="3"/>
      <c r="X49" s="3"/>
    </row>
    <row r="50" spans="1:25" x14ac:dyDescent="0.25">
      <c r="A50" s="114" t="s">
        <v>687</v>
      </c>
      <c r="B50" s="3"/>
      <c r="C50" s="3"/>
      <c r="D50" s="3"/>
      <c r="E50" s="3"/>
      <c r="F50" s="3"/>
      <c r="G50" s="3"/>
      <c r="H50" s="3"/>
      <c r="I50" s="3"/>
      <c r="J50" s="3"/>
      <c r="K50" s="3"/>
      <c r="L50" s="3"/>
      <c r="U50" s="3"/>
      <c r="V50" s="3"/>
      <c r="W50" s="3"/>
      <c r="X50" s="3"/>
    </row>
    <row r="51" spans="1:25" x14ac:dyDescent="0.25">
      <c r="A51" s="114"/>
      <c r="B51" s="3"/>
      <c r="C51" s="3"/>
      <c r="D51" s="3"/>
      <c r="E51" s="3"/>
      <c r="F51" s="3"/>
      <c r="G51" s="3"/>
      <c r="H51" s="3"/>
      <c r="I51" s="3"/>
      <c r="J51" s="3"/>
      <c r="K51" s="3"/>
      <c r="L51" s="3"/>
      <c r="U51" s="3"/>
      <c r="V51" s="3"/>
      <c r="W51" s="3"/>
      <c r="X51" s="3"/>
    </row>
    <row r="52" spans="1:25" ht="18" x14ac:dyDescent="0.25">
      <c r="A52" s="22" t="s">
        <v>251</v>
      </c>
      <c r="B52" s="22"/>
      <c r="C52" s="22"/>
      <c r="M52" s="4"/>
      <c r="N52" s="4"/>
      <c r="O52" s="4"/>
      <c r="P52" s="4"/>
      <c r="Q52" s="4"/>
      <c r="R52" s="4"/>
      <c r="S52" s="4"/>
      <c r="T52" s="4"/>
      <c r="U52" s="4"/>
      <c r="V52" s="4"/>
      <c r="W52" s="4"/>
    </row>
    <row r="53" spans="1:25" ht="40.5" customHeight="1" x14ac:dyDescent="0.25">
      <c r="A53" s="104" t="s">
        <v>98</v>
      </c>
      <c r="B53" s="105">
        <v>2007</v>
      </c>
      <c r="C53" s="105">
        <v>2008</v>
      </c>
      <c r="D53" s="105">
        <v>2009</v>
      </c>
      <c r="E53" s="105">
        <v>2010</v>
      </c>
      <c r="F53" s="105">
        <v>2011</v>
      </c>
      <c r="G53" s="105">
        <v>2012</v>
      </c>
      <c r="H53" s="105">
        <v>2013</v>
      </c>
      <c r="I53" s="105">
        <v>2014</v>
      </c>
      <c r="J53" s="105">
        <v>2015</v>
      </c>
      <c r="K53" s="105">
        <v>2016</v>
      </c>
      <c r="L53" s="105">
        <v>2017</v>
      </c>
      <c r="M53" s="132">
        <v>2018</v>
      </c>
      <c r="N53" s="105">
        <v>2019</v>
      </c>
      <c r="O53" s="105">
        <v>2020</v>
      </c>
      <c r="P53" s="105">
        <v>2021</v>
      </c>
      <c r="Q53" s="105">
        <v>2022</v>
      </c>
      <c r="R53" s="105">
        <v>2023</v>
      </c>
      <c r="S53" s="105">
        <v>2024</v>
      </c>
      <c r="T53" s="105">
        <v>2025</v>
      </c>
      <c r="U53" s="106" t="s">
        <v>546</v>
      </c>
      <c r="V53" s="106" t="s">
        <v>547</v>
      </c>
      <c r="W53" s="106" t="s">
        <v>548</v>
      </c>
      <c r="X53" s="106" t="s">
        <v>549</v>
      </c>
      <c r="Y53" s="216" t="s">
        <v>563</v>
      </c>
    </row>
    <row r="54" spans="1:25" s="42" customFormat="1" x14ac:dyDescent="0.25">
      <c r="A54" s="71" t="s">
        <v>282</v>
      </c>
      <c r="B54" s="89">
        <v>3108</v>
      </c>
      <c r="C54" s="89">
        <v>3781</v>
      </c>
      <c r="D54" s="90">
        <v>3398</v>
      </c>
      <c r="E54" s="90">
        <v>4110</v>
      </c>
      <c r="F54" s="90">
        <v>3228</v>
      </c>
      <c r="G54" s="90">
        <v>3389</v>
      </c>
      <c r="H54" s="90">
        <v>3362</v>
      </c>
      <c r="I54" s="90">
        <v>3347</v>
      </c>
      <c r="J54" s="90">
        <v>3311</v>
      </c>
      <c r="K54" s="90">
        <v>3549</v>
      </c>
      <c r="L54" s="90">
        <v>3156</v>
      </c>
      <c r="M54" s="90">
        <v>3440</v>
      </c>
      <c r="N54" s="90">
        <v>3240</v>
      </c>
      <c r="O54" s="90">
        <v>2658</v>
      </c>
      <c r="P54" s="90">
        <v>3821</v>
      </c>
      <c r="Q54" s="90">
        <v>3221</v>
      </c>
      <c r="R54" s="90">
        <v>3635</v>
      </c>
      <c r="S54" s="90">
        <v>3547</v>
      </c>
      <c r="T54" s="90">
        <v>4097</v>
      </c>
      <c r="U54" s="149">
        <f t="shared" ref="U54:U63" si="21">(T54-K54)/K54</f>
        <v>0.15440969287123132</v>
      </c>
      <c r="V54" s="149">
        <f t="shared" ref="V54:V63" si="22">(T54-P54)/P54</f>
        <v>7.2232399895315366E-2</v>
      </c>
      <c r="W54" s="149">
        <f t="shared" ref="W54:W63" si="23">(T54-S54)/S54</f>
        <v>0.15506061460389062</v>
      </c>
      <c r="X54" s="218">
        <f t="shared" ref="X54:X63" si="24">T54/T$19</f>
        <v>0.23742466388502551</v>
      </c>
      <c r="Y54" s="219">
        <f t="shared" ref="Y54:Y63" si="25">T54-S54</f>
        <v>550</v>
      </c>
    </row>
    <row r="55" spans="1:25" x14ac:dyDescent="0.25">
      <c r="A55" s="143" t="s">
        <v>96</v>
      </c>
      <c r="B55" s="26">
        <v>292</v>
      </c>
      <c r="C55" s="26">
        <v>389</v>
      </c>
      <c r="D55" s="32">
        <v>333</v>
      </c>
      <c r="E55" s="32">
        <v>396</v>
      </c>
      <c r="F55" s="32">
        <v>353</v>
      </c>
      <c r="G55" s="32">
        <v>376</v>
      </c>
      <c r="H55" s="32">
        <v>354</v>
      </c>
      <c r="I55" s="32">
        <v>366</v>
      </c>
      <c r="J55" s="32">
        <v>370</v>
      </c>
      <c r="K55" s="32">
        <v>384</v>
      </c>
      <c r="L55" s="32">
        <v>426</v>
      </c>
      <c r="M55" s="32">
        <v>513</v>
      </c>
      <c r="N55" s="32">
        <v>498</v>
      </c>
      <c r="O55" s="32">
        <v>464</v>
      </c>
      <c r="P55" s="32">
        <v>567</v>
      </c>
      <c r="Q55" s="32">
        <v>447</v>
      </c>
      <c r="R55" s="32">
        <v>531</v>
      </c>
      <c r="S55" s="32">
        <v>606</v>
      </c>
      <c r="T55" s="32">
        <v>703</v>
      </c>
      <c r="U55" s="149">
        <f t="shared" si="21"/>
        <v>0.83072916666666663</v>
      </c>
      <c r="V55" s="149">
        <f t="shared" si="22"/>
        <v>0.23985890652557318</v>
      </c>
      <c r="W55" s="149">
        <f t="shared" si="23"/>
        <v>0.16006600660066006</v>
      </c>
      <c r="X55" s="218">
        <f t="shared" si="24"/>
        <v>4.0739452943903569E-2</v>
      </c>
      <c r="Y55" s="219">
        <f t="shared" si="25"/>
        <v>97</v>
      </c>
    </row>
    <row r="56" spans="1:25" x14ac:dyDescent="0.25">
      <c r="A56" s="143" t="s">
        <v>97</v>
      </c>
      <c r="B56" s="26">
        <v>2816</v>
      </c>
      <c r="C56" s="26">
        <v>3392</v>
      </c>
      <c r="D56" s="32">
        <v>3065</v>
      </c>
      <c r="E56" s="32">
        <v>3714</v>
      </c>
      <c r="F56" s="32">
        <v>2875</v>
      </c>
      <c r="G56" s="32">
        <v>3013</v>
      </c>
      <c r="H56" s="32">
        <v>3008</v>
      </c>
      <c r="I56" s="32">
        <v>2981</v>
      </c>
      <c r="J56" s="32">
        <v>2941</v>
      </c>
      <c r="K56" s="32">
        <v>3165</v>
      </c>
      <c r="L56" s="32">
        <v>2730</v>
      </c>
      <c r="M56" s="32">
        <v>2927</v>
      </c>
      <c r="N56" s="32">
        <v>2742</v>
      </c>
      <c r="O56" s="32">
        <v>2194</v>
      </c>
      <c r="P56" s="32">
        <v>3254</v>
      </c>
      <c r="Q56" s="32">
        <v>2774</v>
      </c>
      <c r="R56" s="32">
        <v>3104</v>
      </c>
      <c r="S56" s="32">
        <v>2941</v>
      </c>
      <c r="T56" s="32">
        <v>3394</v>
      </c>
      <c r="U56" s="149">
        <f t="shared" si="21"/>
        <v>7.2353870458135863E-2</v>
      </c>
      <c r="V56" s="149">
        <f t="shared" si="22"/>
        <v>4.3023970497848799E-2</v>
      </c>
      <c r="W56" s="149">
        <f t="shared" si="23"/>
        <v>0.15402924175450527</v>
      </c>
      <c r="X56" s="218">
        <f t="shared" si="24"/>
        <v>0.19668521094112193</v>
      </c>
      <c r="Y56" s="219">
        <f t="shared" si="25"/>
        <v>453</v>
      </c>
    </row>
    <row r="57" spans="1:25" s="42" customFormat="1" x14ac:dyDescent="0.25">
      <c r="A57" s="71" t="s">
        <v>283</v>
      </c>
      <c r="B57" s="89">
        <v>2455</v>
      </c>
      <c r="C57" s="89">
        <v>2324</v>
      </c>
      <c r="D57" s="90">
        <v>2948</v>
      </c>
      <c r="E57" s="90">
        <v>2563</v>
      </c>
      <c r="F57" s="90">
        <v>2738</v>
      </c>
      <c r="G57" s="90">
        <v>2487</v>
      </c>
      <c r="H57" s="90">
        <v>2737</v>
      </c>
      <c r="I57" s="90">
        <v>2716</v>
      </c>
      <c r="J57" s="90">
        <v>3099</v>
      </c>
      <c r="K57" s="90">
        <v>3420</v>
      </c>
      <c r="L57" s="90">
        <v>3385</v>
      </c>
      <c r="M57" s="90">
        <v>3165</v>
      </c>
      <c r="N57" s="90">
        <v>4071</v>
      </c>
      <c r="O57" s="90">
        <v>3423</v>
      </c>
      <c r="P57" s="90">
        <v>4731</v>
      </c>
      <c r="Q57" s="90">
        <v>4426</v>
      </c>
      <c r="R57" s="90">
        <v>4701</v>
      </c>
      <c r="S57" s="90">
        <v>5053</v>
      </c>
      <c r="T57" s="90">
        <v>5487</v>
      </c>
      <c r="U57" s="149">
        <f t="shared" si="21"/>
        <v>0.60438596491228069</v>
      </c>
      <c r="V57" s="149">
        <f t="shared" si="22"/>
        <v>0.15979708306911858</v>
      </c>
      <c r="W57" s="149">
        <f t="shared" si="23"/>
        <v>8.5889570552147243E-2</v>
      </c>
      <c r="X57" s="218">
        <f t="shared" si="24"/>
        <v>0.31797635605006952</v>
      </c>
      <c r="Y57" s="219">
        <f t="shared" si="25"/>
        <v>434</v>
      </c>
    </row>
    <row r="58" spans="1:25" x14ac:dyDescent="0.25">
      <c r="A58" s="143" t="s">
        <v>96</v>
      </c>
      <c r="B58" s="26">
        <v>346</v>
      </c>
      <c r="C58" s="26">
        <v>332</v>
      </c>
      <c r="D58" s="32">
        <v>311</v>
      </c>
      <c r="E58" s="32">
        <v>362</v>
      </c>
      <c r="F58" s="32">
        <v>436</v>
      </c>
      <c r="G58" s="32">
        <v>359</v>
      </c>
      <c r="H58" s="32">
        <v>380</v>
      </c>
      <c r="I58" s="32">
        <v>409</v>
      </c>
      <c r="J58" s="32">
        <v>479</v>
      </c>
      <c r="K58" s="32">
        <v>514</v>
      </c>
      <c r="L58" s="32">
        <v>514</v>
      </c>
      <c r="M58" s="32">
        <v>527</v>
      </c>
      <c r="N58" s="32">
        <v>580</v>
      </c>
      <c r="O58" s="32">
        <v>595</v>
      </c>
      <c r="P58" s="32">
        <v>560</v>
      </c>
      <c r="Q58" s="32">
        <v>525</v>
      </c>
      <c r="R58" s="32">
        <v>630</v>
      </c>
      <c r="S58" s="32">
        <v>757</v>
      </c>
      <c r="T58" s="32">
        <v>794</v>
      </c>
      <c r="U58" s="149">
        <f t="shared" si="21"/>
        <v>0.54474708171206221</v>
      </c>
      <c r="V58" s="149">
        <f t="shared" si="22"/>
        <v>0.41785714285714287</v>
      </c>
      <c r="W58" s="149">
        <f t="shared" si="23"/>
        <v>4.8877146631439897E-2</v>
      </c>
      <c r="X58" s="218">
        <f t="shared" si="24"/>
        <v>4.6012980992118681E-2</v>
      </c>
      <c r="Y58" s="219">
        <f t="shared" si="25"/>
        <v>37</v>
      </c>
    </row>
    <row r="59" spans="1:25" x14ac:dyDescent="0.25">
      <c r="A59" s="143" t="s">
        <v>97</v>
      </c>
      <c r="B59" s="26">
        <v>2109</v>
      </c>
      <c r="C59" s="26">
        <v>1992</v>
      </c>
      <c r="D59" s="32">
        <v>2637</v>
      </c>
      <c r="E59" s="32">
        <v>2201</v>
      </c>
      <c r="F59" s="32">
        <v>2302</v>
      </c>
      <c r="G59" s="32">
        <v>2128</v>
      </c>
      <c r="H59" s="32">
        <v>2357</v>
      </c>
      <c r="I59" s="32">
        <v>2307</v>
      </c>
      <c r="J59" s="32">
        <v>2620</v>
      </c>
      <c r="K59" s="32">
        <v>2906</v>
      </c>
      <c r="L59" s="32">
        <v>2871</v>
      </c>
      <c r="M59" s="32">
        <v>2638</v>
      </c>
      <c r="N59" s="32">
        <v>3491</v>
      </c>
      <c r="O59" s="32">
        <v>2828</v>
      </c>
      <c r="P59" s="32">
        <v>4171</v>
      </c>
      <c r="Q59" s="32">
        <v>3901</v>
      </c>
      <c r="R59" s="32">
        <v>4071</v>
      </c>
      <c r="S59" s="32">
        <v>4296</v>
      </c>
      <c r="T59" s="32">
        <v>4693</v>
      </c>
      <c r="U59" s="149">
        <f t="shared" si="21"/>
        <v>0.61493461803165861</v>
      </c>
      <c r="V59" s="149">
        <f t="shared" si="22"/>
        <v>0.12514984416207145</v>
      </c>
      <c r="W59" s="149">
        <f t="shared" si="23"/>
        <v>9.2411545623836133E-2</v>
      </c>
      <c r="X59" s="218">
        <f t="shared" si="24"/>
        <v>0.27196337505795087</v>
      </c>
      <c r="Y59" s="219">
        <f t="shared" si="25"/>
        <v>397</v>
      </c>
    </row>
    <row r="60" spans="1:25" s="42" customFormat="1" x14ac:dyDescent="0.25">
      <c r="A60" s="71" t="s">
        <v>247</v>
      </c>
      <c r="B60" s="89">
        <v>2608</v>
      </c>
      <c r="C60" s="89">
        <v>4193</v>
      </c>
      <c r="D60" s="90">
        <v>4016</v>
      </c>
      <c r="E60" s="90">
        <v>5297</v>
      </c>
      <c r="F60" s="90">
        <v>5477</v>
      </c>
      <c r="G60" s="90">
        <v>5841</v>
      </c>
      <c r="H60" s="90">
        <v>7824</v>
      </c>
      <c r="I60" s="90">
        <v>7496</v>
      </c>
      <c r="J60" s="90">
        <v>6892</v>
      </c>
      <c r="K60" s="90">
        <v>6850</v>
      </c>
      <c r="L60" s="90">
        <v>7458</v>
      </c>
      <c r="M60" s="90">
        <v>7967</v>
      </c>
      <c r="N60" s="90">
        <v>6301</v>
      </c>
      <c r="O60" s="90">
        <v>5464</v>
      </c>
      <c r="P60" s="90">
        <v>8750</v>
      </c>
      <c r="Q60" s="90">
        <v>7363</v>
      </c>
      <c r="R60" s="90">
        <v>6567</v>
      </c>
      <c r="S60" s="90">
        <v>7512</v>
      </c>
      <c r="T60" s="90">
        <v>7672</v>
      </c>
      <c r="U60" s="149">
        <f t="shared" si="21"/>
        <v>0.12</v>
      </c>
      <c r="V60" s="149">
        <f t="shared" si="22"/>
        <v>-0.1232</v>
      </c>
      <c r="W60" s="149">
        <f t="shared" si="23"/>
        <v>2.1299254526091587E-2</v>
      </c>
      <c r="X60" s="218">
        <f t="shared" si="24"/>
        <v>0.44459898006490495</v>
      </c>
      <c r="Y60" s="219">
        <f t="shared" si="25"/>
        <v>160</v>
      </c>
    </row>
    <row r="61" spans="1:25" x14ac:dyDescent="0.25">
      <c r="A61" s="143" t="s">
        <v>96</v>
      </c>
      <c r="B61" s="26">
        <v>128</v>
      </c>
      <c r="C61" s="26">
        <v>171</v>
      </c>
      <c r="D61" s="32">
        <v>81</v>
      </c>
      <c r="E61" s="32">
        <v>83</v>
      </c>
      <c r="F61" s="32">
        <v>131</v>
      </c>
      <c r="G61" s="32">
        <v>135</v>
      </c>
      <c r="H61" s="32">
        <v>233</v>
      </c>
      <c r="I61" s="32">
        <v>169</v>
      </c>
      <c r="J61" s="32">
        <v>130</v>
      </c>
      <c r="K61" s="32">
        <v>127</v>
      </c>
      <c r="L61" s="32">
        <v>112</v>
      </c>
      <c r="M61" s="32">
        <v>163</v>
      </c>
      <c r="N61" s="32">
        <v>148</v>
      </c>
      <c r="O61" s="32">
        <v>91</v>
      </c>
      <c r="P61" s="32">
        <v>161</v>
      </c>
      <c r="Q61" s="32">
        <v>143</v>
      </c>
      <c r="R61" s="32">
        <v>185</v>
      </c>
      <c r="S61" s="32">
        <v>226</v>
      </c>
      <c r="T61" s="32">
        <v>255</v>
      </c>
      <c r="U61" s="149">
        <f t="shared" si="21"/>
        <v>1.0078740157480315</v>
      </c>
      <c r="V61" s="149">
        <f t="shared" si="22"/>
        <v>0.58385093167701863</v>
      </c>
      <c r="W61" s="149">
        <f t="shared" si="23"/>
        <v>0.12831858407079647</v>
      </c>
      <c r="X61" s="218">
        <f t="shared" si="24"/>
        <v>1.4777468706536857E-2</v>
      </c>
      <c r="Y61" s="219">
        <f t="shared" si="25"/>
        <v>29</v>
      </c>
    </row>
    <row r="62" spans="1:25" x14ac:dyDescent="0.25">
      <c r="A62" s="143" t="s">
        <v>97</v>
      </c>
      <c r="B62" s="26">
        <v>2480</v>
      </c>
      <c r="C62" s="26">
        <v>4022</v>
      </c>
      <c r="D62" s="32">
        <v>3935</v>
      </c>
      <c r="E62" s="32">
        <v>5214</v>
      </c>
      <c r="F62" s="32">
        <v>5346</v>
      </c>
      <c r="G62" s="32">
        <v>5706</v>
      </c>
      <c r="H62" s="32">
        <v>7591</v>
      </c>
      <c r="I62" s="32">
        <v>7327</v>
      </c>
      <c r="J62" s="32">
        <v>6762</v>
      </c>
      <c r="K62" s="32">
        <v>6723</v>
      </c>
      <c r="L62" s="32">
        <v>7346</v>
      </c>
      <c r="M62" s="32">
        <v>7804</v>
      </c>
      <c r="N62" s="32">
        <v>6153</v>
      </c>
      <c r="O62" s="32">
        <v>5373</v>
      </c>
      <c r="P62" s="32">
        <v>8589</v>
      </c>
      <c r="Q62" s="32">
        <v>7220</v>
      </c>
      <c r="R62" s="32">
        <v>6382</v>
      </c>
      <c r="S62" s="32">
        <v>7286</v>
      </c>
      <c r="T62" s="32">
        <v>7417</v>
      </c>
      <c r="U62" s="149">
        <f t="shared" si="21"/>
        <v>0.10322772571768556</v>
      </c>
      <c r="V62" s="149">
        <f t="shared" si="22"/>
        <v>-0.13645360344626847</v>
      </c>
      <c r="W62" s="149">
        <f t="shared" si="23"/>
        <v>1.7979687071095252E-2</v>
      </c>
      <c r="X62" s="218">
        <f t="shared" si="24"/>
        <v>0.4298215113583681</v>
      </c>
      <c r="Y62" s="219">
        <f t="shared" si="25"/>
        <v>131</v>
      </c>
    </row>
    <row r="63" spans="1:25" s="42" customFormat="1" x14ac:dyDescent="0.25">
      <c r="A63" s="71" t="s">
        <v>0</v>
      </c>
      <c r="B63" s="21">
        <v>8171</v>
      </c>
      <c r="C63" s="21">
        <v>10298</v>
      </c>
      <c r="D63" s="21">
        <v>10362</v>
      </c>
      <c r="E63" s="21">
        <v>11970</v>
      </c>
      <c r="F63" s="21">
        <v>11443</v>
      </c>
      <c r="G63" s="21">
        <v>11717</v>
      </c>
      <c r="H63" s="21">
        <v>13923</v>
      </c>
      <c r="I63" s="21">
        <v>13559</v>
      </c>
      <c r="J63" s="21">
        <v>13302</v>
      </c>
      <c r="K63" s="21">
        <v>13819</v>
      </c>
      <c r="L63" s="21">
        <v>13999</v>
      </c>
      <c r="M63" s="21">
        <v>14572</v>
      </c>
      <c r="N63" s="90">
        <v>13612</v>
      </c>
      <c r="O63" s="90">
        <v>11545</v>
      </c>
      <c r="P63" s="90">
        <v>17302</v>
      </c>
      <c r="Q63" s="90">
        <v>15010</v>
      </c>
      <c r="R63" s="90">
        <v>14903</v>
      </c>
      <c r="S63" s="90">
        <v>16112</v>
      </c>
      <c r="T63" s="90">
        <v>17256</v>
      </c>
      <c r="U63" s="150">
        <f t="shared" si="21"/>
        <v>0.24871553658007092</v>
      </c>
      <c r="V63" s="150">
        <f t="shared" si="22"/>
        <v>-2.6586521789388512E-3</v>
      </c>
      <c r="W63" s="150">
        <f t="shared" si="23"/>
        <v>7.1002979145978154E-2</v>
      </c>
      <c r="X63" s="220">
        <f t="shared" si="24"/>
        <v>1</v>
      </c>
      <c r="Y63" s="221">
        <f t="shared" si="25"/>
        <v>1144</v>
      </c>
    </row>
    <row r="64" spans="1:25" x14ac:dyDescent="0.25">
      <c r="A64" s="100" t="s">
        <v>296</v>
      </c>
      <c r="B64" s="3"/>
      <c r="C64" s="3"/>
      <c r="D64" s="3"/>
      <c r="E64" s="3"/>
      <c r="F64" s="3"/>
      <c r="G64" s="3"/>
      <c r="H64" s="3"/>
    </row>
    <row r="66" spans="1:25" ht="15.75" x14ac:dyDescent="0.25">
      <c r="A66" s="22" t="s">
        <v>341</v>
      </c>
    </row>
    <row r="67" spans="1:25" ht="39" customHeight="1" x14ac:dyDescent="0.25">
      <c r="A67" s="104" t="s">
        <v>343</v>
      </c>
      <c r="B67" s="105">
        <v>2007</v>
      </c>
      <c r="C67" s="105">
        <v>2008</v>
      </c>
      <c r="D67" s="105">
        <v>2009</v>
      </c>
      <c r="E67" s="105">
        <v>2010</v>
      </c>
      <c r="F67" s="105">
        <v>2011</v>
      </c>
      <c r="G67" s="105">
        <v>2012</v>
      </c>
      <c r="H67" s="105">
        <v>2013</v>
      </c>
      <c r="I67" s="105">
        <v>2014</v>
      </c>
      <c r="J67" s="105">
        <v>2015</v>
      </c>
      <c r="K67" s="105">
        <v>2016</v>
      </c>
      <c r="L67" s="105">
        <v>2017</v>
      </c>
      <c r="M67" s="132">
        <v>2018</v>
      </c>
      <c r="N67" s="105">
        <v>2019</v>
      </c>
      <c r="O67" s="105">
        <v>2020</v>
      </c>
      <c r="P67" s="105">
        <v>2021</v>
      </c>
      <c r="Q67" s="105">
        <v>2022</v>
      </c>
      <c r="R67" s="105">
        <v>2023</v>
      </c>
      <c r="S67" s="105">
        <v>2024</v>
      </c>
      <c r="T67" s="105">
        <v>2025</v>
      </c>
      <c r="U67" s="106" t="s">
        <v>546</v>
      </c>
      <c r="V67" s="106" t="s">
        <v>547</v>
      </c>
      <c r="W67" s="106" t="s">
        <v>548</v>
      </c>
      <c r="X67" s="106" t="s">
        <v>549</v>
      </c>
      <c r="Y67" s="216" t="s">
        <v>563</v>
      </c>
    </row>
    <row r="68" spans="1:25" x14ac:dyDescent="0.25">
      <c r="A68" s="71" t="s">
        <v>96</v>
      </c>
      <c r="B68" s="21">
        <v>3029</v>
      </c>
      <c r="C68" s="21">
        <v>3629</v>
      </c>
      <c r="D68" s="21">
        <v>3738</v>
      </c>
      <c r="E68" s="21">
        <v>4055</v>
      </c>
      <c r="F68" s="21">
        <v>4052</v>
      </c>
      <c r="G68" s="21">
        <v>4471</v>
      </c>
      <c r="H68" s="21">
        <v>4653</v>
      </c>
      <c r="I68" s="21">
        <v>4925</v>
      </c>
      <c r="J68" s="21">
        <v>5172</v>
      </c>
      <c r="K68" s="21">
        <v>5545</v>
      </c>
      <c r="L68" s="21">
        <v>5536</v>
      </c>
      <c r="M68" s="21">
        <v>5939</v>
      </c>
      <c r="N68" s="21">
        <v>6046</v>
      </c>
      <c r="O68" s="21">
        <v>6024</v>
      </c>
      <c r="P68" s="21">
        <v>6729</v>
      </c>
      <c r="Q68" s="21">
        <v>6875</v>
      </c>
      <c r="R68" s="21">
        <v>7102</v>
      </c>
      <c r="S68" s="21">
        <v>7473</v>
      </c>
      <c r="T68" s="21">
        <v>8050</v>
      </c>
      <c r="U68" s="149">
        <f t="shared" ref="U68:U80" si="26">(T68-K68)/K68</f>
        <v>0.45175834084761046</v>
      </c>
      <c r="V68" s="149">
        <f t="shared" ref="V68:V80" si="27">(T68-P68)/P68</f>
        <v>0.19631445980086193</v>
      </c>
      <c r="W68" s="149">
        <f t="shared" ref="W68:W80" si="28">(T68-S68)/S68</f>
        <v>7.721129399170347E-2</v>
      </c>
      <c r="X68" s="218">
        <f t="shared" ref="X68:X80" si="29">T68/T$10</f>
        <v>0.14717712446979669</v>
      </c>
      <c r="Y68" s="219">
        <f t="shared" ref="Y68:Y80" si="30">T68-S68</f>
        <v>577</v>
      </c>
    </row>
    <row r="69" spans="1:25" s="42" customFormat="1" x14ac:dyDescent="0.25">
      <c r="A69" s="143" t="s">
        <v>88</v>
      </c>
      <c r="B69" s="20">
        <v>2514</v>
      </c>
      <c r="C69" s="20">
        <v>2780</v>
      </c>
      <c r="D69" s="20">
        <v>2839</v>
      </c>
      <c r="E69" s="20">
        <v>3307</v>
      </c>
      <c r="F69" s="20">
        <v>3768</v>
      </c>
      <c r="G69" s="20">
        <v>4021</v>
      </c>
      <c r="H69" s="20">
        <v>3986</v>
      </c>
      <c r="I69" s="20">
        <v>4274</v>
      </c>
      <c r="J69" s="20">
        <v>4608</v>
      </c>
      <c r="K69" s="20">
        <v>4931</v>
      </c>
      <c r="L69" s="20">
        <v>4969</v>
      </c>
      <c r="M69" s="20">
        <v>5325</v>
      </c>
      <c r="N69" s="20">
        <v>5490</v>
      </c>
      <c r="O69" s="20">
        <v>5556</v>
      </c>
      <c r="P69" s="20">
        <v>6025</v>
      </c>
      <c r="Q69" s="20">
        <v>6109</v>
      </c>
      <c r="R69" s="20">
        <v>6482</v>
      </c>
      <c r="S69" s="20">
        <v>6930</v>
      </c>
      <c r="T69" s="20">
        <v>7522</v>
      </c>
      <c r="U69" s="149">
        <f t="shared" si="26"/>
        <v>0.52545122693165691</v>
      </c>
      <c r="V69" s="149">
        <f t="shared" si="27"/>
        <v>0.24846473029045643</v>
      </c>
      <c r="W69" s="149">
        <f t="shared" si="28"/>
        <v>8.5425685425685433E-2</v>
      </c>
      <c r="X69" s="218">
        <f t="shared" si="29"/>
        <v>0.13752376773438643</v>
      </c>
      <c r="Y69" s="219">
        <f t="shared" si="30"/>
        <v>592</v>
      </c>
    </row>
    <row r="70" spans="1:25" x14ac:dyDescent="0.25">
      <c r="A70" s="143" t="s">
        <v>89</v>
      </c>
      <c r="B70" s="20">
        <v>316</v>
      </c>
      <c r="C70" s="20">
        <v>382</v>
      </c>
      <c r="D70" s="20">
        <v>557</v>
      </c>
      <c r="E70" s="20">
        <v>519</v>
      </c>
      <c r="F70" s="20">
        <v>256</v>
      </c>
      <c r="G70" s="20">
        <v>290</v>
      </c>
      <c r="H70" s="20">
        <v>458</v>
      </c>
      <c r="I70" s="20">
        <v>487</v>
      </c>
      <c r="J70" s="20">
        <v>411</v>
      </c>
      <c r="K70" s="20">
        <v>515</v>
      </c>
      <c r="L70" s="20">
        <v>492</v>
      </c>
      <c r="M70" s="20">
        <v>489</v>
      </c>
      <c r="N70" s="20">
        <v>446</v>
      </c>
      <c r="O70" s="20">
        <v>377</v>
      </c>
      <c r="P70" s="20">
        <v>494</v>
      </c>
      <c r="Q70" s="20">
        <v>508</v>
      </c>
      <c r="R70" s="20">
        <v>483</v>
      </c>
      <c r="S70" s="20">
        <v>447</v>
      </c>
      <c r="T70" s="20">
        <v>481</v>
      </c>
      <c r="U70" s="149">
        <f t="shared" si="26"/>
        <v>-6.6019417475728162E-2</v>
      </c>
      <c r="V70" s="149">
        <f t="shared" si="27"/>
        <v>-2.6315789473684209E-2</v>
      </c>
      <c r="W70" s="149">
        <f t="shared" si="28"/>
        <v>7.6062639821029079E-2</v>
      </c>
      <c r="X70" s="218">
        <f t="shared" si="29"/>
        <v>8.7940617229779142E-3</v>
      </c>
      <c r="Y70" s="219">
        <f t="shared" si="30"/>
        <v>34</v>
      </c>
    </row>
    <row r="71" spans="1:25" x14ac:dyDescent="0.25">
      <c r="A71" s="143" t="s">
        <v>90</v>
      </c>
      <c r="B71" s="20">
        <v>58</v>
      </c>
      <c r="C71" s="20">
        <v>15</v>
      </c>
      <c r="D71" s="20">
        <v>0</v>
      </c>
      <c r="E71" s="20">
        <v>0</v>
      </c>
      <c r="F71" s="20">
        <v>0</v>
      </c>
      <c r="G71" s="20">
        <v>97</v>
      </c>
      <c r="H71" s="20">
        <v>77</v>
      </c>
      <c r="I71" s="20">
        <v>72</v>
      </c>
      <c r="J71" s="20">
        <v>71</v>
      </c>
      <c r="K71" s="20">
        <v>28</v>
      </c>
      <c r="L71" s="20">
        <v>34</v>
      </c>
      <c r="M71" s="20">
        <v>69</v>
      </c>
      <c r="N71" s="20">
        <v>50</v>
      </c>
      <c r="O71" s="20">
        <v>32</v>
      </c>
      <c r="P71" s="20">
        <v>48</v>
      </c>
      <c r="Q71" s="20">
        <v>30</v>
      </c>
      <c r="R71" s="20">
        <v>30</v>
      </c>
      <c r="S71" s="20">
        <v>35</v>
      </c>
      <c r="T71" s="20">
        <v>29</v>
      </c>
      <c r="U71" s="149">
        <f t="shared" si="26"/>
        <v>3.5714285714285712E-2</v>
      </c>
      <c r="V71" s="149">
        <f t="shared" si="27"/>
        <v>-0.39583333333333331</v>
      </c>
      <c r="W71" s="149">
        <f t="shared" si="28"/>
        <v>-0.17142857142857143</v>
      </c>
      <c r="X71" s="218">
        <f t="shared" si="29"/>
        <v>5.3020330554336701E-4</v>
      </c>
      <c r="Y71" s="219">
        <f t="shared" si="30"/>
        <v>-6</v>
      </c>
    </row>
    <row r="72" spans="1:25" s="42" customFormat="1" x14ac:dyDescent="0.25">
      <c r="A72" s="143" t="s">
        <v>91</v>
      </c>
      <c r="B72" s="20">
        <v>52</v>
      </c>
      <c r="C72" s="20">
        <v>386</v>
      </c>
      <c r="D72" s="20">
        <v>2</v>
      </c>
      <c r="E72" s="20">
        <v>22</v>
      </c>
      <c r="F72" s="20">
        <v>22</v>
      </c>
      <c r="G72" s="20">
        <v>32</v>
      </c>
      <c r="H72" s="20">
        <v>95</v>
      </c>
      <c r="I72" s="20">
        <v>64</v>
      </c>
      <c r="J72" s="20">
        <v>30</v>
      </c>
      <c r="K72" s="20">
        <v>16</v>
      </c>
      <c r="L72" s="20">
        <v>2</v>
      </c>
      <c r="M72" s="20">
        <v>6</v>
      </c>
      <c r="N72" s="20">
        <v>4</v>
      </c>
      <c r="O72" s="20"/>
      <c r="P72" s="20">
        <v>120</v>
      </c>
      <c r="Q72" s="20">
        <v>182</v>
      </c>
      <c r="R72" s="20">
        <v>73</v>
      </c>
      <c r="S72" s="20">
        <v>29</v>
      </c>
      <c r="T72" s="20"/>
      <c r="U72" s="149">
        <f t="shared" si="26"/>
        <v>-1</v>
      </c>
      <c r="V72" s="149">
        <f t="shared" si="27"/>
        <v>-1</v>
      </c>
      <c r="W72" s="149">
        <f t="shared" si="28"/>
        <v>-1</v>
      </c>
      <c r="X72" s="218">
        <f t="shared" si="29"/>
        <v>0</v>
      </c>
      <c r="Y72" s="219">
        <f t="shared" si="30"/>
        <v>-29</v>
      </c>
    </row>
    <row r="73" spans="1:25" x14ac:dyDescent="0.25">
      <c r="A73" s="143" t="s">
        <v>92</v>
      </c>
      <c r="B73" s="20">
        <v>89</v>
      </c>
      <c r="C73" s="20">
        <v>66</v>
      </c>
      <c r="D73" s="20">
        <v>340</v>
      </c>
      <c r="E73" s="20">
        <v>207</v>
      </c>
      <c r="F73" s="20">
        <v>6</v>
      </c>
      <c r="G73" s="20">
        <v>31</v>
      </c>
      <c r="H73" s="20">
        <v>37</v>
      </c>
      <c r="I73" s="20">
        <v>28</v>
      </c>
      <c r="J73" s="20">
        <v>52</v>
      </c>
      <c r="K73" s="20">
        <v>55</v>
      </c>
      <c r="L73" s="20">
        <v>39</v>
      </c>
      <c r="M73" s="20">
        <v>50</v>
      </c>
      <c r="N73" s="20">
        <v>56</v>
      </c>
      <c r="O73" s="20">
        <v>59</v>
      </c>
      <c r="P73" s="20">
        <v>42</v>
      </c>
      <c r="Q73" s="20">
        <v>46</v>
      </c>
      <c r="R73" s="20">
        <v>34</v>
      </c>
      <c r="S73" s="20">
        <v>32</v>
      </c>
      <c r="T73" s="20">
        <v>18</v>
      </c>
      <c r="U73" s="149">
        <f t="shared" si="26"/>
        <v>-0.67272727272727273</v>
      </c>
      <c r="V73" s="149">
        <f t="shared" si="27"/>
        <v>-0.5714285714285714</v>
      </c>
      <c r="W73" s="149">
        <f t="shared" si="28"/>
        <v>-0.4375</v>
      </c>
      <c r="X73" s="218">
        <f t="shared" si="29"/>
        <v>3.2909170688898642E-4</v>
      </c>
      <c r="Y73" s="219">
        <f t="shared" si="30"/>
        <v>-14</v>
      </c>
    </row>
    <row r="74" spans="1:25" x14ac:dyDescent="0.25">
      <c r="A74" s="71" t="s">
        <v>340</v>
      </c>
      <c r="B74" s="21">
        <v>17664</v>
      </c>
      <c r="C74" s="21">
        <v>22445</v>
      </c>
      <c r="D74" s="21">
        <v>24619</v>
      </c>
      <c r="E74" s="21">
        <v>29343</v>
      </c>
      <c r="F74" s="21">
        <v>30428</v>
      </c>
      <c r="G74" s="21">
        <v>36730</v>
      </c>
      <c r="H74" s="21">
        <v>42073</v>
      </c>
      <c r="I74" s="21">
        <v>41881</v>
      </c>
      <c r="J74" s="21">
        <v>39944</v>
      </c>
      <c r="K74" s="21">
        <v>42039</v>
      </c>
      <c r="L74" s="21">
        <v>43162</v>
      </c>
      <c r="M74" s="21">
        <v>40936</v>
      </c>
      <c r="N74" s="21">
        <v>42345</v>
      </c>
      <c r="O74" s="21">
        <v>39459</v>
      </c>
      <c r="P74" s="21">
        <v>46518</v>
      </c>
      <c r="Q74" s="21">
        <v>47710</v>
      </c>
      <c r="R74" s="21">
        <v>45201</v>
      </c>
      <c r="S74" s="21">
        <v>44588</v>
      </c>
      <c r="T74" s="21">
        <v>46646</v>
      </c>
      <c r="U74" s="149">
        <f t="shared" si="26"/>
        <v>0.10958871524060991</v>
      </c>
      <c r="V74" s="149">
        <f t="shared" si="27"/>
        <v>2.7516230276452124E-3</v>
      </c>
      <c r="W74" s="149">
        <f t="shared" si="28"/>
        <v>4.6155916390060107E-2</v>
      </c>
      <c r="X74" s="218">
        <f t="shared" si="29"/>
        <v>0.85282287553020331</v>
      </c>
      <c r="Y74" s="219">
        <f t="shared" si="30"/>
        <v>2058</v>
      </c>
    </row>
    <row r="75" spans="1:25" x14ac:dyDescent="0.25">
      <c r="A75" s="143" t="s">
        <v>88</v>
      </c>
      <c r="B75" s="20">
        <v>9461</v>
      </c>
      <c r="C75" s="20">
        <v>10612</v>
      </c>
      <c r="D75" s="20">
        <v>10628</v>
      </c>
      <c r="E75" s="20">
        <v>13206</v>
      </c>
      <c r="F75" s="20">
        <v>13266</v>
      </c>
      <c r="G75" s="20">
        <v>15255</v>
      </c>
      <c r="H75" s="20">
        <v>15974</v>
      </c>
      <c r="I75" s="20">
        <v>16823</v>
      </c>
      <c r="J75" s="20">
        <v>14875</v>
      </c>
      <c r="K75" s="20">
        <v>16000</v>
      </c>
      <c r="L75" s="20">
        <v>16701</v>
      </c>
      <c r="M75" s="20">
        <v>13242</v>
      </c>
      <c r="N75" s="20">
        <v>15221</v>
      </c>
      <c r="O75" s="20">
        <v>14191</v>
      </c>
      <c r="P75" s="20">
        <v>15373</v>
      </c>
      <c r="Q75" s="20">
        <v>16925</v>
      </c>
      <c r="R75" s="20">
        <v>16877</v>
      </c>
      <c r="S75" s="20">
        <v>15809</v>
      </c>
      <c r="T75" s="20">
        <v>13893</v>
      </c>
      <c r="U75" s="149">
        <f t="shared" si="26"/>
        <v>-0.13168750000000001</v>
      </c>
      <c r="V75" s="149">
        <f t="shared" si="27"/>
        <v>-9.6272685877837771E-2</v>
      </c>
      <c r="W75" s="149">
        <f t="shared" si="28"/>
        <v>-0.12119678664052122</v>
      </c>
      <c r="X75" s="218">
        <f t="shared" si="29"/>
        <v>0.25400394910048268</v>
      </c>
      <c r="Y75" s="219">
        <f t="shared" si="30"/>
        <v>-1916</v>
      </c>
    </row>
    <row r="76" spans="1:25" s="42" customFormat="1" x14ac:dyDescent="0.25">
      <c r="A76" s="143" t="s">
        <v>89</v>
      </c>
      <c r="B76" s="20">
        <v>6388</v>
      </c>
      <c r="C76" s="20">
        <v>8085</v>
      </c>
      <c r="D76" s="20">
        <v>10051</v>
      </c>
      <c r="E76" s="20">
        <v>12270</v>
      </c>
      <c r="F76" s="20">
        <v>13088</v>
      </c>
      <c r="G76" s="20">
        <v>15289</v>
      </c>
      <c r="H76" s="20">
        <v>16295</v>
      </c>
      <c r="I76" s="20">
        <v>17785</v>
      </c>
      <c r="J76" s="20">
        <v>17123</v>
      </c>
      <c r="K76" s="20">
        <v>17836</v>
      </c>
      <c r="L76" s="20">
        <v>16129</v>
      </c>
      <c r="M76" s="20">
        <v>15434</v>
      </c>
      <c r="N76" s="20">
        <v>14751</v>
      </c>
      <c r="O76" s="20">
        <v>12858</v>
      </c>
      <c r="P76" s="20">
        <v>14439</v>
      </c>
      <c r="Q76" s="20">
        <v>14565</v>
      </c>
      <c r="R76" s="20">
        <v>11696</v>
      </c>
      <c r="S76" s="20">
        <v>10679</v>
      </c>
      <c r="T76" s="20">
        <v>10111</v>
      </c>
      <c r="U76" s="149">
        <f t="shared" si="26"/>
        <v>-0.43311280556178516</v>
      </c>
      <c r="V76" s="149">
        <f t="shared" si="27"/>
        <v>-0.29974374956714456</v>
      </c>
      <c r="W76" s="149">
        <f t="shared" si="28"/>
        <v>-5.3188500795954677E-2</v>
      </c>
      <c r="X76" s="218">
        <f t="shared" si="29"/>
        <v>0.18485812490858564</v>
      </c>
      <c r="Y76" s="219">
        <f t="shared" si="30"/>
        <v>-568</v>
      </c>
    </row>
    <row r="77" spans="1:25" x14ac:dyDescent="0.25">
      <c r="A77" s="143" t="s">
        <v>90</v>
      </c>
      <c r="B77" s="20">
        <v>822</v>
      </c>
      <c r="C77" s="20">
        <v>1458</v>
      </c>
      <c r="D77" s="20">
        <v>1609</v>
      </c>
      <c r="E77" s="20">
        <v>720</v>
      </c>
      <c r="F77" s="20">
        <v>174</v>
      </c>
      <c r="G77" s="20">
        <v>667</v>
      </c>
      <c r="H77" s="20">
        <v>4281</v>
      </c>
      <c r="I77" s="20">
        <v>1367</v>
      </c>
      <c r="J77" s="20">
        <v>913</v>
      </c>
      <c r="K77" s="20">
        <v>1115</v>
      </c>
      <c r="L77" s="20">
        <v>1835</v>
      </c>
      <c r="M77" s="20">
        <v>1644</v>
      </c>
      <c r="N77" s="20">
        <v>1500</v>
      </c>
      <c r="O77" s="20">
        <v>1547</v>
      </c>
      <c r="P77" s="20">
        <v>1679</v>
      </c>
      <c r="Q77" s="20">
        <v>2154</v>
      </c>
      <c r="R77" s="20">
        <v>4175</v>
      </c>
      <c r="S77" s="20">
        <v>5017</v>
      </c>
      <c r="T77" s="20">
        <v>7672</v>
      </c>
      <c r="U77" s="149">
        <f t="shared" si="26"/>
        <v>5.8807174887892373</v>
      </c>
      <c r="V77" s="149">
        <f t="shared" si="27"/>
        <v>3.5693865396069087</v>
      </c>
      <c r="W77" s="149">
        <f t="shared" si="28"/>
        <v>0.52920071756029496</v>
      </c>
      <c r="X77" s="218">
        <f t="shared" si="29"/>
        <v>0.14026619862512799</v>
      </c>
      <c r="Y77" s="219">
        <f t="shared" si="30"/>
        <v>2655</v>
      </c>
    </row>
    <row r="78" spans="1:25" x14ac:dyDescent="0.25">
      <c r="A78" s="143" t="s">
        <v>91</v>
      </c>
      <c r="B78" s="20">
        <v>97</v>
      </c>
      <c r="C78" s="20">
        <v>1155</v>
      </c>
      <c r="D78" s="20">
        <v>434</v>
      </c>
      <c r="E78" s="20">
        <v>957</v>
      </c>
      <c r="F78" s="20">
        <v>1477</v>
      </c>
      <c r="G78" s="20">
        <v>3114</v>
      </c>
      <c r="H78" s="20">
        <v>2947</v>
      </c>
      <c r="I78" s="20">
        <v>2593</v>
      </c>
      <c r="J78" s="20">
        <v>2503</v>
      </c>
      <c r="K78" s="20">
        <v>2855</v>
      </c>
      <c r="L78" s="20">
        <v>3747</v>
      </c>
      <c r="M78" s="20">
        <v>4725</v>
      </c>
      <c r="N78" s="20">
        <v>5878</v>
      </c>
      <c r="O78" s="20">
        <v>6234</v>
      </c>
      <c r="P78" s="20">
        <v>9598</v>
      </c>
      <c r="Q78" s="20">
        <v>9794</v>
      </c>
      <c r="R78" s="20">
        <v>9527</v>
      </c>
      <c r="S78" s="20">
        <v>11387</v>
      </c>
      <c r="T78" s="20">
        <v>13807</v>
      </c>
      <c r="U78" s="149">
        <f t="shared" si="26"/>
        <v>3.8360770577933452</v>
      </c>
      <c r="V78" s="149">
        <f t="shared" si="27"/>
        <v>0.43852886017920401</v>
      </c>
      <c r="W78" s="149">
        <f t="shared" si="28"/>
        <v>0.21252305260384649</v>
      </c>
      <c r="X78" s="218">
        <f t="shared" si="29"/>
        <v>0.25243162205645753</v>
      </c>
      <c r="Y78" s="219">
        <f t="shared" si="30"/>
        <v>2420</v>
      </c>
    </row>
    <row r="79" spans="1:25" x14ac:dyDescent="0.25">
      <c r="A79" s="143" t="s">
        <v>92</v>
      </c>
      <c r="B79" s="20">
        <v>896</v>
      </c>
      <c r="C79" s="20">
        <v>1135</v>
      </c>
      <c r="D79" s="20">
        <v>1897</v>
      </c>
      <c r="E79" s="20">
        <v>2190</v>
      </c>
      <c r="F79" s="20">
        <v>2423</v>
      </c>
      <c r="G79" s="20">
        <v>2405</v>
      </c>
      <c r="H79" s="20">
        <v>2576</v>
      </c>
      <c r="I79" s="20">
        <v>3313</v>
      </c>
      <c r="J79" s="20">
        <v>4530</v>
      </c>
      <c r="K79" s="20">
        <v>4233</v>
      </c>
      <c r="L79" s="20">
        <v>4750</v>
      </c>
      <c r="M79" s="20">
        <v>5891</v>
      </c>
      <c r="N79" s="20">
        <v>4995</v>
      </c>
      <c r="O79" s="20">
        <v>4629</v>
      </c>
      <c r="P79" s="20">
        <v>5429</v>
      </c>
      <c r="Q79" s="20">
        <v>4272</v>
      </c>
      <c r="R79" s="20">
        <v>2926</v>
      </c>
      <c r="S79" s="20">
        <v>1696</v>
      </c>
      <c r="T79" s="20">
        <v>1163</v>
      </c>
      <c r="U79" s="149">
        <f t="shared" si="26"/>
        <v>-0.72525395700448858</v>
      </c>
      <c r="V79" s="149">
        <f t="shared" si="27"/>
        <v>-0.78578006999447414</v>
      </c>
      <c r="W79" s="149">
        <f t="shared" si="28"/>
        <v>-0.31426886792452829</v>
      </c>
      <c r="X79" s="218">
        <f t="shared" si="29"/>
        <v>2.1262980839549511E-2</v>
      </c>
      <c r="Y79" s="219">
        <f t="shared" si="30"/>
        <v>-533</v>
      </c>
    </row>
    <row r="80" spans="1:25" x14ac:dyDescent="0.25">
      <c r="A80" s="71" t="s">
        <v>0</v>
      </c>
      <c r="B80" s="21">
        <v>20693</v>
      </c>
      <c r="C80" s="21">
        <v>26074</v>
      </c>
      <c r="D80" s="21">
        <v>28357</v>
      </c>
      <c r="E80" s="21">
        <v>33398</v>
      </c>
      <c r="F80" s="21">
        <v>34480</v>
      </c>
      <c r="G80" s="21">
        <v>41201</v>
      </c>
      <c r="H80" s="21">
        <v>46726</v>
      </c>
      <c r="I80" s="21">
        <v>46806</v>
      </c>
      <c r="J80" s="21">
        <v>45116</v>
      </c>
      <c r="K80" s="21">
        <v>47584</v>
      </c>
      <c r="L80" s="21">
        <v>48698</v>
      </c>
      <c r="M80" s="21">
        <v>46875</v>
      </c>
      <c r="N80" s="21">
        <v>48391</v>
      </c>
      <c r="O80" s="21">
        <v>45483</v>
      </c>
      <c r="P80" s="21">
        <v>53247</v>
      </c>
      <c r="Q80" s="21">
        <v>54585</v>
      </c>
      <c r="R80" s="21">
        <v>52303</v>
      </c>
      <c r="S80" s="21">
        <v>52061</v>
      </c>
      <c r="T80" s="21">
        <v>54696</v>
      </c>
      <c r="U80" s="150">
        <f t="shared" si="26"/>
        <v>0.14946200403496973</v>
      </c>
      <c r="V80" s="150">
        <f t="shared" si="27"/>
        <v>2.7212800721167388E-2</v>
      </c>
      <c r="W80" s="150">
        <f t="shared" si="28"/>
        <v>5.0613703155913257E-2</v>
      </c>
      <c r="X80" s="220">
        <f t="shared" si="29"/>
        <v>1</v>
      </c>
      <c r="Y80" s="221">
        <f t="shared" si="30"/>
        <v>2635</v>
      </c>
    </row>
    <row r="82" spans="1:25" ht="18" x14ac:dyDescent="0.25">
      <c r="A82" s="22" t="s">
        <v>342</v>
      </c>
    </row>
    <row r="83" spans="1:25" ht="40.5" customHeight="1" x14ac:dyDescent="0.25">
      <c r="A83" s="104" t="s">
        <v>343</v>
      </c>
      <c r="B83" s="105">
        <v>2007</v>
      </c>
      <c r="C83" s="105">
        <v>2008</v>
      </c>
      <c r="D83" s="105">
        <v>2009</v>
      </c>
      <c r="E83" s="105">
        <v>2010</v>
      </c>
      <c r="F83" s="105">
        <v>2011</v>
      </c>
      <c r="G83" s="105">
        <v>2012</v>
      </c>
      <c r="H83" s="105">
        <v>2013</v>
      </c>
      <c r="I83" s="105">
        <v>2014</v>
      </c>
      <c r="J83" s="105">
        <v>2015</v>
      </c>
      <c r="K83" s="105">
        <v>2016</v>
      </c>
      <c r="L83" s="105">
        <v>2017</v>
      </c>
      <c r="M83" s="132">
        <v>2018</v>
      </c>
      <c r="N83" s="105">
        <v>2019</v>
      </c>
      <c r="O83" s="105">
        <v>2020</v>
      </c>
      <c r="P83" s="105">
        <v>2021</v>
      </c>
      <c r="Q83" s="105">
        <v>2022</v>
      </c>
      <c r="R83" s="105">
        <v>2023</v>
      </c>
      <c r="S83" s="105">
        <v>2024</v>
      </c>
      <c r="T83" s="105">
        <v>2025</v>
      </c>
      <c r="U83" s="106" t="s">
        <v>546</v>
      </c>
      <c r="V83" s="106" t="s">
        <v>547</v>
      </c>
      <c r="W83" s="106" t="s">
        <v>548</v>
      </c>
      <c r="X83" s="106" t="s">
        <v>549</v>
      </c>
      <c r="Y83" s="216" t="s">
        <v>563</v>
      </c>
    </row>
    <row r="84" spans="1:25" x14ac:dyDescent="0.25">
      <c r="A84" s="71" t="s">
        <v>96</v>
      </c>
      <c r="B84" s="21">
        <v>766</v>
      </c>
      <c r="C84" s="21">
        <v>892</v>
      </c>
      <c r="D84" s="21">
        <v>725</v>
      </c>
      <c r="E84" s="21">
        <v>841</v>
      </c>
      <c r="F84" s="21">
        <v>920</v>
      </c>
      <c r="G84" s="21">
        <v>870</v>
      </c>
      <c r="H84" s="21">
        <v>967</v>
      </c>
      <c r="I84" s="21">
        <v>944</v>
      </c>
      <c r="J84" s="21">
        <v>979</v>
      </c>
      <c r="K84" s="21">
        <v>1025</v>
      </c>
      <c r="L84" s="21">
        <v>1052</v>
      </c>
      <c r="M84" s="21">
        <v>1203</v>
      </c>
      <c r="N84" s="21">
        <v>1226</v>
      </c>
      <c r="O84" s="21">
        <v>1150</v>
      </c>
      <c r="P84" s="21">
        <v>1288</v>
      </c>
      <c r="Q84" s="21">
        <v>1115</v>
      </c>
      <c r="R84" s="21">
        <v>1346</v>
      </c>
      <c r="S84" s="21">
        <v>1589</v>
      </c>
      <c r="T84" s="21">
        <v>1752</v>
      </c>
      <c r="U84" s="149">
        <f t="shared" ref="U84:U96" si="31">(T84-K84)/K84</f>
        <v>0.70926829268292679</v>
      </c>
      <c r="V84" s="149">
        <f t="shared" ref="V84:V96" si="32">(T84-P84)/P84</f>
        <v>0.36024844720496896</v>
      </c>
      <c r="W84" s="149">
        <f t="shared" ref="W84:W96" si="33">(T84-S84)/S84</f>
        <v>0.10258023914411579</v>
      </c>
      <c r="X84" s="218">
        <f t="shared" ref="X84:X96" si="34">T84/T$19</f>
        <v>0.10152990264255911</v>
      </c>
      <c r="Y84" s="219">
        <f t="shared" ref="Y84:Y96" si="35">T84-S84</f>
        <v>163</v>
      </c>
    </row>
    <row r="85" spans="1:25" x14ac:dyDescent="0.25">
      <c r="A85" s="143" t="s">
        <v>88</v>
      </c>
      <c r="B85" s="20">
        <v>573</v>
      </c>
      <c r="C85" s="20">
        <v>584</v>
      </c>
      <c r="D85" s="20">
        <v>592</v>
      </c>
      <c r="E85" s="20">
        <v>715</v>
      </c>
      <c r="F85" s="20">
        <v>846</v>
      </c>
      <c r="G85" s="20">
        <v>781</v>
      </c>
      <c r="H85" s="20">
        <v>808</v>
      </c>
      <c r="I85" s="20">
        <v>874</v>
      </c>
      <c r="J85" s="20">
        <v>891</v>
      </c>
      <c r="K85" s="20">
        <v>939</v>
      </c>
      <c r="L85" s="20">
        <v>961</v>
      </c>
      <c r="M85" s="20">
        <v>1071</v>
      </c>
      <c r="N85" s="20">
        <v>1104</v>
      </c>
      <c r="O85" s="20">
        <v>1076</v>
      </c>
      <c r="P85" s="20">
        <v>1178</v>
      </c>
      <c r="Q85" s="20">
        <v>1027</v>
      </c>
      <c r="R85" s="20">
        <v>1241</v>
      </c>
      <c r="S85" s="20">
        <v>1510</v>
      </c>
      <c r="T85" s="20">
        <v>1633</v>
      </c>
      <c r="U85" s="149">
        <f t="shared" si="31"/>
        <v>0.73908413205537804</v>
      </c>
      <c r="V85" s="149">
        <f t="shared" si="32"/>
        <v>0.38624787775891339</v>
      </c>
      <c r="W85" s="149">
        <f t="shared" si="33"/>
        <v>8.1456953642384103E-2</v>
      </c>
      <c r="X85" s="218">
        <f t="shared" si="34"/>
        <v>9.4633750579508583E-2</v>
      </c>
      <c r="Y85" s="219">
        <f t="shared" si="35"/>
        <v>123</v>
      </c>
    </row>
    <row r="86" spans="1:25" x14ac:dyDescent="0.25">
      <c r="A86" s="143" t="s">
        <v>89</v>
      </c>
      <c r="B86" s="20">
        <v>95</v>
      </c>
      <c r="C86" s="20">
        <v>125</v>
      </c>
      <c r="D86" s="20">
        <v>132</v>
      </c>
      <c r="E86" s="20">
        <v>116</v>
      </c>
      <c r="F86" s="20">
        <v>62</v>
      </c>
      <c r="G86" s="20">
        <v>46</v>
      </c>
      <c r="H86" s="20">
        <v>101</v>
      </c>
      <c r="I86" s="20">
        <v>55</v>
      </c>
      <c r="J86" s="20">
        <v>57</v>
      </c>
      <c r="K86" s="20">
        <v>74</v>
      </c>
      <c r="L86" s="20">
        <v>84</v>
      </c>
      <c r="M86" s="20">
        <v>111</v>
      </c>
      <c r="N86" s="20">
        <v>93</v>
      </c>
      <c r="O86" s="20">
        <v>66</v>
      </c>
      <c r="P86" s="20">
        <v>104</v>
      </c>
      <c r="Q86" s="20">
        <v>81</v>
      </c>
      <c r="R86" s="20">
        <v>86</v>
      </c>
      <c r="S86" s="20">
        <v>63</v>
      </c>
      <c r="T86" s="20">
        <v>102</v>
      </c>
      <c r="U86" s="149">
        <f t="shared" si="31"/>
        <v>0.3783783783783784</v>
      </c>
      <c r="V86" s="149">
        <f t="shared" si="32"/>
        <v>-1.9230769230769232E-2</v>
      </c>
      <c r="W86" s="149">
        <f t="shared" si="33"/>
        <v>0.61904761904761907</v>
      </c>
      <c r="X86" s="218">
        <f t="shared" si="34"/>
        <v>5.9109874826147428E-3</v>
      </c>
      <c r="Y86" s="219">
        <f t="shared" si="35"/>
        <v>39</v>
      </c>
    </row>
    <row r="87" spans="1:25" x14ac:dyDescent="0.25">
      <c r="A87" s="143" t="s">
        <v>90</v>
      </c>
      <c r="B87" s="20">
        <v>35</v>
      </c>
      <c r="C87" s="20">
        <v>15</v>
      </c>
      <c r="D87" s="20">
        <v>0</v>
      </c>
      <c r="E87" s="20">
        <v>0</v>
      </c>
      <c r="F87" s="20">
        <v>0</v>
      </c>
      <c r="G87" s="20">
        <v>20</v>
      </c>
      <c r="H87" s="20">
        <v>23</v>
      </c>
      <c r="I87" s="20">
        <v>0</v>
      </c>
      <c r="J87" s="20">
        <v>10</v>
      </c>
      <c r="K87" s="20">
        <v>6</v>
      </c>
      <c r="L87" s="20">
        <v>7</v>
      </c>
      <c r="M87" s="20">
        <v>15</v>
      </c>
      <c r="N87" s="20">
        <v>18</v>
      </c>
      <c r="O87" s="20">
        <v>5</v>
      </c>
      <c r="P87" s="20">
        <v>4</v>
      </c>
      <c r="Q87" s="20">
        <v>3</v>
      </c>
      <c r="R87" s="20">
        <v>16</v>
      </c>
      <c r="S87" s="20">
        <v>12</v>
      </c>
      <c r="T87" s="20">
        <v>13</v>
      </c>
      <c r="U87" s="149">
        <f t="shared" si="31"/>
        <v>1.1666666666666667</v>
      </c>
      <c r="V87" s="149">
        <f t="shared" si="32"/>
        <v>2.25</v>
      </c>
      <c r="W87" s="149">
        <f t="shared" si="33"/>
        <v>8.3333333333333329E-2</v>
      </c>
      <c r="X87" s="218">
        <f t="shared" si="34"/>
        <v>7.5336114974501622E-4</v>
      </c>
      <c r="Y87" s="219">
        <f t="shared" si="35"/>
        <v>1</v>
      </c>
    </row>
    <row r="88" spans="1:25" x14ac:dyDescent="0.25">
      <c r="A88" s="143" t="s">
        <v>91</v>
      </c>
      <c r="B88" s="20">
        <v>50</v>
      </c>
      <c r="C88" s="20">
        <v>119</v>
      </c>
      <c r="D88" s="20">
        <v>0</v>
      </c>
      <c r="E88" s="20">
        <v>5</v>
      </c>
      <c r="F88" s="20">
        <v>8</v>
      </c>
      <c r="G88" s="20">
        <v>13</v>
      </c>
      <c r="H88" s="20">
        <v>14</v>
      </c>
      <c r="I88" s="20">
        <v>11</v>
      </c>
      <c r="J88" s="20">
        <v>11</v>
      </c>
      <c r="K88" s="20">
        <v>0</v>
      </c>
      <c r="L88" s="20">
        <v>0</v>
      </c>
      <c r="M88" s="20">
        <v>2</v>
      </c>
      <c r="N88" s="20">
        <v>2</v>
      </c>
      <c r="O88" s="20">
        <v>0</v>
      </c>
      <c r="P88" s="20">
        <v>0</v>
      </c>
      <c r="Q88" s="20">
        <v>0</v>
      </c>
      <c r="R88" s="20">
        <v>0</v>
      </c>
      <c r="S88" s="20">
        <v>0</v>
      </c>
      <c r="T88" s="20">
        <v>0</v>
      </c>
      <c r="U88" s="149" t="s">
        <v>130</v>
      </c>
      <c r="V88" s="149" t="s">
        <v>130</v>
      </c>
      <c r="W88" s="149" t="s">
        <v>130</v>
      </c>
      <c r="X88" s="218">
        <f t="shared" si="34"/>
        <v>0</v>
      </c>
      <c r="Y88" s="219">
        <f t="shared" si="35"/>
        <v>0</v>
      </c>
    </row>
    <row r="89" spans="1:25" x14ac:dyDescent="0.25">
      <c r="A89" s="143" t="s">
        <v>92</v>
      </c>
      <c r="B89" s="20">
        <v>13</v>
      </c>
      <c r="C89" s="20">
        <v>49</v>
      </c>
      <c r="D89" s="20">
        <v>1</v>
      </c>
      <c r="E89" s="20">
        <v>5</v>
      </c>
      <c r="F89" s="20">
        <v>4</v>
      </c>
      <c r="G89" s="20">
        <v>10</v>
      </c>
      <c r="H89" s="20">
        <v>21</v>
      </c>
      <c r="I89" s="20">
        <v>4</v>
      </c>
      <c r="J89" s="20">
        <v>10</v>
      </c>
      <c r="K89" s="20">
        <v>6</v>
      </c>
      <c r="L89" s="20">
        <v>0</v>
      </c>
      <c r="M89" s="20">
        <v>4</v>
      </c>
      <c r="N89" s="20">
        <v>9</v>
      </c>
      <c r="O89" s="20">
        <v>3</v>
      </c>
      <c r="P89" s="20">
        <v>2</v>
      </c>
      <c r="Q89" s="20">
        <v>4</v>
      </c>
      <c r="R89" s="20">
        <v>3</v>
      </c>
      <c r="S89" s="20">
        <v>4</v>
      </c>
      <c r="T89" s="20">
        <v>4</v>
      </c>
      <c r="U89" s="149">
        <f t="shared" si="31"/>
        <v>-0.33333333333333331</v>
      </c>
      <c r="V89" s="149">
        <f t="shared" si="32"/>
        <v>1</v>
      </c>
      <c r="W89" s="149">
        <f t="shared" si="33"/>
        <v>0</v>
      </c>
      <c r="X89" s="218">
        <f t="shared" si="34"/>
        <v>2.3180343069077421E-4</v>
      </c>
      <c r="Y89" s="219">
        <f t="shared" si="35"/>
        <v>0</v>
      </c>
    </row>
    <row r="90" spans="1:25" x14ac:dyDescent="0.25">
      <c r="A90" s="71" t="s">
        <v>340</v>
      </c>
      <c r="B90" s="21">
        <v>7405</v>
      </c>
      <c r="C90" s="21">
        <v>9406</v>
      </c>
      <c r="D90" s="21">
        <v>9637</v>
      </c>
      <c r="E90" s="21">
        <v>11129</v>
      </c>
      <c r="F90" s="21">
        <v>10523</v>
      </c>
      <c r="G90" s="21">
        <v>10847</v>
      </c>
      <c r="H90" s="21">
        <v>12956</v>
      </c>
      <c r="I90" s="21">
        <v>12615</v>
      </c>
      <c r="J90" s="21">
        <v>12323</v>
      </c>
      <c r="K90" s="21">
        <v>12794</v>
      </c>
      <c r="L90" s="21">
        <v>12947</v>
      </c>
      <c r="M90" s="21">
        <v>13369</v>
      </c>
      <c r="N90" s="21">
        <v>12386</v>
      </c>
      <c r="O90" s="21">
        <v>10395</v>
      </c>
      <c r="P90" s="21">
        <v>16014</v>
      </c>
      <c r="Q90" s="21">
        <v>13895</v>
      </c>
      <c r="R90" s="21">
        <v>13557</v>
      </c>
      <c r="S90" s="21">
        <v>14523</v>
      </c>
      <c r="T90" s="21">
        <v>15504</v>
      </c>
      <c r="U90" s="149">
        <f t="shared" si="31"/>
        <v>0.21181803970611224</v>
      </c>
      <c r="V90" s="149">
        <f t="shared" si="32"/>
        <v>-3.1847133757961783E-2</v>
      </c>
      <c r="W90" s="149">
        <f t="shared" si="33"/>
        <v>6.754802726709358E-2</v>
      </c>
      <c r="X90" s="218">
        <f t="shared" si="34"/>
        <v>0.89847009735744088</v>
      </c>
      <c r="Y90" s="219">
        <f t="shared" si="35"/>
        <v>981</v>
      </c>
    </row>
    <row r="91" spans="1:25" x14ac:dyDescent="0.25">
      <c r="A91" s="143" t="s">
        <v>88</v>
      </c>
      <c r="B91" s="20">
        <v>3684</v>
      </c>
      <c r="C91" s="20">
        <v>4076</v>
      </c>
      <c r="D91" s="20">
        <v>4268</v>
      </c>
      <c r="E91" s="20">
        <v>4816</v>
      </c>
      <c r="F91" s="20">
        <v>4673</v>
      </c>
      <c r="G91" s="20">
        <v>4697</v>
      </c>
      <c r="H91" s="20">
        <v>5196</v>
      </c>
      <c r="I91" s="20">
        <v>4966</v>
      </c>
      <c r="J91" s="20">
        <v>4866</v>
      </c>
      <c r="K91" s="20">
        <v>5213</v>
      </c>
      <c r="L91" s="20">
        <v>5521</v>
      </c>
      <c r="M91" s="20">
        <v>4278</v>
      </c>
      <c r="N91" s="32">
        <v>4730</v>
      </c>
      <c r="O91" s="32">
        <v>4033</v>
      </c>
      <c r="P91" s="32">
        <v>5387</v>
      </c>
      <c r="Q91" s="32">
        <v>4813</v>
      </c>
      <c r="R91" s="32">
        <v>4860</v>
      </c>
      <c r="S91" s="32">
        <v>4644</v>
      </c>
      <c r="T91" s="32">
        <v>3967</v>
      </c>
      <c r="U91" s="149">
        <f t="shared" si="31"/>
        <v>-0.23901784001534626</v>
      </c>
      <c r="V91" s="149">
        <f t="shared" si="32"/>
        <v>-0.26359754965658067</v>
      </c>
      <c r="W91" s="149">
        <f t="shared" si="33"/>
        <v>-0.14577950043066323</v>
      </c>
      <c r="X91" s="218">
        <f t="shared" si="34"/>
        <v>0.22989105238757535</v>
      </c>
      <c r="Y91" s="219">
        <f t="shared" si="35"/>
        <v>-677</v>
      </c>
    </row>
    <row r="92" spans="1:25" x14ac:dyDescent="0.25">
      <c r="A92" s="143" t="s">
        <v>89</v>
      </c>
      <c r="B92" s="20">
        <v>2983</v>
      </c>
      <c r="C92" s="20">
        <v>3708</v>
      </c>
      <c r="D92" s="20">
        <v>4279</v>
      </c>
      <c r="E92" s="20">
        <v>5117</v>
      </c>
      <c r="F92" s="20">
        <v>4683</v>
      </c>
      <c r="G92" s="20">
        <v>4974</v>
      </c>
      <c r="H92" s="20">
        <v>5728</v>
      </c>
      <c r="I92" s="20">
        <v>5386</v>
      </c>
      <c r="J92" s="20">
        <v>5294</v>
      </c>
      <c r="K92" s="20">
        <v>5250</v>
      </c>
      <c r="L92" s="20">
        <v>4807</v>
      </c>
      <c r="M92" s="20">
        <v>5320</v>
      </c>
      <c r="N92" s="32">
        <v>4538</v>
      </c>
      <c r="O92" s="32">
        <v>3377</v>
      </c>
      <c r="P92" s="32">
        <v>5188</v>
      </c>
      <c r="Q92" s="32">
        <v>4215</v>
      </c>
      <c r="R92" s="32">
        <v>3679</v>
      </c>
      <c r="S92" s="32">
        <v>3458</v>
      </c>
      <c r="T92" s="32">
        <v>3377</v>
      </c>
      <c r="U92" s="149">
        <f t="shared" si="31"/>
        <v>-0.35676190476190478</v>
      </c>
      <c r="V92" s="149">
        <f t="shared" si="32"/>
        <v>-0.34907478797224362</v>
      </c>
      <c r="W92" s="149">
        <f t="shared" si="33"/>
        <v>-2.3423944476576055E-2</v>
      </c>
      <c r="X92" s="218">
        <f t="shared" si="34"/>
        <v>0.19570004636068614</v>
      </c>
      <c r="Y92" s="219">
        <f t="shared" si="35"/>
        <v>-81</v>
      </c>
    </row>
    <row r="93" spans="1:25" x14ac:dyDescent="0.25">
      <c r="A93" s="143" t="s">
        <v>90</v>
      </c>
      <c r="B93" s="20">
        <v>187</v>
      </c>
      <c r="C93" s="20">
        <v>486</v>
      </c>
      <c r="D93" s="20">
        <v>424</v>
      </c>
      <c r="E93" s="20">
        <v>197</v>
      </c>
      <c r="F93" s="20">
        <v>92</v>
      </c>
      <c r="G93" s="20">
        <v>171</v>
      </c>
      <c r="H93" s="20">
        <v>161</v>
      </c>
      <c r="I93" s="20">
        <v>196</v>
      </c>
      <c r="J93" s="20">
        <v>274</v>
      </c>
      <c r="K93" s="20">
        <v>538</v>
      </c>
      <c r="L93" s="20">
        <v>636</v>
      </c>
      <c r="M93" s="20">
        <v>549</v>
      </c>
      <c r="N93" s="32">
        <v>629</v>
      </c>
      <c r="O93" s="32">
        <v>455</v>
      </c>
      <c r="P93" s="32">
        <v>589</v>
      </c>
      <c r="Q93" s="32">
        <v>983</v>
      </c>
      <c r="R93" s="32">
        <v>1542</v>
      </c>
      <c r="S93" s="32">
        <v>1997</v>
      </c>
      <c r="T93" s="32">
        <v>3142</v>
      </c>
      <c r="U93" s="149">
        <f t="shared" si="31"/>
        <v>4.8401486988847582</v>
      </c>
      <c r="V93" s="149">
        <f t="shared" si="32"/>
        <v>4.3344651952461799</v>
      </c>
      <c r="W93" s="149">
        <f t="shared" si="33"/>
        <v>0.57336004006009011</v>
      </c>
      <c r="X93" s="218">
        <f t="shared" si="34"/>
        <v>0.18208159480760316</v>
      </c>
      <c r="Y93" s="219">
        <f t="shared" si="35"/>
        <v>1145</v>
      </c>
    </row>
    <row r="94" spans="1:25" x14ac:dyDescent="0.25">
      <c r="A94" s="143" t="s">
        <v>91</v>
      </c>
      <c r="B94" s="20">
        <v>4</v>
      </c>
      <c r="C94" s="20">
        <v>648</v>
      </c>
      <c r="D94" s="20">
        <v>75</v>
      </c>
      <c r="E94" s="20">
        <v>171</v>
      </c>
      <c r="F94" s="20">
        <v>311</v>
      </c>
      <c r="G94" s="20">
        <v>440</v>
      </c>
      <c r="H94" s="20">
        <v>1028</v>
      </c>
      <c r="I94" s="20">
        <v>1161</v>
      </c>
      <c r="J94" s="20">
        <v>555</v>
      </c>
      <c r="K94" s="20">
        <v>668</v>
      </c>
      <c r="L94" s="20">
        <v>727</v>
      </c>
      <c r="M94" s="20">
        <v>1488</v>
      </c>
      <c r="N94" s="32">
        <v>1182</v>
      </c>
      <c r="O94" s="32">
        <v>1276</v>
      </c>
      <c r="P94" s="32">
        <v>3245</v>
      </c>
      <c r="Q94" s="32">
        <v>2926</v>
      </c>
      <c r="R94" s="32">
        <v>2867</v>
      </c>
      <c r="S94" s="32">
        <v>4140</v>
      </c>
      <c r="T94" s="32">
        <v>4801</v>
      </c>
      <c r="U94" s="149">
        <f t="shared" si="31"/>
        <v>6.1871257485029938</v>
      </c>
      <c r="V94" s="149">
        <f t="shared" si="32"/>
        <v>0.47950693374422187</v>
      </c>
      <c r="W94" s="149">
        <f t="shared" si="33"/>
        <v>0.15966183574879228</v>
      </c>
      <c r="X94" s="218">
        <f t="shared" si="34"/>
        <v>0.27822206768660174</v>
      </c>
      <c r="Y94" s="219">
        <f t="shared" si="35"/>
        <v>661</v>
      </c>
    </row>
    <row r="95" spans="1:25" x14ac:dyDescent="0.25">
      <c r="A95" s="143" t="s">
        <v>92</v>
      </c>
      <c r="B95" s="20">
        <v>547</v>
      </c>
      <c r="C95" s="20">
        <v>488</v>
      </c>
      <c r="D95" s="20">
        <v>591</v>
      </c>
      <c r="E95" s="20">
        <v>828</v>
      </c>
      <c r="F95" s="20">
        <v>764</v>
      </c>
      <c r="G95" s="20">
        <v>565</v>
      </c>
      <c r="H95" s="20">
        <v>843</v>
      </c>
      <c r="I95" s="20">
        <v>906</v>
      </c>
      <c r="J95" s="20">
        <v>1334</v>
      </c>
      <c r="K95" s="20">
        <v>1125</v>
      </c>
      <c r="L95" s="20">
        <v>1256</v>
      </c>
      <c r="M95" s="20">
        <v>1734</v>
      </c>
      <c r="N95" s="32">
        <v>1307</v>
      </c>
      <c r="O95" s="32">
        <v>1254</v>
      </c>
      <c r="P95" s="32">
        <v>1605</v>
      </c>
      <c r="Q95" s="32">
        <v>958</v>
      </c>
      <c r="R95" s="32">
        <v>609</v>
      </c>
      <c r="S95" s="32">
        <v>284</v>
      </c>
      <c r="T95" s="32">
        <v>217</v>
      </c>
      <c r="U95" s="149">
        <f t="shared" si="31"/>
        <v>-0.80711111111111111</v>
      </c>
      <c r="V95" s="149">
        <f t="shared" si="32"/>
        <v>-0.864797507788162</v>
      </c>
      <c r="W95" s="149">
        <f t="shared" si="33"/>
        <v>-0.23591549295774647</v>
      </c>
      <c r="X95" s="218">
        <f t="shared" si="34"/>
        <v>1.2575336114974502E-2</v>
      </c>
      <c r="Y95" s="219">
        <f t="shared" si="35"/>
        <v>-67</v>
      </c>
    </row>
    <row r="96" spans="1:25" x14ac:dyDescent="0.25">
      <c r="A96" s="71" t="s">
        <v>0</v>
      </c>
      <c r="B96" s="21">
        <v>8171</v>
      </c>
      <c r="C96" s="21">
        <v>10298</v>
      </c>
      <c r="D96" s="21">
        <v>10362</v>
      </c>
      <c r="E96" s="21">
        <v>11970</v>
      </c>
      <c r="F96" s="21">
        <v>11443</v>
      </c>
      <c r="G96" s="21">
        <v>11717</v>
      </c>
      <c r="H96" s="21">
        <v>13923</v>
      </c>
      <c r="I96" s="21">
        <v>13559</v>
      </c>
      <c r="J96" s="21">
        <v>13302</v>
      </c>
      <c r="K96" s="21">
        <v>13819</v>
      </c>
      <c r="L96" s="21">
        <v>13999</v>
      </c>
      <c r="M96" s="21">
        <v>14572</v>
      </c>
      <c r="N96" s="90">
        <v>13612</v>
      </c>
      <c r="O96" s="90">
        <v>11545</v>
      </c>
      <c r="P96" s="90">
        <v>17302</v>
      </c>
      <c r="Q96" s="90">
        <v>15010</v>
      </c>
      <c r="R96" s="90">
        <v>14903</v>
      </c>
      <c r="S96" s="90">
        <v>16112</v>
      </c>
      <c r="T96" s="90">
        <v>17256</v>
      </c>
      <c r="U96" s="150">
        <f t="shared" si="31"/>
        <v>0.24871553658007092</v>
      </c>
      <c r="V96" s="150">
        <f t="shared" si="32"/>
        <v>-2.6586521789388512E-3</v>
      </c>
      <c r="W96" s="150">
        <f t="shared" si="33"/>
        <v>7.1002979145978154E-2</v>
      </c>
      <c r="X96" s="220">
        <f t="shared" si="34"/>
        <v>1</v>
      </c>
      <c r="Y96" s="221">
        <f t="shared" si="35"/>
        <v>1144</v>
      </c>
    </row>
    <row r="98" spans="1:8" x14ac:dyDescent="0.25">
      <c r="A98" s="83" t="s">
        <v>254</v>
      </c>
      <c r="B98" s="83"/>
      <c r="C98" s="83"/>
      <c r="D98" s="3"/>
      <c r="E98" s="3"/>
      <c r="F98" s="3"/>
      <c r="G98" s="3"/>
      <c r="H98" s="3"/>
    </row>
    <row r="99" spans="1:8" x14ac:dyDescent="0.25">
      <c r="A99" s="41" t="s">
        <v>243</v>
      </c>
      <c r="B99" s="41"/>
      <c r="C99" s="41"/>
    </row>
  </sheetData>
  <mergeCells count="1">
    <mergeCell ref="A11:X11"/>
  </mergeCells>
  <conditionalFormatting sqref="U6:U10">
    <cfRule type="iconSet" priority="37">
      <iconSet iconSet="5Arrows">
        <cfvo type="percent" val="0"/>
        <cfvo type="num" val="-0.2"/>
        <cfvo type="num" val="0"/>
        <cfvo type="num" val="0.2"/>
        <cfvo type="num" val="0.5"/>
      </iconSet>
    </cfRule>
  </conditionalFormatting>
  <conditionalFormatting sqref="U16:U19">
    <cfRule type="iconSet" priority="32">
      <iconSet iconSet="5Arrows">
        <cfvo type="percent" val="0"/>
        <cfvo type="num" val="-0.2"/>
        <cfvo type="num" val="0"/>
        <cfvo type="num" val="0.2"/>
        <cfvo type="num" val="0.5"/>
      </iconSet>
    </cfRule>
  </conditionalFormatting>
  <conditionalFormatting sqref="U24:U26">
    <cfRule type="iconSet" priority="12">
      <iconSet iconSet="5Arrows">
        <cfvo type="percent" val="0"/>
        <cfvo type="num" val="-0.2"/>
        <cfvo type="num" val="0"/>
        <cfvo type="num" val="0.2"/>
        <cfvo type="num" val="0.5"/>
      </iconSet>
    </cfRule>
  </conditionalFormatting>
  <conditionalFormatting sqref="U30:U32">
    <cfRule type="iconSet" priority="27">
      <iconSet iconSet="5Arrows">
        <cfvo type="percent" val="0"/>
        <cfvo type="num" val="-0.2"/>
        <cfvo type="num" val="0"/>
        <cfvo type="num" val="0.2"/>
        <cfvo type="num" val="0.5"/>
      </iconSet>
    </cfRule>
  </conditionalFormatting>
  <conditionalFormatting sqref="U36:U48">
    <cfRule type="iconSet" priority="7">
      <iconSet iconSet="5Arrows">
        <cfvo type="percent" val="0"/>
        <cfvo type="num" val="-0.2"/>
        <cfvo type="num" val="0"/>
        <cfvo type="num" val="0.2"/>
        <cfvo type="num" val="0.5"/>
      </iconSet>
    </cfRule>
  </conditionalFormatting>
  <conditionalFormatting sqref="U54:U63">
    <cfRule type="iconSet" priority="22">
      <iconSet iconSet="5Arrows">
        <cfvo type="percent" val="0"/>
        <cfvo type="num" val="-0.2"/>
        <cfvo type="num" val="0"/>
        <cfvo type="num" val="0.2"/>
        <cfvo type="num" val="0.5"/>
      </iconSet>
    </cfRule>
  </conditionalFormatting>
  <conditionalFormatting sqref="U68:U80">
    <cfRule type="iconSet" priority="2">
      <iconSet iconSet="5Arrows">
        <cfvo type="percent" val="0"/>
        <cfvo type="num" val="-0.2"/>
        <cfvo type="num" val="0"/>
        <cfvo type="num" val="0.2"/>
        <cfvo type="num" val="0.5"/>
      </iconSet>
    </cfRule>
  </conditionalFormatting>
  <conditionalFormatting sqref="U84:U96">
    <cfRule type="iconSet" priority="17">
      <iconSet iconSet="5Arrows">
        <cfvo type="percent" val="0"/>
        <cfvo type="num" val="-0.2"/>
        <cfvo type="num" val="0"/>
        <cfvo type="num" val="0.2"/>
        <cfvo type="num" val="0.5"/>
      </iconSet>
    </cfRule>
  </conditionalFormatting>
  <conditionalFormatting sqref="V6:V10">
    <cfRule type="iconSet" priority="36">
      <iconSet iconSet="5Arrows">
        <cfvo type="percent" val="0"/>
        <cfvo type="num" val="-0.2"/>
        <cfvo type="num" val="0"/>
        <cfvo type="num" val="0.2"/>
        <cfvo type="num" val="0.5"/>
      </iconSet>
    </cfRule>
  </conditionalFormatting>
  <conditionalFormatting sqref="V16:V19">
    <cfRule type="iconSet" priority="31">
      <iconSet iconSet="5Arrows">
        <cfvo type="percent" val="0"/>
        <cfvo type="num" val="-0.2"/>
        <cfvo type="num" val="0"/>
        <cfvo type="num" val="0.2"/>
        <cfvo type="num" val="0.5"/>
      </iconSet>
    </cfRule>
  </conditionalFormatting>
  <conditionalFormatting sqref="V24:V26">
    <cfRule type="iconSet" priority="11">
      <iconSet iconSet="5Arrows">
        <cfvo type="percent" val="0"/>
        <cfvo type="num" val="-0.2"/>
        <cfvo type="num" val="0"/>
        <cfvo type="num" val="0.2"/>
        <cfvo type="num" val="0.5"/>
      </iconSet>
    </cfRule>
  </conditionalFormatting>
  <conditionalFormatting sqref="V30:V32">
    <cfRule type="iconSet" priority="26">
      <iconSet iconSet="5Arrows">
        <cfvo type="percent" val="0"/>
        <cfvo type="num" val="-0.2"/>
        <cfvo type="num" val="0"/>
        <cfvo type="num" val="0.2"/>
        <cfvo type="num" val="0.5"/>
      </iconSet>
    </cfRule>
  </conditionalFormatting>
  <conditionalFormatting sqref="V36:V48">
    <cfRule type="iconSet" priority="6">
      <iconSet iconSet="5Arrows">
        <cfvo type="percent" val="0"/>
        <cfvo type="num" val="-0.2"/>
        <cfvo type="num" val="0"/>
        <cfvo type="num" val="0.2"/>
        <cfvo type="num" val="0.5"/>
      </iconSet>
    </cfRule>
  </conditionalFormatting>
  <conditionalFormatting sqref="V54:V63">
    <cfRule type="iconSet" priority="21">
      <iconSet iconSet="5Arrows">
        <cfvo type="percent" val="0"/>
        <cfvo type="num" val="-0.2"/>
        <cfvo type="num" val="0"/>
        <cfvo type="num" val="0.2"/>
        <cfvo type="num" val="0.5"/>
      </iconSet>
    </cfRule>
  </conditionalFormatting>
  <conditionalFormatting sqref="V68:V80">
    <cfRule type="iconSet" priority="1">
      <iconSet iconSet="5Arrows">
        <cfvo type="percent" val="0"/>
        <cfvo type="num" val="-0.2"/>
        <cfvo type="num" val="0"/>
        <cfvo type="num" val="0.2"/>
        <cfvo type="num" val="0.5"/>
      </iconSet>
    </cfRule>
  </conditionalFormatting>
  <conditionalFormatting sqref="V84:V96">
    <cfRule type="iconSet" priority="16">
      <iconSet iconSet="5Arrows">
        <cfvo type="percent" val="0"/>
        <cfvo type="num" val="-0.2"/>
        <cfvo type="num" val="0"/>
        <cfvo type="num" val="0.2"/>
        <cfvo type="num" val="0.5"/>
      </iconSet>
    </cfRule>
  </conditionalFormatting>
  <conditionalFormatting sqref="W6:W10">
    <cfRule type="iconSet" priority="40">
      <iconSet iconSet="5Arrows">
        <cfvo type="percent" val="0"/>
        <cfvo type="num" val="-0.1"/>
        <cfvo type="num" val="0"/>
        <cfvo type="num" val="0.1"/>
        <cfvo type="num" val="0.2"/>
      </iconSet>
    </cfRule>
  </conditionalFormatting>
  <conditionalFormatting sqref="W16:W19">
    <cfRule type="iconSet" priority="35">
      <iconSet iconSet="5Arrows">
        <cfvo type="percent" val="0"/>
        <cfvo type="num" val="-0.1"/>
        <cfvo type="num" val="0"/>
        <cfvo type="num" val="0.1"/>
        <cfvo type="num" val="0.2"/>
      </iconSet>
    </cfRule>
  </conditionalFormatting>
  <conditionalFormatting sqref="W24:W26">
    <cfRule type="iconSet" priority="15">
      <iconSet iconSet="5Arrows">
        <cfvo type="percent" val="0"/>
        <cfvo type="num" val="-0.1"/>
        <cfvo type="num" val="0"/>
        <cfvo type="num" val="0.1"/>
        <cfvo type="num" val="0.2"/>
      </iconSet>
    </cfRule>
  </conditionalFormatting>
  <conditionalFormatting sqref="W30:W32">
    <cfRule type="iconSet" priority="30">
      <iconSet iconSet="5Arrows">
        <cfvo type="percent" val="0"/>
        <cfvo type="num" val="-0.1"/>
        <cfvo type="num" val="0"/>
        <cfvo type="num" val="0.1"/>
        <cfvo type="num" val="0.2"/>
      </iconSet>
    </cfRule>
  </conditionalFormatting>
  <conditionalFormatting sqref="W36:W48">
    <cfRule type="iconSet" priority="10">
      <iconSet iconSet="5Arrows">
        <cfvo type="percent" val="0"/>
        <cfvo type="num" val="-0.1"/>
        <cfvo type="num" val="0"/>
        <cfvo type="num" val="0.1"/>
        <cfvo type="num" val="0.2"/>
      </iconSet>
    </cfRule>
  </conditionalFormatting>
  <conditionalFormatting sqref="W54:W63">
    <cfRule type="iconSet" priority="25">
      <iconSet iconSet="5Arrows">
        <cfvo type="percent" val="0"/>
        <cfvo type="num" val="-0.1"/>
        <cfvo type="num" val="0"/>
        <cfvo type="num" val="0.1"/>
        <cfvo type="num" val="0.2"/>
      </iconSet>
    </cfRule>
  </conditionalFormatting>
  <conditionalFormatting sqref="W68:W80">
    <cfRule type="iconSet" priority="5">
      <iconSet iconSet="5Arrows">
        <cfvo type="percent" val="0"/>
        <cfvo type="num" val="-0.1"/>
        <cfvo type="num" val="0"/>
        <cfvo type="num" val="0.1"/>
        <cfvo type="num" val="0.2"/>
      </iconSet>
    </cfRule>
  </conditionalFormatting>
  <conditionalFormatting sqref="W84:W96">
    <cfRule type="iconSet" priority="20">
      <iconSet iconSet="5Arrows">
        <cfvo type="percent" val="0"/>
        <cfvo type="num" val="-0.1"/>
        <cfvo type="num" val="0"/>
        <cfvo type="num" val="0.1"/>
        <cfvo type="num" val="0.2"/>
      </iconSet>
    </cfRule>
  </conditionalFormatting>
  <conditionalFormatting sqref="X6:X9">
    <cfRule type="dataBar" priority="39">
      <dataBar>
        <cfvo type="min"/>
        <cfvo type="max"/>
        <color rgb="FF638EC6"/>
      </dataBar>
      <extLst>
        <ext xmlns:x14="http://schemas.microsoft.com/office/spreadsheetml/2009/9/main" uri="{B025F937-C7B1-47D3-B67F-A62EFF666E3E}">
          <x14:id>{4A22BB04-796D-4BE2-A655-073DB182FE43}</x14:id>
        </ext>
      </extLst>
    </cfRule>
  </conditionalFormatting>
  <conditionalFormatting sqref="X16:X18">
    <cfRule type="dataBar" priority="34">
      <dataBar>
        <cfvo type="min"/>
        <cfvo type="max"/>
        <color rgb="FF638EC6"/>
      </dataBar>
      <extLst>
        <ext xmlns:x14="http://schemas.microsoft.com/office/spreadsheetml/2009/9/main" uri="{B025F937-C7B1-47D3-B67F-A62EFF666E3E}">
          <x14:id>{B563FC7B-0803-47A7-87CA-2520BE0AE5DA}</x14:id>
        </ext>
      </extLst>
    </cfRule>
  </conditionalFormatting>
  <conditionalFormatting sqref="X24:X25">
    <cfRule type="dataBar" priority="14">
      <dataBar>
        <cfvo type="min"/>
        <cfvo type="max"/>
        <color rgb="FF638EC6"/>
      </dataBar>
      <extLst>
        <ext xmlns:x14="http://schemas.microsoft.com/office/spreadsheetml/2009/9/main" uri="{B025F937-C7B1-47D3-B67F-A62EFF666E3E}">
          <x14:id>{406E4A0A-0616-433E-BA6B-D9D21A742C7F}</x14:id>
        </ext>
      </extLst>
    </cfRule>
  </conditionalFormatting>
  <conditionalFormatting sqref="X30:X31">
    <cfRule type="dataBar" priority="29">
      <dataBar>
        <cfvo type="min"/>
        <cfvo type="max"/>
        <color rgb="FF638EC6"/>
      </dataBar>
      <extLst>
        <ext xmlns:x14="http://schemas.microsoft.com/office/spreadsheetml/2009/9/main" uri="{B025F937-C7B1-47D3-B67F-A62EFF666E3E}">
          <x14:id>{EDDEC9FC-706C-493D-9559-3CA59B0AE7C5}</x14:id>
        </ext>
      </extLst>
    </cfRule>
  </conditionalFormatting>
  <conditionalFormatting sqref="X36:X47">
    <cfRule type="dataBar" priority="9">
      <dataBar>
        <cfvo type="min"/>
        <cfvo type="max"/>
        <color rgb="FF638EC6"/>
      </dataBar>
      <extLst>
        <ext xmlns:x14="http://schemas.microsoft.com/office/spreadsheetml/2009/9/main" uri="{B025F937-C7B1-47D3-B67F-A62EFF666E3E}">
          <x14:id>{53A2AEA7-9DEB-4D52-977B-CBD359275A3A}</x14:id>
        </ext>
      </extLst>
    </cfRule>
  </conditionalFormatting>
  <conditionalFormatting sqref="X54:X62">
    <cfRule type="dataBar" priority="24">
      <dataBar>
        <cfvo type="min"/>
        <cfvo type="max"/>
        <color rgb="FF638EC6"/>
      </dataBar>
      <extLst>
        <ext xmlns:x14="http://schemas.microsoft.com/office/spreadsheetml/2009/9/main" uri="{B025F937-C7B1-47D3-B67F-A62EFF666E3E}">
          <x14:id>{EA5B6701-FF6F-4D21-8037-56A24644E8CE}</x14:id>
        </ext>
      </extLst>
    </cfRule>
  </conditionalFormatting>
  <conditionalFormatting sqref="X68:X79">
    <cfRule type="dataBar" priority="4">
      <dataBar>
        <cfvo type="min"/>
        <cfvo type="max"/>
        <color rgb="FF638EC6"/>
      </dataBar>
      <extLst>
        <ext xmlns:x14="http://schemas.microsoft.com/office/spreadsheetml/2009/9/main" uri="{B025F937-C7B1-47D3-B67F-A62EFF666E3E}">
          <x14:id>{DF35276D-08A8-4E64-B97F-87C7A581CD14}</x14:id>
        </ext>
      </extLst>
    </cfRule>
  </conditionalFormatting>
  <conditionalFormatting sqref="X84:X95">
    <cfRule type="dataBar" priority="19">
      <dataBar>
        <cfvo type="min"/>
        <cfvo type="max"/>
        <color rgb="FF638EC6"/>
      </dataBar>
      <extLst>
        <ext xmlns:x14="http://schemas.microsoft.com/office/spreadsheetml/2009/9/main" uri="{B025F937-C7B1-47D3-B67F-A62EFF666E3E}">
          <x14:id>{79FFACD9-BAAC-492D-B879-50337CC6EED3}</x14:id>
        </ext>
      </extLst>
    </cfRule>
  </conditionalFormatting>
  <conditionalFormatting sqref="Y6:Y10">
    <cfRule type="dataBar" priority="38">
      <dataBar>
        <cfvo type="min"/>
        <cfvo type="max"/>
        <color rgb="FF63C384"/>
      </dataBar>
      <extLst>
        <ext xmlns:x14="http://schemas.microsoft.com/office/spreadsheetml/2009/9/main" uri="{B025F937-C7B1-47D3-B67F-A62EFF666E3E}">
          <x14:id>{B82CF6E8-A630-408E-BB14-D3F435356400}</x14:id>
        </ext>
      </extLst>
    </cfRule>
  </conditionalFormatting>
  <conditionalFormatting sqref="Y16:Y19">
    <cfRule type="dataBar" priority="33">
      <dataBar>
        <cfvo type="min"/>
        <cfvo type="max"/>
        <color rgb="FF63C384"/>
      </dataBar>
      <extLst>
        <ext xmlns:x14="http://schemas.microsoft.com/office/spreadsheetml/2009/9/main" uri="{B025F937-C7B1-47D3-B67F-A62EFF666E3E}">
          <x14:id>{A952C428-FD08-4C26-BCA6-522C83206A40}</x14:id>
        </ext>
      </extLst>
    </cfRule>
  </conditionalFormatting>
  <conditionalFormatting sqref="Y24:Y26">
    <cfRule type="dataBar" priority="13">
      <dataBar>
        <cfvo type="min"/>
        <cfvo type="max"/>
        <color rgb="FF63C384"/>
      </dataBar>
      <extLst>
        <ext xmlns:x14="http://schemas.microsoft.com/office/spreadsheetml/2009/9/main" uri="{B025F937-C7B1-47D3-B67F-A62EFF666E3E}">
          <x14:id>{654D1424-52D2-4CCD-B1FC-3E9130630798}</x14:id>
        </ext>
      </extLst>
    </cfRule>
  </conditionalFormatting>
  <conditionalFormatting sqref="Y30:Y32">
    <cfRule type="dataBar" priority="28">
      <dataBar>
        <cfvo type="min"/>
        <cfvo type="max"/>
        <color rgb="FF63C384"/>
      </dataBar>
      <extLst>
        <ext xmlns:x14="http://schemas.microsoft.com/office/spreadsheetml/2009/9/main" uri="{B025F937-C7B1-47D3-B67F-A62EFF666E3E}">
          <x14:id>{978300B2-9559-4C5B-8976-19247A71E109}</x14:id>
        </ext>
      </extLst>
    </cfRule>
  </conditionalFormatting>
  <conditionalFormatting sqref="Y36:Y48">
    <cfRule type="dataBar" priority="8">
      <dataBar>
        <cfvo type="min"/>
        <cfvo type="max"/>
        <color rgb="FF63C384"/>
      </dataBar>
      <extLst>
        <ext xmlns:x14="http://schemas.microsoft.com/office/spreadsheetml/2009/9/main" uri="{B025F937-C7B1-47D3-B67F-A62EFF666E3E}">
          <x14:id>{B32BC228-0F0C-4B0C-B33F-84EC35775BB1}</x14:id>
        </ext>
      </extLst>
    </cfRule>
  </conditionalFormatting>
  <conditionalFormatting sqref="Y54:Y63">
    <cfRule type="dataBar" priority="23">
      <dataBar>
        <cfvo type="min"/>
        <cfvo type="max"/>
        <color rgb="FF63C384"/>
      </dataBar>
      <extLst>
        <ext xmlns:x14="http://schemas.microsoft.com/office/spreadsheetml/2009/9/main" uri="{B025F937-C7B1-47D3-B67F-A62EFF666E3E}">
          <x14:id>{0B9B1245-8E7C-47CE-B6B6-B177AD8BFB86}</x14:id>
        </ext>
      </extLst>
    </cfRule>
  </conditionalFormatting>
  <conditionalFormatting sqref="Y68:Y80">
    <cfRule type="dataBar" priority="3">
      <dataBar>
        <cfvo type="min"/>
        <cfvo type="max"/>
        <color rgb="FF63C384"/>
      </dataBar>
      <extLst>
        <ext xmlns:x14="http://schemas.microsoft.com/office/spreadsheetml/2009/9/main" uri="{B025F937-C7B1-47D3-B67F-A62EFF666E3E}">
          <x14:id>{1901C692-C5EA-43EF-9C09-93E2C63103A3}</x14:id>
        </ext>
      </extLst>
    </cfRule>
  </conditionalFormatting>
  <conditionalFormatting sqref="Y84:Y96">
    <cfRule type="dataBar" priority="18">
      <dataBar>
        <cfvo type="min"/>
        <cfvo type="max"/>
        <color rgb="FF63C384"/>
      </dataBar>
      <extLst>
        <ext xmlns:x14="http://schemas.microsoft.com/office/spreadsheetml/2009/9/main" uri="{B025F937-C7B1-47D3-B67F-A62EFF666E3E}">
          <x14:id>{B32F96B5-874F-4A41-A368-4350DB232B0C}</x14:id>
        </ext>
      </extLst>
    </cfRule>
  </conditionalFormatting>
  <hyperlinks>
    <hyperlink ref="A99" location="Índice!C1" display="Volver al ïndice" xr:uid="{00000000-0004-0000-0600-000000000000}"/>
  </hyperlink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4A22BB04-796D-4BE2-A655-073DB182FE43}">
            <x14:dataBar minLength="0" maxLength="100" border="1" negativeBarBorderColorSameAsPositive="0">
              <x14:cfvo type="autoMin"/>
              <x14:cfvo type="autoMax"/>
              <x14:borderColor rgb="FF638EC6"/>
              <x14:negativeFillColor rgb="FFFF0000"/>
              <x14:negativeBorderColor rgb="FFFF0000"/>
              <x14:axisColor rgb="FF000000"/>
            </x14:dataBar>
          </x14:cfRule>
          <xm:sqref>X6:X9</xm:sqref>
        </x14:conditionalFormatting>
        <x14:conditionalFormatting xmlns:xm="http://schemas.microsoft.com/office/excel/2006/main">
          <x14:cfRule type="dataBar" id="{B563FC7B-0803-47A7-87CA-2520BE0AE5DA}">
            <x14:dataBar minLength="0" maxLength="100" border="1" negativeBarBorderColorSameAsPositive="0">
              <x14:cfvo type="autoMin"/>
              <x14:cfvo type="autoMax"/>
              <x14:borderColor rgb="FF638EC6"/>
              <x14:negativeFillColor rgb="FFFF0000"/>
              <x14:negativeBorderColor rgb="FFFF0000"/>
              <x14:axisColor rgb="FF000000"/>
            </x14:dataBar>
          </x14:cfRule>
          <xm:sqref>X16:X18</xm:sqref>
        </x14:conditionalFormatting>
        <x14:conditionalFormatting xmlns:xm="http://schemas.microsoft.com/office/excel/2006/main">
          <x14:cfRule type="dataBar" id="{406E4A0A-0616-433E-BA6B-D9D21A742C7F}">
            <x14:dataBar minLength="0" maxLength="100" border="1" negativeBarBorderColorSameAsPositive="0">
              <x14:cfvo type="autoMin"/>
              <x14:cfvo type="autoMax"/>
              <x14:borderColor rgb="FF638EC6"/>
              <x14:negativeFillColor rgb="FFFF0000"/>
              <x14:negativeBorderColor rgb="FFFF0000"/>
              <x14:axisColor rgb="FF000000"/>
            </x14:dataBar>
          </x14:cfRule>
          <xm:sqref>X24:X25</xm:sqref>
        </x14:conditionalFormatting>
        <x14:conditionalFormatting xmlns:xm="http://schemas.microsoft.com/office/excel/2006/main">
          <x14:cfRule type="dataBar" id="{EDDEC9FC-706C-493D-9559-3CA59B0AE7C5}">
            <x14:dataBar minLength="0" maxLength="100" border="1" negativeBarBorderColorSameAsPositive="0">
              <x14:cfvo type="autoMin"/>
              <x14:cfvo type="autoMax"/>
              <x14:borderColor rgb="FF638EC6"/>
              <x14:negativeFillColor rgb="FFFF0000"/>
              <x14:negativeBorderColor rgb="FFFF0000"/>
              <x14:axisColor rgb="FF000000"/>
            </x14:dataBar>
          </x14:cfRule>
          <xm:sqref>X30:X31</xm:sqref>
        </x14:conditionalFormatting>
        <x14:conditionalFormatting xmlns:xm="http://schemas.microsoft.com/office/excel/2006/main">
          <x14:cfRule type="dataBar" id="{53A2AEA7-9DEB-4D52-977B-CBD359275A3A}">
            <x14:dataBar minLength="0" maxLength="100" border="1" negativeBarBorderColorSameAsPositive="0">
              <x14:cfvo type="autoMin"/>
              <x14:cfvo type="autoMax"/>
              <x14:borderColor rgb="FF638EC6"/>
              <x14:negativeFillColor rgb="FFFF0000"/>
              <x14:negativeBorderColor rgb="FFFF0000"/>
              <x14:axisColor rgb="FF000000"/>
            </x14:dataBar>
          </x14:cfRule>
          <xm:sqref>X36:X47</xm:sqref>
        </x14:conditionalFormatting>
        <x14:conditionalFormatting xmlns:xm="http://schemas.microsoft.com/office/excel/2006/main">
          <x14:cfRule type="dataBar" id="{EA5B6701-FF6F-4D21-8037-56A24644E8CE}">
            <x14:dataBar minLength="0" maxLength="100" border="1" negativeBarBorderColorSameAsPositive="0">
              <x14:cfvo type="autoMin"/>
              <x14:cfvo type="autoMax"/>
              <x14:borderColor rgb="FF638EC6"/>
              <x14:negativeFillColor rgb="FFFF0000"/>
              <x14:negativeBorderColor rgb="FFFF0000"/>
              <x14:axisColor rgb="FF000000"/>
            </x14:dataBar>
          </x14:cfRule>
          <xm:sqref>X54:X62</xm:sqref>
        </x14:conditionalFormatting>
        <x14:conditionalFormatting xmlns:xm="http://schemas.microsoft.com/office/excel/2006/main">
          <x14:cfRule type="dataBar" id="{DF35276D-08A8-4E64-B97F-87C7A581CD14}">
            <x14:dataBar minLength="0" maxLength="100" border="1" negativeBarBorderColorSameAsPositive="0">
              <x14:cfvo type="autoMin"/>
              <x14:cfvo type="autoMax"/>
              <x14:borderColor rgb="FF638EC6"/>
              <x14:negativeFillColor rgb="FFFF0000"/>
              <x14:negativeBorderColor rgb="FFFF0000"/>
              <x14:axisColor rgb="FF000000"/>
            </x14:dataBar>
          </x14:cfRule>
          <xm:sqref>X68:X79</xm:sqref>
        </x14:conditionalFormatting>
        <x14:conditionalFormatting xmlns:xm="http://schemas.microsoft.com/office/excel/2006/main">
          <x14:cfRule type="dataBar" id="{79FFACD9-BAAC-492D-B879-50337CC6EED3}">
            <x14:dataBar minLength="0" maxLength="100" border="1" negativeBarBorderColorSameAsPositive="0">
              <x14:cfvo type="autoMin"/>
              <x14:cfvo type="autoMax"/>
              <x14:borderColor rgb="FF638EC6"/>
              <x14:negativeFillColor rgb="FFFF0000"/>
              <x14:negativeBorderColor rgb="FFFF0000"/>
              <x14:axisColor rgb="FF000000"/>
            </x14:dataBar>
          </x14:cfRule>
          <xm:sqref>X84:X95</xm:sqref>
        </x14:conditionalFormatting>
        <x14:conditionalFormatting xmlns:xm="http://schemas.microsoft.com/office/excel/2006/main">
          <x14:cfRule type="dataBar" id="{B82CF6E8-A630-408E-BB14-D3F435356400}">
            <x14:dataBar minLength="0" maxLength="100" border="1" negativeBarBorderColorSameAsPositive="0">
              <x14:cfvo type="autoMin"/>
              <x14:cfvo type="autoMax"/>
              <x14:borderColor rgb="FF63C384"/>
              <x14:negativeFillColor rgb="FFFF0000"/>
              <x14:negativeBorderColor rgb="FFFF0000"/>
              <x14:axisColor rgb="FF000000"/>
            </x14:dataBar>
          </x14:cfRule>
          <xm:sqref>Y6:Y10</xm:sqref>
        </x14:conditionalFormatting>
        <x14:conditionalFormatting xmlns:xm="http://schemas.microsoft.com/office/excel/2006/main">
          <x14:cfRule type="dataBar" id="{A952C428-FD08-4C26-BCA6-522C83206A40}">
            <x14:dataBar minLength="0" maxLength="100" border="1" negativeBarBorderColorSameAsPositive="0">
              <x14:cfvo type="autoMin"/>
              <x14:cfvo type="autoMax"/>
              <x14:borderColor rgb="FF63C384"/>
              <x14:negativeFillColor rgb="FFFF0000"/>
              <x14:negativeBorderColor rgb="FFFF0000"/>
              <x14:axisColor rgb="FF000000"/>
            </x14:dataBar>
          </x14:cfRule>
          <xm:sqref>Y16:Y19</xm:sqref>
        </x14:conditionalFormatting>
        <x14:conditionalFormatting xmlns:xm="http://schemas.microsoft.com/office/excel/2006/main">
          <x14:cfRule type="dataBar" id="{654D1424-52D2-4CCD-B1FC-3E9130630798}">
            <x14:dataBar minLength="0" maxLength="100" border="1" negativeBarBorderColorSameAsPositive="0">
              <x14:cfvo type="autoMin"/>
              <x14:cfvo type="autoMax"/>
              <x14:borderColor rgb="FF63C384"/>
              <x14:negativeFillColor rgb="FFFF0000"/>
              <x14:negativeBorderColor rgb="FFFF0000"/>
              <x14:axisColor rgb="FF000000"/>
            </x14:dataBar>
          </x14:cfRule>
          <xm:sqref>Y24:Y26</xm:sqref>
        </x14:conditionalFormatting>
        <x14:conditionalFormatting xmlns:xm="http://schemas.microsoft.com/office/excel/2006/main">
          <x14:cfRule type="dataBar" id="{978300B2-9559-4C5B-8976-19247A71E109}">
            <x14:dataBar minLength="0" maxLength="100" border="1" negativeBarBorderColorSameAsPositive="0">
              <x14:cfvo type="autoMin"/>
              <x14:cfvo type="autoMax"/>
              <x14:borderColor rgb="FF63C384"/>
              <x14:negativeFillColor rgb="FFFF0000"/>
              <x14:negativeBorderColor rgb="FFFF0000"/>
              <x14:axisColor rgb="FF000000"/>
            </x14:dataBar>
          </x14:cfRule>
          <xm:sqref>Y30:Y32</xm:sqref>
        </x14:conditionalFormatting>
        <x14:conditionalFormatting xmlns:xm="http://schemas.microsoft.com/office/excel/2006/main">
          <x14:cfRule type="dataBar" id="{B32BC228-0F0C-4B0C-B33F-84EC35775BB1}">
            <x14:dataBar minLength="0" maxLength="100" border="1" negativeBarBorderColorSameAsPositive="0">
              <x14:cfvo type="autoMin"/>
              <x14:cfvo type="autoMax"/>
              <x14:borderColor rgb="FF63C384"/>
              <x14:negativeFillColor rgb="FFFF0000"/>
              <x14:negativeBorderColor rgb="FFFF0000"/>
              <x14:axisColor rgb="FF000000"/>
            </x14:dataBar>
          </x14:cfRule>
          <xm:sqref>Y36:Y48</xm:sqref>
        </x14:conditionalFormatting>
        <x14:conditionalFormatting xmlns:xm="http://schemas.microsoft.com/office/excel/2006/main">
          <x14:cfRule type="dataBar" id="{0B9B1245-8E7C-47CE-B6B6-B177AD8BFB86}">
            <x14:dataBar minLength="0" maxLength="100" border="1" negativeBarBorderColorSameAsPositive="0">
              <x14:cfvo type="autoMin"/>
              <x14:cfvo type="autoMax"/>
              <x14:borderColor rgb="FF63C384"/>
              <x14:negativeFillColor rgb="FFFF0000"/>
              <x14:negativeBorderColor rgb="FFFF0000"/>
              <x14:axisColor rgb="FF000000"/>
            </x14:dataBar>
          </x14:cfRule>
          <xm:sqref>Y54:Y63</xm:sqref>
        </x14:conditionalFormatting>
        <x14:conditionalFormatting xmlns:xm="http://schemas.microsoft.com/office/excel/2006/main">
          <x14:cfRule type="dataBar" id="{1901C692-C5EA-43EF-9C09-93E2C63103A3}">
            <x14:dataBar minLength="0" maxLength="100" border="1" negativeBarBorderColorSameAsPositive="0">
              <x14:cfvo type="autoMin"/>
              <x14:cfvo type="autoMax"/>
              <x14:borderColor rgb="FF63C384"/>
              <x14:negativeFillColor rgb="FFFF0000"/>
              <x14:negativeBorderColor rgb="FFFF0000"/>
              <x14:axisColor rgb="FF000000"/>
            </x14:dataBar>
          </x14:cfRule>
          <xm:sqref>Y68:Y80</xm:sqref>
        </x14:conditionalFormatting>
        <x14:conditionalFormatting xmlns:xm="http://schemas.microsoft.com/office/excel/2006/main">
          <x14:cfRule type="dataBar" id="{B32F96B5-874F-4A41-A368-4350DB232B0C}">
            <x14:dataBar minLength="0" maxLength="100" border="1" negativeBarBorderColorSameAsPositive="0">
              <x14:cfvo type="autoMin"/>
              <x14:cfvo type="autoMax"/>
              <x14:borderColor rgb="FF63C384"/>
              <x14:negativeFillColor rgb="FFFF0000"/>
              <x14:negativeBorderColor rgb="FFFF0000"/>
              <x14:axisColor rgb="FF000000"/>
            </x14:dataBar>
          </x14:cfRule>
          <xm:sqref>Y84:Y96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F88"/>
  <sheetViews>
    <sheetView showGridLines="0" zoomScaleNormal="100" workbookViewId="0">
      <pane ySplit="2" topLeftCell="A3" activePane="bottomLeft" state="frozen"/>
      <selection pane="bottomLeft" activeCell="A4" sqref="A4"/>
    </sheetView>
  </sheetViews>
  <sheetFormatPr baseColWidth="10" defaultColWidth="11.42578125" defaultRowHeight="12.75" x14ac:dyDescent="0.25"/>
  <cols>
    <col min="1" max="1" width="37.5703125" style="4" customWidth="1"/>
    <col min="2" max="5" width="20.5703125" style="6" customWidth="1"/>
    <col min="6" max="16384" width="11.42578125" style="4"/>
  </cols>
  <sheetData>
    <row r="1" spans="1:5" ht="21" x14ac:dyDescent="0.25">
      <c r="A1" s="64" t="s">
        <v>525</v>
      </c>
    </row>
    <row r="2" spans="1:5" ht="33.75" customHeight="1" x14ac:dyDescent="0.25">
      <c r="A2" s="18"/>
    </row>
    <row r="3" spans="1:5" ht="18.75" x14ac:dyDescent="0.25">
      <c r="A3" s="18"/>
    </row>
    <row r="4" spans="1:5" ht="15.75" x14ac:dyDescent="0.25">
      <c r="A4" s="22" t="s">
        <v>569</v>
      </c>
    </row>
    <row r="5" spans="1:5" ht="28.5" customHeight="1" x14ac:dyDescent="0.25">
      <c r="A5" s="127" t="s">
        <v>252</v>
      </c>
      <c r="B5" s="128" t="s">
        <v>324</v>
      </c>
      <c r="C5" s="128" t="s">
        <v>34</v>
      </c>
      <c r="D5" s="134" t="s">
        <v>601</v>
      </c>
      <c r="E5" s="128" t="s">
        <v>0</v>
      </c>
    </row>
    <row r="6" spans="1:5" ht="15" customHeight="1" x14ac:dyDescent="0.25">
      <c r="A6" s="74" t="s">
        <v>2</v>
      </c>
      <c r="B6" s="20">
        <v>0</v>
      </c>
      <c r="C6" s="20">
        <v>0</v>
      </c>
      <c r="D6" s="20">
        <v>106</v>
      </c>
      <c r="E6" s="7">
        <v>106</v>
      </c>
    </row>
    <row r="7" spans="1:5" ht="15" customHeight="1" x14ac:dyDescent="0.25">
      <c r="A7" s="74" t="s">
        <v>3</v>
      </c>
      <c r="B7" s="20">
        <v>0</v>
      </c>
      <c r="C7" s="20">
        <v>651</v>
      </c>
      <c r="D7" s="20">
        <v>479</v>
      </c>
      <c r="E7" s="7">
        <v>1130</v>
      </c>
    </row>
    <row r="8" spans="1:5" ht="15" customHeight="1" x14ac:dyDescent="0.25">
      <c r="A8" s="74" t="s">
        <v>4</v>
      </c>
      <c r="B8" s="20">
        <v>8561</v>
      </c>
      <c r="C8" s="20">
        <v>3159</v>
      </c>
      <c r="D8" s="20">
        <v>60643</v>
      </c>
      <c r="E8" s="7">
        <v>72363</v>
      </c>
    </row>
    <row r="9" spans="1:5" ht="15" customHeight="1" x14ac:dyDescent="0.25">
      <c r="A9" s="92" t="s">
        <v>0</v>
      </c>
      <c r="B9" s="8">
        <v>8561</v>
      </c>
      <c r="C9" s="8">
        <v>3810</v>
      </c>
      <c r="D9" s="8">
        <v>61228</v>
      </c>
      <c r="E9" s="8">
        <v>73599</v>
      </c>
    </row>
    <row r="11" spans="1:5" ht="15.75" x14ac:dyDescent="0.25">
      <c r="A11" s="22" t="s">
        <v>527</v>
      </c>
    </row>
    <row r="12" spans="1:5" ht="25.5" customHeight="1" x14ac:dyDescent="0.25">
      <c r="A12" s="127" t="s">
        <v>376</v>
      </c>
      <c r="B12" s="128" t="s">
        <v>102</v>
      </c>
      <c r="C12" s="128" t="s">
        <v>34</v>
      </c>
      <c r="D12" s="134" t="s">
        <v>601</v>
      </c>
      <c r="E12" s="128" t="s">
        <v>65</v>
      </c>
    </row>
    <row r="13" spans="1:5" ht="15" customHeight="1" x14ac:dyDescent="0.25">
      <c r="A13" s="82" t="s">
        <v>258</v>
      </c>
      <c r="B13" s="32">
        <v>4579</v>
      </c>
      <c r="C13" s="32">
        <v>3086</v>
      </c>
      <c r="D13" s="32">
        <v>36471</v>
      </c>
      <c r="E13" s="45">
        <v>44136</v>
      </c>
    </row>
    <row r="14" spans="1:5" ht="15" customHeight="1" x14ac:dyDescent="0.25">
      <c r="A14" s="82" t="s">
        <v>259</v>
      </c>
      <c r="B14" s="32">
        <v>3982</v>
      </c>
      <c r="C14" s="32">
        <v>724</v>
      </c>
      <c r="D14" s="32">
        <v>24756</v>
      </c>
      <c r="E14" s="45">
        <v>29462</v>
      </c>
    </row>
    <row r="15" spans="1:5" ht="15" customHeight="1" x14ac:dyDescent="0.25">
      <c r="A15" s="227" t="s">
        <v>600</v>
      </c>
      <c r="B15" s="7">
        <v>0</v>
      </c>
      <c r="C15" s="7">
        <v>0</v>
      </c>
      <c r="D15" s="7">
        <v>1</v>
      </c>
      <c r="E15" s="7">
        <v>1</v>
      </c>
    </row>
    <row r="16" spans="1:5" ht="15" customHeight="1" x14ac:dyDescent="0.25">
      <c r="A16" s="66" t="s">
        <v>58</v>
      </c>
      <c r="B16" s="90">
        <v>8561</v>
      </c>
      <c r="C16" s="90">
        <v>3810</v>
      </c>
      <c r="D16" s="90">
        <v>61228</v>
      </c>
      <c r="E16" s="90">
        <v>73599</v>
      </c>
    </row>
    <row r="17" spans="1:5" ht="15" customHeight="1" x14ac:dyDescent="0.25"/>
    <row r="18" spans="1:5" ht="15.75" x14ac:dyDescent="0.25">
      <c r="A18" s="22" t="s">
        <v>528</v>
      </c>
    </row>
    <row r="19" spans="1:5" ht="25.5" x14ac:dyDescent="0.25">
      <c r="A19" s="126" t="s">
        <v>93</v>
      </c>
      <c r="B19" s="128" t="s">
        <v>102</v>
      </c>
      <c r="C19" s="128" t="s">
        <v>34</v>
      </c>
      <c r="D19" s="134" t="s">
        <v>601</v>
      </c>
      <c r="E19" s="128" t="s">
        <v>65</v>
      </c>
    </row>
    <row r="20" spans="1:5" ht="15" customHeight="1" x14ac:dyDescent="0.25">
      <c r="A20" s="75" t="s">
        <v>36</v>
      </c>
      <c r="B20" s="32">
        <v>0</v>
      </c>
      <c r="C20" s="32">
        <v>0</v>
      </c>
      <c r="D20" s="32">
        <v>64</v>
      </c>
      <c r="E20" s="32">
        <v>64</v>
      </c>
    </row>
    <row r="21" spans="1:5" s="5" customFormat="1" ht="15" customHeight="1" x14ac:dyDescent="0.25">
      <c r="A21" s="75" t="s">
        <v>37</v>
      </c>
      <c r="B21" s="32">
        <v>32</v>
      </c>
      <c r="C21" s="32">
        <v>195</v>
      </c>
      <c r="D21" s="32">
        <v>2748</v>
      </c>
      <c r="E21" s="32">
        <v>2975</v>
      </c>
    </row>
    <row r="22" spans="1:5" s="5" customFormat="1" ht="15" customHeight="1" x14ac:dyDescent="0.25">
      <c r="A22" s="75" t="s">
        <v>38</v>
      </c>
      <c r="B22" s="32">
        <v>2629</v>
      </c>
      <c r="C22" s="32">
        <v>893</v>
      </c>
      <c r="D22" s="32">
        <v>15233</v>
      </c>
      <c r="E22" s="32">
        <v>18755</v>
      </c>
    </row>
    <row r="23" spans="1:5" s="5" customFormat="1" ht="15" customHeight="1" x14ac:dyDescent="0.25">
      <c r="A23" s="75" t="s">
        <v>39</v>
      </c>
      <c r="B23" s="32">
        <v>3922</v>
      </c>
      <c r="C23" s="32">
        <v>864</v>
      </c>
      <c r="D23" s="32">
        <v>14775</v>
      </c>
      <c r="E23" s="32">
        <v>19561</v>
      </c>
    </row>
    <row r="24" spans="1:5" s="5" customFormat="1" ht="15" customHeight="1" x14ac:dyDescent="0.25">
      <c r="A24" s="75" t="s">
        <v>40</v>
      </c>
      <c r="B24" s="32">
        <v>1617</v>
      </c>
      <c r="C24" s="32">
        <v>727</v>
      </c>
      <c r="D24" s="32">
        <v>11318</v>
      </c>
      <c r="E24" s="32">
        <v>13662</v>
      </c>
    </row>
    <row r="25" spans="1:5" s="5" customFormat="1" ht="15" customHeight="1" x14ac:dyDescent="0.25">
      <c r="A25" s="75" t="s">
        <v>1</v>
      </c>
      <c r="B25" s="32">
        <v>361</v>
      </c>
      <c r="C25" s="32">
        <v>1131</v>
      </c>
      <c r="D25" s="32">
        <v>17085</v>
      </c>
      <c r="E25" s="32">
        <v>18577</v>
      </c>
    </row>
    <row r="26" spans="1:5" s="5" customFormat="1" ht="15" customHeight="1" x14ac:dyDescent="0.25">
      <c r="A26" s="75" t="s">
        <v>66</v>
      </c>
      <c r="B26" s="32">
        <v>0</v>
      </c>
      <c r="C26" s="32">
        <v>0</v>
      </c>
      <c r="D26" s="32">
        <v>5</v>
      </c>
      <c r="E26" s="32">
        <v>5</v>
      </c>
    </row>
    <row r="27" spans="1:5" s="5" customFormat="1" ht="15" customHeight="1" x14ac:dyDescent="0.25">
      <c r="A27" s="80" t="s">
        <v>0</v>
      </c>
      <c r="B27" s="137">
        <v>8561</v>
      </c>
      <c r="C27" s="137">
        <v>3810</v>
      </c>
      <c r="D27" s="137">
        <v>61228</v>
      </c>
      <c r="E27" s="90">
        <v>73599</v>
      </c>
    </row>
    <row r="28" spans="1:5" s="5" customFormat="1" ht="15" customHeight="1" x14ac:dyDescent="0.25">
      <c r="A28" s="228" t="s">
        <v>110</v>
      </c>
      <c r="B28" s="130">
        <v>31.834248335474829</v>
      </c>
      <c r="C28" s="130">
        <v>35.834645669291341</v>
      </c>
      <c r="D28" s="130">
        <v>35.479607337111872</v>
      </c>
      <c r="E28" s="130">
        <v>35.073932657553605</v>
      </c>
    </row>
    <row r="29" spans="1:5" s="5" customFormat="1" ht="15" customHeight="1" x14ac:dyDescent="0.25">
      <c r="A29" s="4"/>
      <c r="B29" s="50"/>
      <c r="C29" s="50"/>
      <c r="D29" s="50"/>
      <c r="E29" s="6"/>
    </row>
    <row r="30" spans="1:5" s="5" customFormat="1" ht="15" customHeight="1" x14ac:dyDescent="0.25">
      <c r="A30" s="22" t="s">
        <v>529</v>
      </c>
      <c r="B30" s="6"/>
      <c r="C30" s="6"/>
      <c r="D30" s="6"/>
      <c r="E30" s="6"/>
    </row>
    <row r="31" spans="1:5" s="5" customFormat="1" ht="25.5" x14ac:dyDescent="0.25">
      <c r="A31" s="126" t="s">
        <v>54</v>
      </c>
      <c r="B31" s="128" t="s">
        <v>102</v>
      </c>
      <c r="C31" s="128" t="s">
        <v>34</v>
      </c>
      <c r="D31" s="134" t="s">
        <v>601</v>
      </c>
      <c r="E31" s="128" t="s">
        <v>65</v>
      </c>
    </row>
    <row r="32" spans="1:5" s="5" customFormat="1" ht="15" customHeight="1" x14ac:dyDescent="0.25">
      <c r="A32" s="74" t="s">
        <v>45</v>
      </c>
      <c r="B32" s="32">
        <v>0</v>
      </c>
      <c r="C32" s="32">
        <v>87</v>
      </c>
      <c r="D32" s="32">
        <v>17881</v>
      </c>
      <c r="E32" s="45">
        <v>17968</v>
      </c>
    </row>
    <row r="33" spans="1:6" s="5" customFormat="1" ht="15" customHeight="1" x14ac:dyDescent="0.25">
      <c r="A33" s="74" t="s">
        <v>46</v>
      </c>
      <c r="B33" s="32">
        <v>0</v>
      </c>
      <c r="C33" s="32">
        <v>2</v>
      </c>
      <c r="D33" s="32">
        <v>794</v>
      </c>
      <c r="E33" s="45">
        <v>796</v>
      </c>
    </row>
    <row r="34" spans="1:6" s="5" customFormat="1" ht="15" customHeight="1" x14ac:dyDescent="0.25">
      <c r="A34" s="74" t="s">
        <v>47</v>
      </c>
      <c r="B34" s="32">
        <v>0</v>
      </c>
      <c r="C34" s="32">
        <v>17</v>
      </c>
      <c r="D34" s="32">
        <v>930</v>
      </c>
      <c r="E34" s="45">
        <v>947</v>
      </c>
    </row>
    <row r="35" spans="1:6" s="5" customFormat="1" ht="15" customHeight="1" x14ac:dyDescent="0.25">
      <c r="A35" s="74" t="s">
        <v>48</v>
      </c>
      <c r="B35" s="32">
        <v>0</v>
      </c>
      <c r="C35" s="32">
        <v>5</v>
      </c>
      <c r="D35" s="32">
        <v>1872</v>
      </c>
      <c r="E35" s="45">
        <v>1877</v>
      </c>
    </row>
    <row r="36" spans="1:6" s="5" customFormat="1" ht="15" customHeight="1" x14ac:dyDescent="0.25">
      <c r="A36" s="74" t="s">
        <v>49</v>
      </c>
      <c r="B36" s="32">
        <v>0</v>
      </c>
      <c r="C36" s="32">
        <v>330</v>
      </c>
      <c r="D36" s="32">
        <v>5952</v>
      </c>
      <c r="E36" s="45">
        <v>6282</v>
      </c>
    </row>
    <row r="37" spans="1:6" s="5" customFormat="1" ht="15" customHeight="1" x14ac:dyDescent="0.25">
      <c r="A37" s="74" t="s">
        <v>7</v>
      </c>
      <c r="B37" s="32">
        <v>0</v>
      </c>
      <c r="C37" s="32">
        <v>95</v>
      </c>
      <c r="D37" s="32">
        <v>5125</v>
      </c>
      <c r="E37" s="45">
        <v>5220</v>
      </c>
    </row>
    <row r="38" spans="1:6" s="5" customFormat="1" ht="15" customHeight="1" x14ac:dyDescent="0.25">
      <c r="A38" s="74" t="s">
        <v>50</v>
      </c>
      <c r="B38" s="32">
        <v>0</v>
      </c>
      <c r="C38" s="32">
        <v>2489</v>
      </c>
      <c r="D38" s="32">
        <v>6298</v>
      </c>
      <c r="E38" s="45">
        <v>8787</v>
      </c>
      <c r="F38" s="4"/>
    </row>
    <row r="39" spans="1:6" s="5" customFormat="1" ht="15" customHeight="1" x14ac:dyDescent="0.25">
      <c r="A39" s="74" t="s">
        <v>51</v>
      </c>
      <c r="B39" s="32">
        <v>0</v>
      </c>
      <c r="C39" s="32">
        <v>106</v>
      </c>
      <c r="D39" s="32">
        <v>649</v>
      </c>
      <c r="E39" s="45">
        <v>755</v>
      </c>
      <c r="F39" s="4"/>
    </row>
    <row r="40" spans="1:6" s="5" customFormat="1" ht="15" customHeight="1" x14ac:dyDescent="0.25">
      <c r="A40" s="74" t="s">
        <v>52</v>
      </c>
      <c r="B40" s="32">
        <v>8561</v>
      </c>
      <c r="C40" s="32">
        <v>670</v>
      </c>
      <c r="D40" s="32">
        <v>15690</v>
      </c>
      <c r="E40" s="45">
        <v>24921</v>
      </c>
      <c r="F40" s="4"/>
    </row>
    <row r="41" spans="1:6" s="5" customFormat="1" ht="15" customHeight="1" x14ac:dyDescent="0.25">
      <c r="A41" s="74" t="s">
        <v>53</v>
      </c>
      <c r="B41" s="32">
        <v>0</v>
      </c>
      <c r="C41" s="32">
        <v>9</v>
      </c>
      <c r="D41" s="32">
        <v>6037</v>
      </c>
      <c r="E41" s="45">
        <v>6046</v>
      </c>
      <c r="F41" s="4"/>
    </row>
    <row r="42" spans="1:6" s="5" customFormat="1" ht="15" customHeight="1" x14ac:dyDescent="0.25">
      <c r="A42" s="92" t="s">
        <v>0</v>
      </c>
      <c r="B42" s="137">
        <v>8561</v>
      </c>
      <c r="C42" s="137">
        <v>3810</v>
      </c>
      <c r="D42" s="137">
        <v>61228</v>
      </c>
      <c r="E42" s="137">
        <v>73599</v>
      </c>
      <c r="F42" s="4"/>
    </row>
    <row r="43" spans="1:6" s="5" customFormat="1" ht="15" customHeight="1" x14ac:dyDescent="0.25">
      <c r="A43" s="4"/>
      <c r="B43" s="6"/>
      <c r="C43" s="6"/>
      <c r="D43" s="6"/>
      <c r="E43" s="6"/>
    </row>
    <row r="44" spans="1:6" s="5" customFormat="1" ht="26.25" customHeight="1" x14ac:dyDescent="0.25">
      <c r="A44" s="22" t="s">
        <v>570</v>
      </c>
      <c r="B44" s="6"/>
      <c r="C44" s="6"/>
      <c r="D44" s="6"/>
      <c r="E44" s="6"/>
    </row>
    <row r="45" spans="1:6" s="5" customFormat="1" ht="25.5" x14ac:dyDescent="0.25">
      <c r="A45" s="126" t="s">
        <v>54</v>
      </c>
      <c r="B45" s="128" t="s">
        <v>102</v>
      </c>
      <c r="C45" s="128" t="s">
        <v>34</v>
      </c>
      <c r="D45" s="134" t="s">
        <v>601</v>
      </c>
      <c r="E45" s="128" t="s">
        <v>65</v>
      </c>
    </row>
    <row r="46" spans="1:6" s="5" customFormat="1" ht="15" customHeight="1" x14ac:dyDescent="0.25">
      <c r="A46" s="74" t="s">
        <v>552</v>
      </c>
      <c r="B46" s="32">
        <v>0</v>
      </c>
      <c r="C46" s="32">
        <v>182</v>
      </c>
      <c r="D46" s="32">
        <v>23271</v>
      </c>
      <c r="E46" s="45">
        <v>23453</v>
      </c>
    </row>
    <row r="47" spans="1:6" s="5" customFormat="1" ht="15" customHeight="1" x14ac:dyDescent="0.25">
      <c r="A47" s="74" t="s">
        <v>553</v>
      </c>
      <c r="B47" s="32">
        <v>0</v>
      </c>
      <c r="C47" s="32">
        <v>2</v>
      </c>
      <c r="D47" s="32">
        <v>845</v>
      </c>
      <c r="E47" s="45">
        <v>847</v>
      </c>
    </row>
    <row r="48" spans="1:6" s="5" customFormat="1" ht="15" customHeight="1" x14ac:dyDescent="0.25">
      <c r="A48" s="74" t="s">
        <v>554</v>
      </c>
      <c r="B48" s="32">
        <v>0</v>
      </c>
      <c r="C48" s="32">
        <v>123</v>
      </c>
      <c r="D48" s="32">
        <v>1167</v>
      </c>
      <c r="E48" s="45">
        <v>1290</v>
      </c>
    </row>
    <row r="49" spans="1:5" s="5" customFormat="1" ht="15" customHeight="1" x14ac:dyDescent="0.25">
      <c r="A49" s="74" t="s">
        <v>555</v>
      </c>
      <c r="B49" s="32">
        <v>0</v>
      </c>
      <c r="C49" s="32">
        <v>5</v>
      </c>
      <c r="D49" s="32">
        <v>1921</v>
      </c>
      <c r="E49" s="45">
        <v>1926</v>
      </c>
    </row>
    <row r="50" spans="1:5" s="5" customFormat="1" ht="15" customHeight="1" x14ac:dyDescent="0.25">
      <c r="A50" s="74" t="s">
        <v>556</v>
      </c>
      <c r="B50" s="32">
        <v>0</v>
      </c>
      <c r="C50" s="32">
        <v>262</v>
      </c>
      <c r="D50" s="32">
        <v>4993</v>
      </c>
      <c r="E50" s="45">
        <v>5255</v>
      </c>
    </row>
    <row r="51" spans="1:5" s="5" customFormat="1" ht="15" customHeight="1" x14ac:dyDescent="0.25">
      <c r="A51" s="74" t="s">
        <v>50</v>
      </c>
      <c r="B51" s="32">
        <v>0</v>
      </c>
      <c r="C51" s="32">
        <v>2489</v>
      </c>
      <c r="D51" s="32">
        <v>6154</v>
      </c>
      <c r="E51" s="45">
        <v>8643</v>
      </c>
    </row>
    <row r="52" spans="1:5" ht="15" customHeight="1" x14ac:dyDescent="0.25">
      <c r="A52" s="74" t="s">
        <v>557</v>
      </c>
      <c r="B52" s="32">
        <v>0</v>
      </c>
      <c r="C52" s="32">
        <v>9</v>
      </c>
      <c r="D52" s="32">
        <v>2446</v>
      </c>
      <c r="E52" s="45">
        <v>2455</v>
      </c>
    </row>
    <row r="53" spans="1:5" ht="15" customHeight="1" x14ac:dyDescent="0.25">
      <c r="A53" s="74" t="s">
        <v>558</v>
      </c>
      <c r="B53" s="32">
        <v>8561</v>
      </c>
      <c r="C53" s="32">
        <v>738</v>
      </c>
      <c r="D53" s="32">
        <v>16348</v>
      </c>
      <c r="E53" s="45">
        <v>25647</v>
      </c>
    </row>
    <row r="54" spans="1:5" ht="15" customHeight="1" x14ac:dyDescent="0.25">
      <c r="A54" s="74" t="s">
        <v>559</v>
      </c>
      <c r="B54" s="32">
        <v>0</v>
      </c>
      <c r="C54" s="32">
        <v>0</v>
      </c>
      <c r="D54" s="32">
        <v>941</v>
      </c>
      <c r="E54" s="45">
        <v>941</v>
      </c>
    </row>
    <row r="55" spans="1:5" ht="15" customHeight="1" x14ac:dyDescent="0.25">
      <c r="A55" s="74" t="s">
        <v>560</v>
      </c>
      <c r="B55" s="32">
        <v>0</v>
      </c>
      <c r="C55" s="32">
        <v>0</v>
      </c>
      <c r="D55" s="32">
        <v>3142</v>
      </c>
      <c r="E55" s="45">
        <v>3142</v>
      </c>
    </row>
    <row r="56" spans="1:5" ht="15" customHeight="1" x14ac:dyDescent="0.25">
      <c r="A56" s="92" t="s">
        <v>0</v>
      </c>
      <c r="B56" s="137">
        <v>8561</v>
      </c>
      <c r="C56" s="137">
        <v>3810</v>
      </c>
      <c r="D56" s="137">
        <v>61228</v>
      </c>
      <c r="E56" s="137">
        <v>73599</v>
      </c>
    </row>
    <row r="57" spans="1:5" ht="15" customHeight="1" x14ac:dyDescent="0.25"/>
    <row r="58" spans="1:5" ht="25.5" customHeight="1" x14ac:dyDescent="0.25">
      <c r="A58" s="22" t="s">
        <v>530</v>
      </c>
    </row>
    <row r="59" spans="1:5" ht="25.5" x14ac:dyDescent="0.25">
      <c r="A59" s="126" t="s">
        <v>56</v>
      </c>
      <c r="B59" s="128" t="s">
        <v>102</v>
      </c>
      <c r="C59" s="128" t="s">
        <v>34</v>
      </c>
      <c r="D59" s="134" t="s">
        <v>601</v>
      </c>
      <c r="E59" s="128" t="s">
        <v>65</v>
      </c>
    </row>
    <row r="60" spans="1:5" ht="15" customHeight="1" x14ac:dyDescent="0.25">
      <c r="A60" s="74" t="s">
        <v>88</v>
      </c>
      <c r="B60" s="20">
        <v>8134</v>
      </c>
      <c r="C60" s="20">
        <v>570</v>
      </c>
      <c r="D60" s="20">
        <v>3015</v>
      </c>
      <c r="E60" s="20">
        <v>11719</v>
      </c>
    </row>
    <row r="61" spans="1:5" ht="15" customHeight="1" x14ac:dyDescent="0.25">
      <c r="A61" s="74" t="s">
        <v>89</v>
      </c>
      <c r="B61" s="20">
        <v>134</v>
      </c>
      <c r="C61" s="20">
        <v>534</v>
      </c>
      <c r="D61" s="20">
        <v>4031</v>
      </c>
      <c r="E61" s="20">
        <v>4699</v>
      </c>
    </row>
    <row r="62" spans="1:5" ht="15" customHeight="1" x14ac:dyDescent="0.25">
      <c r="A62" s="74" t="s">
        <v>90</v>
      </c>
      <c r="B62" s="20">
        <v>61</v>
      </c>
      <c r="C62" s="20">
        <v>442</v>
      </c>
      <c r="D62" s="20">
        <v>10906</v>
      </c>
      <c r="E62" s="20">
        <v>11409</v>
      </c>
    </row>
    <row r="63" spans="1:5" ht="15" customHeight="1" x14ac:dyDescent="0.25">
      <c r="A63" s="74" t="s">
        <v>91</v>
      </c>
      <c r="B63" s="20">
        <v>0</v>
      </c>
      <c r="C63" s="20">
        <v>2235</v>
      </c>
      <c r="D63" s="20">
        <v>43116</v>
      </c>
      <c r="E63" s="20">
        <v>45351</v>
      </c>
    </row>
    <row r="64" spans="1:5" ht="15" customHeight="1" x14ac:dyDescent="0.25">
      <c r="A64" s="74" t="s">
        <v>92</v>
      </c>
      <c r="B64" s="20">
        <v>232</v>
      </c>
      <c r="C64" s="20">
        <v>29</v>
      </c>
      <c r="D64" s="20">
        <v>160</v>
      </c>
      <c r="E64" s="20">
        <v>421</v>
      </c>
    </row>
    <row r="65" spans="1:6" ht="15" customHeight="1" x14ac:dyDescent="0.25">
      <c r="A65" s="92" t="s">
        <v>0</v>
      </c>
      <c r="B65" s="8">
        <v>8561</v>
      </c>
      <c r="C65" s="8">
        <v>3810</v>
      </c>
      <c r="D65" s="8">
        <v>61228</v>
      </c>
      <c r="E65" s="8">
        <v>73599</v>
      </c>
    </row>
    <row r="66" spans="1:6" ht="15" customHeight="1" x14ac:dyDescent="0.25"/>
    <row r="67" spans="1:6" ht="25.5" customHeight="1" x14ac:dyDescent="0.25">
      <c r="A67" s="22" t="s">
        <v>531</v>
      </c>
    </row>
    <row r="68" spans="1:6" s="5" customFormat="1" ht="25.5" x14ac:dyDescent="0.25">
      <c r="A68" s="126" t="s">
        <v>44</v>
      </c>
      <c r="B68" s="128" t="s">
        <v>102</v>
      </c>
      <c r="C68" s="128" t="s">
        <v>34</v>
      </c>
      <c r="D68" s="134" t="s">
        <v>601</v>
      </c>
      <c r="E68" s="128" t="s">
        <v>65</v>
      </c>
      <c r="F68" s="4"/>
    </row>
    <row r="69" spans="1:6" s="5" customFormat="1" ht="15" customHeight="1" x14ac:dyDescent="0.25">
      <c r="A69" s="74" t="s">
        <v>229</v>
      </c>
      <c r="B69" s="20">
        <v>0</v>
      </c>
      <c r="C69" s="20">
        <v>0</v>
      </c>
      <c r="D69" s="20">
        <v>0</v>
      </c>
      <c r="E69" s="20">
        <v>0</v>
      </c>
      <c r="F69" s="4"/>
    </row>
    <row r="70" spans="1:6" s="5" customFormat="1" ht="15" customHeight="1" x14ac:dyDescent="0.25">
      <c r="A70" s="74" t="s">
        <v>230</v>
      </c>
      <c r="B70" s="20">
        <v>0</v>
      </c>
      <c r="C70" s="20">
        <v>0</v>
      </c>
      <c r="D70" s="20">
        <v>0</v>
      </c>
      <c r="E70" s="20">
        <v>0</v>
      </c>
      <c r="F70" s="4"/>
    </row>
    <row r="71" spans="1:6" s="5" customFormat="1" ht="15" customHeight="1" x14ac:dyDescent="0.25">
      <c r="A71" s="74" t="s">
        <v>231</v>
      </c>
      <c r="B71" s="7">
        <v>47</v>
      </c>
      <c r="C71" s="7">
        <v>0</v>
      </c>
      <c r="D71" s="7">
        <v>248</v>
      </c>
      <c r="E71" s="7">
        <v>295</v>
      </c>
      <c r="F71" s="4"/>
    </row>
    <row r="72" spans="1:6" s="5" customFormat="1" ht="15" customHeight="1" x14ac:dyDescent="0.25">
      <c r="A72" s="74" t="s">
        <v>232</v>
      </c>
      <c r="B72" s="20">
        <v>0</v>
      </c>
      <c r="C72" s="20">
        <v>30</v>
      </c>
      <c r="D72" s="20">
        <v>0</v>
      </c>
      <c r="E72" s="20">
        <v>30</v>
      </c>
      <c r="F72" s="4"/>
    </row>
    <row r="73" spans="1:6" s="5" customFormat="1" ht="15" customHeight="1" x14ac:dyDescent="0.25">
      <c r="A73" s="74" t="s">
        <v>233</v>
      </c>
      <c r="B73" s="20">
        <v>108</v>
      </c>
      <c r="C73" s="20">
        <v>4</v>
      </c>
      <c r="D73" s="20">
        <v>55</v>
      </c>
      <c r="E73" s="20">
        <v>167</v>
      </c>
      <c r="F73" s="4"/>
    </row>
    <row r="74" spans="1:6" s="5" customFormat="1" ht="15" customHeight="1" x14ac:dyDescent="0.25">
      <c r="A74" s="74" t="s">
        <v>234</v>
      </c>
      <c r="B74" s="20">
        <v>666</v>
      </c>
      <c r="C74" s="20">
        <v>361</v>
      </c>
      <c r="D74" s="20">
        <v>764</v>
      </c>
      <c r="E74" s="20">
        <v>1791</v>
      </c>
      <c r="F74" s="4"/>
    </row>
    <row r="75" spans="1:6" s="5" customFormat="1" ht="15" customHeight="1" x14ac:dyDescent="0.25">
      <c r="A75" s="74" t="s">
        <v>235</v>
      </c>
      <c r="B75" s="20">
        <v>5897</v>
      </c>
      <c r="C75" s="20">
        <v>2993</v>
      </c>
      <c r="D75" s="20">
        <v>49631</v>
      </c>
      <c r="E75" s="20">
        <v>58521</v>
      </c>
      <c r="F75" s="4"/>
    </row>
    <row r="76" spans="1:6" s="5" customFormat="1" ht="15" customHeight="1" x14ac:dyDescent="0.25">
      <c r="A76" s="88" t="s">
        <v>325</v>
      </c>
      <c r="B76" s="20">
        <v>13</v>
      </c>
      <c r="C76" s="20">
        <v>0</v>
      </c>
      <c r="D76" s="20">
        <v>0</v>
      </c>
      <c r="E76" s="20">
        <v>13</v>
      </c>
      <c r="F76" s="4"/>
    </row>
    <row r="77" spans="1:6" s="5" customFormat="1" ht="15" customHeight="1" x14ac:dyDescent="0.25">
      <c r="A77" s="74" t="s">
        <v>236</v>
      </c>
      <c r="B77" s="20">
        <v>327</v>
      </c>
      <c r="C77" s="20">
        <v>35</v>
      </c>
      <c r="D77" s="20">
        <v>134</v>
      </c>
      <c r="E77" s="20">
        <v>496</v>
      </c>
      <c r="F77" s="4"/>
    </row>
    <row r="78" spans="1:6" s="5" customFormat="1" ht="15" customHeight="1" x14ac:dyDescent="0.25">
      <c r="A78" s="74" t="s">
        <v>293</v>
      </c>
      <c r="B78" s="20">
        <v>0</v>
      </c>
      <c r="C78" s="20">
        <v>117</v>
      </c>
      <c r="D78" s="20">
        <v>93</v>
      </c>
      <c r="E78" s="20">
        <v>210</v>
      </c>
      <c r="F78" s="4"/>
    </row>
    <row r="79" spans="1:6" s="5" customFormat="1" ht="15" customHeight="1" x14ac:dyDescent="0.25">
      <c r="A79" s="74" t="s">
        <v>242</v>
      </c>
      <c r="B79" s="20">
        <v>908</v>
      </c>
      <c r="C79" s="20">
        <v>174</v>
      </c>
      <c r="D79" s="20">
        <v>1150</v>
      </c>
      <c r="E79" s="20">
        <v>2232</v>
      </c>
      <c r="F79" s="4"/>
    </row>
    <row r="80" spans="1:6" s="5" customFormat="1" ht="15" customHeight="1" x14ac:dyDescent="0.25">
      <c r="A80" s="88" t="s">
        <v>244</v>
      </c>
      <c r="B80" s="20">
        <v>339</v>
      </c>
      <c r="C80" s="20">
        <v>40</v>
      </c>
      <c r="D80" s="20">
        <v>8927</v>
      </c>
      <c r="E80" s="20">
        <v>9306</v>
      </c>
      <c r="F80" s="4"/>
    </row>
    <row r="81" spans="1:6" s="5" customFormat="1" ht="15" customHeight="1" x14ac:dyDescent="0.25">
      <c r="A81" s="74" t="s">
        <v>238</v>
      </c>
      <c r="B81" s="20">
        <v>138</v>
      </c>
      <c r="C81" s="20">
        <v>23</v>
      </c>
      <c r="D81" s="20">
        <v>101</v>
      </c>
      <c r="E81" s="20">
        <v>262</v>
      </c>
      <c r="F81" s="4"/>
    </row>
    <row r="82" spans="1:6" s="5" customFormat="1" ht="15" customHeight="1" x14ac:dyDescent="0.25">
      <c r="A82" s="74" t="s">
        <v>239</v>
      </c>
      <c r="B82" s="20">
        <v>118</v>
      </c>
      <c r="C82" s="20">
        <v>33</v>
      </c>
      <c r="D82" s="20">
        <v>125</v>
      </c>
      <c r="E82" s="20">
        <v>276</v>
      </c>
      <c r="F82" s="4"/>
    </row>
    <row r="83" spans="1:6" s="5" customFormat="1" ht="15" customHeight="1" x14ac:dyDescent="0.25">
      <c r="A83" s="74" t="s">
        <v>240</v>
      </c>
      <c r="B83" s="20">
        <v>0</v>
      </c>
      <c r="C83" s="20">
        <v>0</v>
      </c>
      <c r="D83" s="20">
        <v>0</v>
      </c>
      <c r="E83" s="20">
        <v>0</v>
      </c>
      <c r="F83" s="4"/>
    </row>
    <row r="84" spans="1:6" s="5" customFormat="1" ht="15" customHeight="1" x14ac:dyDescent="0.25">
      <c r="A84" s="74" t="s">
        <v>241</v>
      </c>
      <c r="B84" s="20">
        <v>0</v>
      </c>
      <c r="C84" s="20">
        <v>0</v>
      </c>
      <c r="D84" s="20">
        <v>0</v>
      </c>
      <c r="E84" s="20">
        <v>0</v>
      </c>
      <c r="F84" s="4"/>
    </row>
    <row r="85" spans="1:6" ht="15" customHeight="1" x14ac:dyDescent="0.25">
      <c r="A85" s="92" t="s">
        <v>0</v>
      </c>
      <c r="B85" s="21">
        <v>8561</v>
      </c>
      <c r="C85" s="21">
        <v>3810</v>
      </c>
      <c r="D85" s="21">
        <v>61228</v>
      </c>
      <c r="E85" s="21">
        <v>73599</v>
      </c>
      <c r="F85" s="5"/>
    </row>
    <row r="87" spans="1:6" ht="15" x14ac:dyDescent="0.25">
      <c r="A87" s="83" t="s">
        <v>254</v>
      </c>
    </row>
    <row r="88" spans="1:6" ht="15" x14ac:dyDescent="0.25">
      <c r="A88" s="41" t="s">
        <v>243</v>
      </c>
    </row>
  </sheetData>
  <hyperlinks>
    <hyperlink ref="A88" location="Índice!C1" display="Volver al ïndice" xr:uid="{00000000-0004-0000-0700-000000000000}"/>
  </hyperlinks>
  <pageMargins left="0.7" right="0.7" top="0.75" bottom="0.75" header="0.3" footer="0.3"/>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Y67"/>
  <sheetViews>
    <sheetView showGridLines="0" zoomScale="90" zoomScaleNormal="90" zoomScalePageLayoutView="96" workbookViewId="0">
      <pane ySplit="2" topLeftCell="A3" activePane="bottomLeft" state="frozen"/>
      <selection pane="bottomLeft"/>
    </sheetView>
  </sheetViews>
  <sheetFormatPr baseColWidth="10" defaultColWidth="10.85546875" defaultRowHeight="15" x14ac:dyDescent="0.25"/>
  <cols>
    <col min="1" max="1" width="32.28515625" style="4" customWidth="1"/>
    <col min="2" max="20" width="8.42578125" style="4" customWidth="1"/>
    <col min="21" max="23" width="11.85546875" style="5" customWidth="1"/>
    <col min="24" max="24" width="13.28515625" style="5" customWidth="1"/>
    <col min="25" max="25" width="10.28515625" style="3" customWidth="1"/>
    <col min="26" max="16384" width="10.85546875" style="3"/>
  </cols>
  <sheetData>
    <row r="1" spans="1:25" ht="21" x14ac:dyDescent="0.25">
      <c r="A1" s="70" t="s">
        <v>532</v>
      </c>
      <c r="B1" s="70"/>
      <c r="C1" s="70"/>
      <c r="D1" s="33"/>
      <c r="E1" s="33"/>
      <c r="F1" s="33"/>
      <c r="G1" s="33"/>
      <c r="H1" s="33"/>
    </row>
    <row r="2" spans="1:25" ht="36" customHeight="1" x14ac:dyDescent="0.25">
      <c r="A2" s="33"/>
      <c r="B2" s="33"/>
      <c r="C2" s="33"/>
      <c r="D2" s="33"/>
      <c r="E2" s="33"/>
      <c r="F2" s="33"/>
      <c r="G2" s="33"/>
      <c r="H2" s="33"/>
    </row>
    <row r="3" spans="1:25" ht="18.75" x14ac:dyDescent="0.25">
      <c r="A3" s="33"/>
      <c r="B3" s="33"/>
      <c r="C3" s="33"/>
      <c r="D3" s="33"/>
      <c r="E3" s="33"/>
      <c r="F3" s="33"/>
      <c r="G3" s="33"/>
      <c r="H3" s="33"/>
    </row>
    <row r="4" spans="1:25" ht="15.75" x14ac:dyDescent="0.25">
      <c r="A4" s="22" t="s">
        <v>126</v>
      </c>
      <c r="B4" s="22"/>
      <c r="C4" s="22"/>
      <c r="D4" s="22"/>
      <c r="E4" s="22"/>
      <c r="F4" s="22"/>
      <c r="G4" s="22"/>
      <c r="H4" s="22"/>
    </row>
    <row r="5" spans="1:25" ht="25.5" x14ac:dyDescent="0.25">
      <c r="A5" s="104" t="s">
        <v>81</v>
      </c>
      <c r="B5" s="105">
        <v>2007</v>
      </c>
      <c r="C5" s="105">
        <v>2008</v>
      </c>
      <c r="D5" s="105">
        <v>2009</v>
      </c>
      <c r="E5" s="105">
        <v>2010</v>
      </c>
      <c r="F5" s="105">
        <v>2011</v>
      </c>
      <c r="G5" s="105">
        <v>2012</v>
      </c>
      <c r="H5" s="105">
        <v>2013</v>
      </c>
      <c r="I5" s="105">
        <v>2014</v>
      </c>
      <c r="J5" s="105">
        <v>2015</v>
      </c>
      <c r="K5" s="105">
        <v>2016</v>
      </c>
      <c r="L5" s="105">
        <v>2017</v>
      </c>
      <c r="M5" s="105">
        <v>2018</v>
      </c>
      <c r="N5" s="105">
        <v>2019</v>
      </c>
      <c r="O5" s="105">
        <v>2020</v>
      </c>
      <c r="P5" s="105">
        <v>2021</v>
      </c>
      <c r="Q5" s="105">
        <v>2022</v>
      </c>
      <c r="R5" s="105">
        <v>2023</v>
      </c>
      <c r="S5" s="105">
        <v>2024</v>
      </c>
      <c r="T5" s="105">
        <v>2025</v>
      </c>
      <c r="U5" s="106" t="s">
        <v>546</v>
      </c>
      <c r="V5" s="106" t="s">
        <v>547</v>
      </c>
      <c r="W5" s="106" t="s">
        <v>548</v>
      </c>
      <c r="X5" s="106" t="s">
        <v>549</v>
      </c>
      <c r="Y5" s="216" t="s">
        <v>563</v>
      </c>
    </row>
    <row r="6" spans="1:25" x14ac:dyDescent="0.25">
      <c r="A6" s="1" t="s">
        <v>2</v>
      </c>
      <c r="B6" s="1">
        <v>0</v>
      </c>
      <c r="C6" s="1">
        <v>12</v>
      </c>
      <c r="D6" s="1">
        <v>14</v>
      </c>
      <c r="E6" s="1">
        <v>5</v>
      </c>
      <c r="F6" s="1">
        <v>61</v>
      </c>
      <c r="G6" s="1">
        <v>17</v>
      </c>
      <c r="H6" s="1">
        <v>18</v>
      </c>
      <c r="I6" s="1">
        <v>2</v>
      </c>
      <c r="J6" s="1">
        <v>6</v>
      </c>
      <c r="K6" s="1">
        <v>9</v>
      </c>
      <c r="L6" s="1">
        <v>12</v>
      </c>
      <c r="M6" s="1">
        <v>11</v>
      </c>
      <c r="N6" s="1">
        <v>9</v>
      </c>
      <c r="O6" s="1">
        <v>8</v>
      </c>
      <c r="P6" s="1">
        <v>14</v>
      </c>
      <c r="Q6" s="1">
        <v>7</v>
      </c>
      <c r="R6" s="1">
        <v>9</v>
      </c>
      <c r="S6" s="1">
        <v>5</v>
      </c>
      <c r="T6" s="1">
        <v>106</v>
      </c>
      <c r="U6" s="149">
        <f t="shared" ref="U6:U9" si="0">(T6-K6)/K6</f>
        <v>10.777777777777779</v>
      </c>
      <c r="V6" s="149">
        <f t="shared" ref="V6:V9" si="1">(T6-P6)/P6</f>
        <v>6.5714285714285712</v>
      </c>
      <c r="W6" s="149">
        <f t="shared" ref="W6:W9" si="2">(T6-S6)/S6</f>
        <v>20.2</v>
      </c>
      <c r="X6" s="218">
        <f>T6/T$9</f>
        <v>1.4402369597413009E-3</v>
      </c>
      <c r="Y6" s="219">
        <f t="shared" ref="Y6:Y9" si="3">T6-S6</f>
        <v>101</v>
      </c>
    </row>
    <row r="7" spans="1:25" x14ac:dyDescent="0.25">
      <c r="A7" s="1" t="s">
        <v>3</v>
      </c>
      <c r="B7" s="1">
        <v>0</v>
      </c>
      <c r="C7" s="1">
        <v>22</v>
      </c>
      <c r="D7" s="1">
        <v>25</v>
      </c>
      <c r="E7" s="1">
        <v>38</v>
      </c>
      <c r="F7" s="1">
        <v>7074</v>
      </c>
      <c r="G7" s="1">
        <v>7637</v>
      </c>
      <c r="H7" s="1">
        <v>7568</v>
      </c>
      <c r="I7" s="1">
        <v>6391</v>
      </c>
      <c r="J7" s="1">
        <v>5631</v>
      </c>
      <c r="K7" s="1">
        <v>3679</v>
      </c>
      <c r="L7" s="1">
        <v>2644</v>
      </c>
      <c r="M7" s="1">
        <v>1793</v>
      </c>
      <c r="N7" s="1">
        <v>1956</v>
      </c>
      <c r="O7" s="1">
        <v>643</v>
      </c>
      <c r="P7" s="1">
        <v>1300</v>
      </c>
      <c r="Q7" s="1">
        <v>876</v>
      </c>
      <c r="R7" s="1">
        <v>418</v>
      </c>
      <c r="S7" s="1">
        <v>261</v>
      </c>
      <c r="T7" s="1">
        <v>1130</v>
      </c>
      <c r="U7" s="149">
        <f t="shared" si="0"/>
        <v>-0.69285131829301438</v>
      </c>
      <c r="V7" s="149">
        <f t="shared" si="1"/>
        <v>-0.13076923076923078</v>
      </c>
      <c r="W7" s="149">
        <f t="shared" si="2"/>
        <v>3.3295019157088124</v>
      </c>
      <c r="X7" s="218">
        <f t="shared" ref="X7:X9" si="4">T7/T$9</f>
        <v>1.5353469476487452E-2</v>
      </c>
      <c r="Y7" s="219">
        <f t="shared" si="3"/>
        <v>869</v>
      </c>
    </row>
    <row r="8" spans="1:25" x14ac:dyDescent="0.25">
      <c r="A8" s="1" t="s">
        <v>111</v>
      </c>
      <c r="B8" s="1">
        <v>7801</v>
      </c>
      <c r="C8" s="1">
        <v>10340</v>
      </c>
      <c r="D8" s="1">
        <v>13983</v>
      </c>
      <c r="E8" s="1">
        <v>13919</v>
      </c>
      <c r="F8" s="1">
        <v>12407</v>
      </c>
      <c r="G8" s="1">
        <v>13249</v>
      </c>
      <c r="H8" s="1">
        <v>15782</v>
      </c>
      <c r="I8" s="1">
        <v>17550</v>
      </c>
      <c r="J8" s="1">
        <v>16384</v>
      </c>
      <c r="K8" s="1">
        <v>17426</v>
      </c>
      <c r="L8" s="1">
        <v>19647</v>
      </c>
      <c r="M8" s="1">
        <v>25610</v>
      </c>
      <c r="N8" s="1">
        <v>23668</v>
      </c>
      <c r="O8" s="1">
        <v>22930</v>
      </c>
      <c r="P8" s="1">
        <v>35764</v>
      </c>
      <c r="Q8" s="1">
        <v>34668</v>
      </c>
      <c r="R8" s="1">
        <v>39299</v>
      </c>
      <c r="S8" s="1">
        <v>56161</v>
      </c>
      <c r="T8" s="1">
        <v>72363</v>
      </c>
      <c r="U8" s="149">
        <f t="shared" si="0"/>
        <v>3.1525880867669001</v>
      </c>
      <c r="V8" s="149">
        <f t="shared" si="1"/>
        <v>1.0233475002796109</v>
      </c>
      <c r="W8" s="149">
        <f t="shared" si="2"/>
        <v>0.28849201403108921</v>
      </c>
      <c r="X8" s="218">
        <f t="shared" si="4"/>
        <v>0.98320629356377121</v>
      </c>
      <c r="Y8" s="219">
        <f t="shared" si="3"/>
        <v>16202</v>
      </c>
    </row>
    <row r="9" spans="1:25" x14ac:dyDescent="0.25">
      <c r="A9" s="2" t="s">
        <v>0</v>
      </c>
      <c r="B9" s="2">
        <v>7801</v>
      </c>
      <c r="C9" s="2">
        <v>10374</v>
      </c>
      <c r="D9" s="2">
        <v>14022</v>
      </c>
      <c r="E9" s="2">
        <v>13962</v>
      </c>
      <c r="F9" s="2">
        <v>19542</v>
      </c>
      <c r="G9" s="2">
        <v>20903</v>
      </c>
      <c r="H9" s="2">
        <v>23368</v>
      </c>
      <c r="I9" s="2">
        <v>23943</v>
      </c>
      <c r="J9" s="2">
        <v>22021</v>
      </c>
      <c r="K9" s="2">
        <v>21114</v>
      </c>
      <c r="L9" s="2">
        <v>22303</v>
      </c>
      <c r="M9" s="2">
        <v>27414</v>
      </c>
      <c r="N9" s="2">
        <v>25633</v>
      </c>
      <c r="O9" s="2">
        <v>23581</v>
      </c>
      <c r="P9" s="2">
        <v>37078</v>
      </c>
      <c r="Q9" s="2">
        <v>35551</v>
      </c>
      <c r="R9" s="2">
        <v>39726</v>
      </c>
      <c r="S9" s="2">
        <v>56427</v>
      </c>
      <c r="T9" s="2">
        <v>73599</v>
      </c>
      <c r="U9" s="150">
        <f t="shared" si="0"/>
        <v>2.4857914180164817</v>
      </c>
      <c r="V9" s="150">
        <f t="shared" si="1"/>
        <v>0.98497761475807755</v>
      </c>
      <c r="W9" s="150">
        <f t="shared" si="2"/>
        <v>0.30432239885161361</v>
      </c>
      <c r="X9" s="220">
        <f t="shared" si="4"/>
        <v>1</v>
      </c>
      <c r="Y9" s="221">
        <f t="shared" si="3"/>
        <v>17172</v>
      </c>
    </row>
    <row r="11" spans="1:25" ht="15.75" x14ac:dyDescent="0.25">
      <c r="A11" s="22" t="s">
        <v>278</v>
      </c>
      <c r="B11" s="22"/>
      <c r="C11" s="22"/>
      <c r="D11" s="22"/>
      <c r="E11" s="22"/>
      <c r="F11" s="22"/>
      <c r="G11" s="22"/>
      <c r="H11" s="22"/>
    </row>
    <row r="12" spans="1:25" ht="25.5" x14ac:dyDescent="0.25">
      <c r="A12" s="104" t="s">
        <v>81</v>
      </c>
      <c r="B12" s="105">
        <v>2007</v>
      </c>
      <c r="C12" s="105">
        <v>2008</v>
      </c>
      <c r="D12" s="105">
        <v>2009</v>
      </c>
      <c r="E12" s="105">
        <v>2010</v>
      </c>
      <c r="F12" s="105">
        <v>2011</v>
      </c>
      <c r="G12" s="105">
        <v>2012</v>
      </c>
      <c r="H12" s="105">
        <v>2013</v>
      </c>
      <c r="I12" s="105">
        <v>2014</v>
      </c>
      <c r="J12" s="105">
        <v>2015</v>
      </c>
      <c r="K12" s="105">
        <v>2016</v>
      </c>
      <c r="L12" s="105">
        <v>2017</v>
      </c>
      <c r="M12" s="105">
        <v>2018</v>
      </c>
      <c r="N12" s="105">
        <v>2019</v>
      </c>
      <c r="O12" s="105">
        <v>2020</v>
      </c>
      <c r="P12" s="105">
        <v>2021</v>
      </c>
      <c r="Q12" s="105">
        <v>2022</v>
      </c>
      <c r="R12" s="105">
        <v>2023</v>
      </c>
      <c r="S12" s="105">
        <v>2024</v>
      </c>
      <c r="T12" s="105">
        <v>2025</v>
      </c>
      <c r="U12" s="106" t="s">
        <v>546</v>
      </c>
      <c r="V12" s="106" t="s">
        <v>547</v>
      </c>
      <c r="W12" s="106" t="s">
        <v>548</v>
      </c>
      <c r="X12" s="106" t="s">
        <v>549</v>
      </c>
      <c r="Y12" s="216" t="s">
        <v>563</v>
      </c>
    </row>
    <row r="13" spans="1:25" x14ac:dyDescent="0.25">
      <c r="A13" s="1" t="s">
        <v>490</v>
      </c>
      <c r="B13" s="1">
        <v>0</v>
      </c>
      <c r="C13" s="1">
        <v>12</v>
      </c>
      <c r="D13" s="1">
        <v>14</v>
      </c>
      <c r="E13" s="1">
        <v>5</v>
      </c>
      <c r="F13" s="1">
        <v>61</v>
      </c>
      <c r="G13" s="1">
        <v>17</v>
      </c>
      <c r="H13" s="1">
        <v>18</v>
      </c>
      <c r="I13" s="1">
        <v>2</v>
      </c>
      <c r="J13" s="1">
        <v>6</v>
      </c>
      <c r="K13" s="1">
        <v>9</v>
      </c>
      <c r="L13" s="1">
        <v>12</v>
      </c>
      <c r="M13" s="1">
        <v>11</v>
      </c>
      <c r="N13" s="1">
        <v>9</v>
      </c>
      <c r="O13" s="1">
        <v>8</v>
      </c>
      <c r="P13" s="1">
        <v>14</v>
      </c>
      <c r="Q13" s="1">
        <v>7</v>
      </c>
      <c r="R13" s="1">
        <v>9</v>
      </c>
      <c r="S13" s="1">
        <v>5</v>
      </c>
      <c r="T13" s="1">
        <v>49</v>
      </c>
      <c r="U13" s="149">
        <f t="shared" ref="U13:U20" si="5">(T13-K13)/K13</f>
        <v>4.4444444444444446</v>
      </c>
      <c r="V13" s="149">
        <f t="shared" ref="V13:V20" si="6">(T13-P13)/P13</f>
        <v>2.5</v>
      </c>
      <c r="W13" s="149">
        <f t="shared" ref="W13:W20" si="7">(T13-S13)/S13</f>
        <v>8.8000000000000007</v>
      </c>
      <c r="X13" s="218">
        <f t="shared" ref="X13:X20" si="8">T13/T$9</f>
        <v>6.6576991535211081E-4</v>
      </c>
      <c r="Y13" s="219">
        <f t="shared" ref="Y13:Y20" si="9">T13-S13</f>
        <v>44</v>
      </c>
    </row>
    <row r="14" spans="1:25" x14ac:dyDescent="0.25">
      <c r="A14" s="1" t="s">
        <v>356</v>
      </c>
      <c r="B14" s="1">
        <v>0</v>
      </c>
      <c r="C14" s="1">
        <v>0</v>
      </c>
      <c r="D14" s="1">
        <v>0</v>
      </c>
      <c r="E14" s="1">
        <v>0</v>
      </c>
      <c r="F14" s="1">
        <v>0</v>
      </c>
      <c r="G14" s="1">
        <v>0</v>
      </c>
      <c r="H14" s="1">
        <v>0</v>
      </c>
      <c r="I14" s="1">
        <v>0</v>
      </c>
      <c r="J14" s="1">
        <v>0</v>
      </c>
      <c r="K14" s="1">
        <v>0</v>
      </c>
      <c r="L14" s="1">
        <v>0</v>
      </c>
      <c r="M14" s="1">
        <v>0</v>
      </c>
      <c r="N14" s="1">
        <v>0</v>
      </c>
      <c r="O14" s="1">
        <v>0</v>
      </c>
      <c r="P14" s="1">
        <v>0</v>
      </c>
      <c r="Q14" s="1">
        <v>0</v>
      </c>
      <c r="R14" s="1">
        <v>0</v>
      </c>
      <c r="S14" s="1">
        <v>0</v>
      </c>
      <c r="T14" s="1">
        <v>57</v>
      </c>
      <c r="U14" s="149" t="e">
        <f t="shared" si="5"/>
        <v>#DIV/0!</v>
      </c>
      <c r="V14" s="149" t="e">
        <f t="shared" si="6"/>
        <v>#DIV/0!</v>
      </c>
      <c r="W14" s="149" t="e">
        <f t="shared" si="7"/>
        <v>#DIV/0!</v>
      </c>
      <c r="X14" s="218">
        <f t="shared" si="8"/>
        <v>7.7446704438919006E-4</v>
      </c>
      <c r="Y14" s="219">
        <f t="shared" si="9"/>
        <v>57</v>
      </c>
    </row>
    <row r="15" spans="1:25" x14ac:dyDescent="0.25">
      <c r="A15" s="1" t="s">
        <v>3</v>
      </c>
      <c r="B15" s="1">
        <v>0</v>
      </c>
      <c r="C15" s="1">
        <v>22</v>
      </c>
      <c r="D15" s="1">
        <v>25</v>
      </c>
      <c r="E15" s="1">
        <v>38</v>
      </c>
      <c r="F15" s="1">
        <v>7074</v>
      </c>
      <c r="G15" s="1">
        <v>7637</v>
      </c>
      <c r="H15" s="1">
        <v>7568</v>
      </c>
      <c r="I15" s="1">
        <v>6391</v>
      </c>
      <c r="J15" s="1">
        <v>5631</v>
      </c>
      <c r="K15" s="1">
        <v>3679</v>
      </c>
      <c r="L15" s="1">
        <v>2644</v>
      </c>
      <c r="M15" s="1">
        <v>1793</v>
      </c>
      <c r="N15" s="1">
        <v>1956</v>
      </c>
      <c r="O15" s="1">
        <v>643</v>
      </c>
      <c r="P15" s="1">
        <v>1300</v>
      </c>
      <c r="Q15" s="1">
        <v>876</v>
      </c>
      <c r="R15" s="1">
        <v>418</v>
      </c>
      <c r="S15" s="1">
        <v>261</v>
      </c>
      <c r="T15" s="1">
        <v>1130</v>
      </c>
      <c r="U15" s="149">
        <f t="shared" si="5"/>
        <v>-0.69285131829301438</v>
      </c>
      <c r="V15" s="149">
        <f t="shared" si="6"/>
        <v>-0.13076923076923078</v>
      </c>
      <c r="W15" s="149">
        <f t="shared" si="7"/>
        <v>3.3295019157088124</v>
      </c>
      <c r="X15" s="218">
        <f t="shared" si="8"/>
        <v>1.5353469476487452E-2</v>
      </c>
      <c r="Y15" s="219">
        <f t="shared" si="9"/>
        <v>869</v>
      </c>
    </row>
    <row r="16" spans="1:25" x14ac:dyDescent="0.25">
      <c r="A16" s="93" t="s">
        <v>282</v>
      </c>
      <c r="B16" s="93">
        <v>1710</v>
      </c>
      <c r="C16" s="93">
        <v>2913</v>
      </c>
      <c r="D16" s="1">
        <v>3456</v>
      </c>
      <c r="E16" s="1">
        <v>3582</v>
      </c>
      <c r="F16" s="1">
        <v>2941</v>
      </c>
      <c r="G16" s="1">
        <v>3145</v>
      </c>
      <c r="H16" s="1">
        <v>3422</v>
      </c>
      <c r="I16" s="1">
        <v>4084</v>
      </c>
      <c r="J16" s="1">
        <v>3613</v>
      </c>
      <c r="K16" s="1">
        <v>3798</v>
      </c>
      <c r="L16" s="1">
        <v>3762</v>
      </c>
      <c r="M16" s="1">
        <v>3298</v>
      </c>
      <c r="N16" s="1">
        <v>3118</v>
      </c>
      <c r="O16" s="1">
        <v>2374</v>
      </c>
      <c r="P16" s="1">
        <v>3713</v>
      </c>
      <c r="Q16" s="1">
        <v>3797</v>
      </c>
      <c r="R16" s="1">
        <v>4760</v>
      </c>
      <c r="S16" s="1">
        <v>4880</v>
      </c>
      <c r="T16" s="1">
        <v>13053</v>
      </c>
      <c r="U16" s="149">
        <f t="shared" si="5"/>
        <v>2.4368088467614535</v>
      </c>
      <c r="V16" s="149">
        <f t="shared" si="6"/>
        <v>2.5154861298141666</v>
      </c>
      <c r="W16" s="149">
        <f t="shared" si="7"/>
        <v>1.6747950819672131</v>
      </c>
      <c r="X16" s="218">
        <f t="shared" si="8"/>
        <v>0.17735295316512453</v>
      </c>
      <c r="Y16" s="219">
        <f t="shared" si="9"/>
        <v>8173</v>
      </c>
    </row>
    <row r="17" spans="1:25" x14ac:dyDescent="0.25">
      <c r="A17" s="93" t="s">
        <v>283</v>
      </c>
      <c r="B17" s="93">
        <v>3347</v>
      </c>
      <c r="C17" s="93">
        <v>3156</v>
      </c>
      <c r="D17" s="1">
        <v>3847</v>
      </c>
      <c r="E17" s="1">
        <v>3987</v>
      </c>
      <c r="F17" s="1">
        <v>3663</v>
      </c>
      <c r="G17" s="1">
        <v>2446</v>
      </c>
      <c r="H17" s="1">
        <v>2703</v>
      </c>
      <c r="I17" s="1">
        <v>2876</v>
      </c>
      <c r="J17" s="1">
        <v>3768</v>
      </c>
      <c r="K17" s="1">
        <v>3572</v>
      </c>
      <c r="L17" s="1">
        <v>3603</v>
      </c>
      <c r="M17" s="1">
        <v>9837</v>
      </c>
      <c r="N17" s="1">
        <v>9135</v>
      </c>
      <c r="O17" s="1">
        <v>12016</v>
      </c>
      <c r="P17" s="1">
        <v>19566</v>
      </c>
      <c r="Q17" s="1">
        <v>17541</v>
      </c>
      <c r="R17" s="1">
        <v>20060</v>
      </c>
      <c r="S17" s="1">
        <v>34454</v>
      </c>
      <c r="T17" s="1">
        <v>30501</v>
      </c>
      <c r="U17" s="149">
        <f t="shared" si="5"/>
        <v>7.5389137737961924</v>
      </c>
      <c r="V17" s="149">
        <f t="shared" si="6"/>
        <v>0.55887764489420422</v>
      </c>
      <c r="W17" s="149">
        <f t="shared" si="7"/>
        <v>-0.11473268706100888</v>
      </c>
      <c r="X17" s="218">
        <f t="shared" si="8"/>
        <v>0.41442139159499447</v>
      </c>
      <c r="Y17" s="219">
        <f t="shared" si="9"/>
        <v>-3953</v>
      </c>
    </row>
    <row r="18" spans="1:25" x14ac:dyDescent="0.25">
      <c r="A18" s="77" t="s">
        <v>247</v>
      </c>
      <c r="B18" s="77">
        <v>2744</v>
      </c>
      <c r="C18" s="77">
        <v>4271</v>
      </c>
      <c r="D18" s="1">
        <v>6680</v>
      </c>
      <c r="E18" s="1">
        <v>6350</v>
      </c>
      <c r="F18" s="1">
        <v>5803</v>
      </c>
      <c r="G18" s="1">
        <v>7658</v>
      </c>
      <c r="H18" s="1">
        <v>9657</v>
      </c>
      <c r="I18" s="1">
        <v>10590</v>
      </c>
      <c r="J18" s="1">
        <v>9003</v>
      </c>
      <c r="K18" s="1">
        <v>10056</v>
      </c>
      <c r="L18" s="1">
        <v>12282</v>
      </c>
      <c r="M18" s="1">
        <v>12475</v>
      </c>
      <c r="N18" s="1">
        <v>11415</v>
      </c>
      <c r="O18" s="1">
        <v>8538</v>
      </c>
      <c r="P18" s="1">
        <v>12485</v>
      </c>
      <c r="Q18" s="1">
        <v>13330</v>
      </c>
      <c r="R18" s="1">
        <v>14479</v>
      </c>
      <c r="S18" s="1">
        <v>16827</v>
      </c>
      <c r="T18" s="1">
        <v>28809</v>
      </c>
      <c r="U18" s="149">
        <f t="shared" si="5"/>
        <v>1.8648568019093079</v>
      </c>
      <c r="V18" s="149">
        <f t="shared" si="6"/>
        <v>1.307488986784141</v>
      </c>
      <c r="W18" s="149">
        <f t="shared" si="7"/>
        <v>0.71206988768051349</v>
      </c>
      <c r="X18" s="218">
        <f t="shared" si="8"/>
        <v>0.39143194880365223</v>
      </c>
      <c r="Y18" s="219">
        <f t="shared" si="9"/>
        <v>11982</v>
      </c>
    </row>
    <row r="19" spans="1:25" x14ac:dyDescent="0.25">
      <c r="A19" s="77" t="s">
        <v>295</v>
      </c>
      <c r="B19" s="77">
        <v>0</v>
      </c>
      <c r="C19" s="77">
        <v>0</v>
      </c>
      <c r="D19" s="1">
        <v>0</v>
      </c>
      <c r="E19" s="1">
        <v>0</v>
      </c>
      <c r="F19" s="1">
        <v>0</v>
      </c>
      <c r="G19" s="1">
        <v>0</v>
      </c>
      <c r="H19" s="1">
        <v>0</v>
      </c>
      <c r="I19" s="1">
        <v>0</v>
      </c>
      <c r="J19" s="1">
        <v>0</v>
      </c>
      <c r="K19" s="1">
        <v>0</v>
      </c>
      <c r="L19" s="1">
        <v>0</v>
      </c>
      <c r="M19" s="1">
        <v>0</v>
      </c>
      <c r="N19" s="1">
        <v>0</v>
      </c>
      <c r="O19" s="1">
        <v>2</v>
      </c>
      <c r="P19" s="1">
        <v>0</v>
      </c>
      <c r="Q19" s="1">
        <v>0</v>
      </c>
      <c r="R19" s="1">
        <v>0</v>
      </c>
      <c r="S19" s="1">
        <v>0</v>
      </c>
      <c r="T19" s="1">
        <v>0</v>
      </c>
      <c r="U19" s="149" t="e">
        <f t="shared" si="5"/>
        <v>#DIV/0!</v>
      </c>
      <c r="V19" s="149" t="e">
        <f t="shared" si="6"/>
        <v>#DIV/0!</v>
      </c>
      <c r="W19" s="149" t="e">
        <f t="shared" si="7"/>
        <v>#DIV/0!</v>
      </c>
      <c r="X19" s="218">
        <f t="shared" si="8"/>
        <v>0</v>
      </c>
      <c r="Y19" s="219">
        <f t="shared" si="9"/>
        <v>0</v>
      </c>
    </row>
    <row r="20" spans="1:25" s="42" customFormat="1" x14ac:dyDescent="0.25">
      <c r="A20" s="2" t="s">
        <v>0</v>
      </c>
      <c r="B20" s="2">
        <v>7801</v>
      </c>
      <c r="C20" s="2">
        <v>10374</v>
      </c>
      <c r="D20" s="2">
        <v>14022</v>
      </c>
      <c r="E20" s="2">
        <v>13962</v>
      </c>
      <c r="F20" s="2">
        <v>19542</v>
      </c>
      <c r="G20" s="2">
        <v>20903</v>
      </c>
      <c r="H20" s="2">
        <v>23368</v>
      </c>
      <c r="I20" s="2">
        <v>23943</v>
      </c>
      <c r="J20" s="2">
        <v>22021</v>
      </c>
      <c r="K20" s="2">
        <v>21114</v>
      </c>
      <c r="L20" s="2">
        <v>22303</v>
      </c>
      <c r="M20" s="2">
        <v>27414</v>
      </c>
      <c r="N20" s="2">
        <v>25633</v>
      </c>
      <c r="O20" s="2">
        <v>23581</v>
      </c>
      <c r="P20" s="2">
        <v>37078</v>
      </c>
      <c r="Q20" s="2">
        <v>35551</v>
      </c>
      <c r="R20" s="2">
        <v>39726</v>
      </c>
      <c r="S20" s="2">
        <v>56427</v>
      </c>
      <c r="T20" s="2">
        <v>73599</v>
      </c>
      <c r="U20" s="150">
        <f t="shared" si="5"/>
        <v>2.4857914180164817</v>
      </c>
      <c r="V20" s="150">
        <f t="shared" si="6"/>
        <v>0.98497761475807755</v>
      </c>
      <c r="W20" s="150">
        <f t="shared" si="7"/>
        <v>0.30432239885161361</v>
      </c>
      <c r="X20" s="220">
        <f t="shared" si="8"/>
        <v>1</v>
      </c>
      <c r="Y20" s="221">
        <f t="shared" si="9"/>
        <v>17172</v>
      </c>
    </row>
    <row r="21" spans="1:25" s="42" customFormat="1" x14ac:dyDescent="0.25">
      <c r="A21" s="114" t="s">
        <v>491</v>
      </c>
      <c r="B21" s="103"/>
      <c r="C21" s="103"/>
      <c r="D21" s="103"/>
      <c r="E21" s="103"/>
      <c r="F21" s="103"/>
      <c r="G21" s="103"/>
      <c r="H21" s="103"/>
      <c r="I21" s="103"/>
      <c r="J21" s="103"/>
      <c r="K21" s="103"/>
      <c r="L21" s="103"/>
      <c r="M21" s="103"/>
      <c r="N21" s="103"/>
      <c r="O21" s="103"/>
      <c r="P21" s="103"/>
      <c r="Q21" s="103"/>
      <c r="R21" s="103"/>
      <c r="S21" s="103"/>
      <c r="T21" s="103"/>
      <c r="U21" s="49"/>
      <c r="V21" s="49"/>
      <c r="W21" s="49"/>
      <c r="X21" s="49"/>
      <c r="Y21" s="44"/>
    </row>
    <row r="22" spans="1:25" x14ac:dyDescent="0.25">
      <c r="A22" s="114" t="s">
        <v>687</v>
      </c>
      <c r="Y22" s="12"/>
    </row>
    <row r="23" spans="1:25" x14ac:dyDescent="0.25">
      <c r="A23" s="114"/>
      <c r="Y23" s="12"/>
    </row>
    <row r="24" spans="1:25" ht="15.75" x14ac:dyDescent="0.25">
      <c r="A24" s="22" t="s">
        <v>125</v>
      </c>
      <c r="B24" s="22"/>
      <c r="C24" s="22"/>
      <c r="D24" s="22"/>
      <c r="E24" s="22"/>
      <c r="F24" s="22"/>
      <c r="G24" s="22"/>
      <c r="H24" s="22"/>
      <c r="Y24" s="12"/>
    </row>
    <row r="25" spans="1:25" ht="25.5" x14ac:dyDescent="0.25">
      <c r="A25" s="104" t="s">
        <v>95</v>
      </c>
      <c r="B25" s="105">
        <v>2007</v>
      </c>
      <c r="C25" s="105">
        <v>2008</v>
      </c>
      <c r="D25" s="105">
        <v>2009</v>
      </c>
      <c r="E25" s="105">
        <v>2010</v>
      </c>
      <c r="F25" s="105">
        <v>2011</v>
      </c>
      <c r="G25" s="105">
        <v>2012</v>
      </c>
      <c r="H25" s="105">
        <v>2013</v>
      </c>
      <c r="I25" s="105">
        <v>2014</v>
      </c>
      <c r="J25" s="105">
        <v>2015</v>
      </c>
      <c r="K25" s="105">
        <v>2016</v>
      </c>
      <c r="L25" s="105">
        <v>2017</v>
      </c>
      <c r="M25" s="105">
        <v>2018</v>
      </c>
      <c r="N25" s="105">
        <v>2019</v>
      </c>
      <c r="O25" s="105">
        <v>2020</v>
      </c>
      <c r="P25" s="105">
        <v>2021</v>
      </c>
      <c r="Q25" s="105">
        <v>2022</v>
      </c>
      <c r="R25" s="105">
        <v>2023</v>
      </c>
      <c r="S25" s="105">
        <v>2024</v>
      </c>
      <c r="T25" s="105">
        <v>2025</v>
      </c>
      <c r="U25" s="106" t="s">
        <v>546</v>
      </c>
      <c r="V25" s="106" t="s">
        <v>547</v>
      </c>
      <c r="W25" s="106" t="s">
        <v>548</v>
      </c>
      <c r="X25" s="106" t="s">
        <v>549</v>
      </c>
      <c r="Y25" s="216" t="s">
        <v>563</v>
      </c>
    </row>
    <row r="26" spans="1:25" x14ac:dyDescent="0.25">
      <c r="A26" s="74" t="s">
        <v>102</v>
      </c>
      <c r="B26" s="1">
        <v>1793</v>
      </c>
      <c r="C26" s="1">
        <v>2180</v>
      </c>
      <c r="D26" s="1">
        <v>2536</v>
      </c>
      <c r="E26" s="1">
        <v>2695</v>
      </c>
      <c r="F26" s="1">
        <v>2650</v>
      </c>
      <c r="G26" s="1">
        <v>3144</v>
      </c>
      <c r="H26" s="1">
        <v>4017</v>
      </c>
      <c r="I26" s="1">
        <v>4297</v>
      </c>
      <c r="J26" s="1">
        <v>4365</v>
      </c>
      <c r="K26" s="1">
        <v>4513</v>
      </c>
      <c r="L26" s="1">
        <v>4958</v>
      </c>
      <c r="M26" s="1">
        <v>4796</v>
      </c>
      <c r="N26" s="1">
        <v>4637</v>
      </c>
      <c r="O26" s="1">
        <v>4918</v>
      </c>
      <c r="P26" s="1">
        <v>5173</v>
      </c>
      <c r="Q26" s="1">
        <v>5969</v>
      </c>
      <c r="R26" s="1">
        <v>7077</v>
      </c>
      <c r="S26" s="1">
        <v>7829</v>
      </c>
      <c r="T26" s="1">
        <v>8561</v>
      </c>
      <c r="U26" s="149">
        <f t="shared" ref="U26:U29" si="10">(T26-K26)/K26</f>
        <v>0.89696432528251713</v>
      </c>
      <c r="V26" s="149">
        <f t="shared" ref="V26:V29" si="11">(T26-P26)/P26</f>
        <v>0.65493910690121782</v>
      </c>
      <c r="W26" s="149">
        <f t="shared" ref="W26:W29" si="12">(T26-S26)/S26</f>
        <v>9.3498531102311919E-2</v>
      </c>
      <c r="X26" s="218">
        <f t="shared" ref="X26:X29" si="13">T26/T$9</f>
        <v>0.1163195152108045</v>
      </c>
      <c r="Y26" s="219">
        <f t="shared" ref="Y26:Y29" si="14">T26-S26</f>
        <v>732</v>
      </c>
    </row>
    <row r="27" spans="1:25" x14ac:dyDescent="0.25">
      <c r="A27" s="74" t="s">
        <v>34</v>
      </c>
      <c r="B27" s="1">
        <v>4161</v>
      </c>
      <c r="C27" s="1">
        <v>5015</v>
      </c>
      <c r="D27" s="1">
        <v>5696</v>
      </c>
      <c r="E27" s="1">
        <v>6117</v>
      </c>
      <c r="F27" s="1">
        <v>11202</v>
      </c>
      <c r="G27" s="1">
        <v>11955</v>
      </c>
      <c r="H27" s="1">
        <v>12169</v>
      </c>
      <c r="I27" s="1">
        <v>11582</v>
      </c>
      <c r="J27" s="1">
        <v>9028</v>
      </c>
      <c r="K27" s="1">
        <v>7365</v>
      </c>
      <c r="L27" s="1">
        <v>6583</v>
      </c>
      <c r="M27" s="1">
        <v>5400</v>
      </c>
      <c r="N27" s="1">
        <v>4618</v>
      </c>
      <c r="O27" s="1">
        <v>3200</v>
      </c>
      <c r="P27" s="1">
        <v>4963</v>
      </c>
      <c r="Q27" s="1">
        <v>4374</v>
      </c>
      <c r="R27" s="1">
        <v>4218</v>
      </c>
      <c r="S27" s="1">
        <v>3454</v>
      </c>
      <c r="T27" s="1">
        <v>3810</v>
      </c>
      <c r="U27" s="149">
        <f t="shared" si="10"/>
        <v>-0.48268839103869654</v>
      </c>
      <c r="V27" s="149">
        <f t="shared" si="11"/>
        <v>-0.23231916179730003</v>
      </c>
      <c r="W27" s="149">
        <f t="shared" si="12"/>
        <v>0.10306890561667632</v>
      </c>
      <c r="X27" s="218">
        <f t="shared" si="13"/>
        <v>5.1767007703909018E-2</v>
      </c>
      <c r="Y27" s="219">
        <f t="shared" si="14"/>
        <v>356</v>
      </c>
    </row>
    <row r="28" spans="1:25" x14ac:dyDescent="0.25">
      <c r="A28" s="76" t="s">
        <v>601</v>
      </c>
      <c r="B28" s="77">
        <v>1847</v>
      </c>
      <c r="C28" s="77">
        <v>3179</v>
      </c>
      <c r="D28" s="1">
        <v>5790</v>
      </c>
      <c r="E28" s="1">
        <v>5150</v>
      </c>
      <c r="F28" s="1">
        <v>5690</v>
      </c>
      <c r="G28" s="1">
        <v>5804</v>
      </c>
      <c r="H28" s="1">
        <v>7182</v>
      </c>
      <c r="I28" s="1">
        <v>8064</v>
      </c>
      <c r="J28" s="1">
        <v>8628</v>
      </c>
      <c r="K28" s="1">
        <v>9236</v>
      </c>
      <c r="L28" s="1">
        <v>10762</v>
      </c>
      <c r="M28" s="1">
        <v>17218</v>
      </c>
      <c r="N28" s="1">
        <v>16378</v>
      </c>
      <c r="O28" s="1">
        <v>15463</v>
      </c>
      <c r="P28" s="1">
        <v>26942</v>
      </c>
      <c r="Q28" s="1">
        <v>25208</v>
      </c>
      <c r="R28" s="1">
        <v>28431</v>
      </c>
      <c r="S28" s="1">
        <v>45144</v>
      </c>
      <c r="T28" s="1">
        <v>61228</v>
      </c>
      <c r="U28" s="149">
        <f t="shared" si="10"/>
        <v>5.6292767431788651</v>
      </c>
      <c r="V28" s="149">
        <f t="shared" si="11"/>
        <v>1.2725855541533664</v>
      </c>
      <c r="W28" s="149">
        <f t="shared" si="12"/>
        <v>0.3562821194400142</v>
      </c>
      <c r="X28" s="218">
        <f t="shared" si="13"/>
        <v>0.83191347708528651</v>
      </c>
      <c r="Y28" s="219">
        <f t="shared" si="14"/>
        <v>16084</v>
      </c>
    </row>
    <row r="29" spans="1:25" x14ac:dyDescent="0.25">
      <c r="A29" s="92" t="s">
        <v>0</v>
      </c>
      <c r="B29" s="2">
        <v>7801</v>
      </c>
      <c r="C29" s="2">
        <v>10374</v>
      </c>
      <c r="D29" s="2">
        <v>14022</v>
      </c>
      <c r="E29" s="2">
        <v>13962</v>
      </c>
      <c r="F29" s="2">
        <v>19542</v>
      </c>
      <c r="G29" s="2">
        <v>20903</v>
      </c>
      <c r="H29" s="2">
        <v>23368</v>
      </c>
      <c r="I29" s="2">
        <v>23943</v>
      </c>
      <c r="J29" s="2">
        <v>22021</v>
      </c>
      <c r="K29" s="2">
        <v>21114</v>
      </c>
      <c r="L29" s="2">
        <v>22303</v>
      </c>
      <c r="M29" s="2">
        <v>27414</v>
      </c>
      <c r="N29" s="2">
        <v>25633</v>
      </c>
      <c r="O29" s="2">
        <v>23581</v>
      </c>
      <c r="P29" s="2">
        <v>37078</v>
      </c>
      <c r="Q29" s="2">
        <v>35551</v>
      </c>
      <c r="R29" s="2">
        <v>39726</v>
      </c>
      <c r="S29" s="2">
        <v>56427</v>
      </c>
      <c r="T29" s="2">
        <v>73599</v>
      </c>
      <c r="U29" s="150">
        <f t="shared" si="10"/>
        <v>2.4857914180164817</v>
      </c>
      <c r="V29" s="150">
        <f t="shared" si="11"/>
        <v>0.98497761475807755</v>
      </c>
      <c r="W29" s="150">
        <f t="shared" si="12"/>
        <v>0.30432239885161361</v>
      </c>
      <c r="X29" s="220">
        <f t="shared" si="13"/>
        <v>1</v>
      </c>
      <c r="Y29" s="221">
        <f t="shared" si="14"/>
        <v>17172</v>
      </c>
    </row>
    <row r="30" spans="1:25" x14ac:dyDescent="0.25">
      <c r="Y30" s="12"/>
    </row>
    <row r="31" spans="1:25" ht="15.75" x14ac:dyDescent="0.25">
      <c r="A31" s="22" t="s">
        <v>124</v>
      </c>
      <c r="B31" s="22"/>
      <c r="C31" s="22"/>
      <c r="D31" s="22"/>
      <c r="E31" s="22"/>
      <c r="F31" s="22"/>
      <c r="G31" s="22"/>
      <c r="H31" s="22"/>
      <c r="Y31" s="12"/>
    </row>
    <row r="32" spans="1:25" ht="25.5" x14ac:dyDescent="0.25">
      <c r="A32" s="104" t="s">
        <v>108</v>
      </c>
      <c r="B32" s="105">
        <v>2007</v>
      </c>
      <c r="C32" s="105">
        <v>2008</v>
      </c>
      <c r="D32" s="105">
        <v>2009</v>
      </c>
      <c r="E32" s="105">
        <v>2010</v>
      </c>
      <c r="F32" s="105">
        <v>2011</v>
      </c>
      <c r="G32" s="105">
        <v>2012</v>
      </c>
      <c r="H32" s="105">
        <v>2013</v>
      </c>
      <c r="I32" s="105">
        <v>2014</v>
      </c>
      <c r="J32" s="105">
        <v>2015</v>
      </c>
      <c r="K32" s="105">
        <v>2016</v>
      </c>
      <c r="L32" s="105">
        <v>2017</v>
      </c>
      <c r="M32" s="105">
        <v>2018</v>
      </c>
      <c r="N32" s="105">
        <v>2019</v>
      </c>
      <c r="O32" s="105">
        <v>2020</v>
      </c>
      <c r="P32" s="105">
        <v>2021</v>
      </c>
      <c r="Q32" s="105">
        <v>2022</v>
      </c>
      <c r="R32" s="105">
        <v>2023</v>
      </c>
      <c r="S32" s="105">
        <v>2024</v>
      </c>
      <c r="T32" s="105">
        <v>2025</v>
      </c>
      <c r="U32" s="106" t="s">
        <v>546</v>
      </c>
      <c r="V32" s="106" t="s">
        <v>547</v>
      </c>
      <c r="W32" s="106" t="s">
        <v>548</v>
      </c>
      <c r="X32" s="106" t="s">
        <v>549</v>
      </c>
      <c r="Y32" s="216" t="s">
        <v>563</v>
      </c>
    </row>
    <row r="33" spans="1:25" s="42" customFormat="1" x14ac:dyDescent="0.25">
      <c r="A33" s="71" t="s">
        <v>2</v>
      </c>
      <c r="B33" s="36">
        <v>0</v>
      </c>
      <c r="C33" s="36">
        <v>12</v>
      </c>
      <c r="D33" s="36">
        <v>14</v>
      </c>
      <c r="E33" s="36">
        <v>5</v>
      </c>
      <c r="F33" s="36">
        <v>61</v>
      </c>
      <c r="G33" s="36">
        <v>17</v>
      </c>
      <c r="H33" s="36">
        <v>18</v>
      </c>
      <c r="I33" s="36">
        <v>2</v>
      </c>
      <c r="J33" s="36">
        <v>6</v>
      </c>
      <c r="K33" s="36">
        <v>9</v>
      </c>
      <c r="L33" s="36">
        <v>12</v>
      </c>
      <c r="M33" s="36">
        <v>11</v>
      </c>
      <c r="N33" s="36">
        <v>9</v>
      </c>
      <c r="O33" s="36">
        <v>8</v>
      </c>
      <c r="P33" s="36">
        <v>14</v>
      </c>
      <c r="Q33" s="36">
        <v>7</v>
      </c>
      <c r="R33" s="36">
        <v>9</v>
      </c>
      <c r="S33" s="36">
        <v>5</v>
      </c>
      <c r="T33" s="36">
        <v>106</v>
      </c>
      <c r="U33" s="150">
        <f t="shared" ref="U33:U42" si="15">(T33-K33)/K33</f>
        <v>10.777777777777779</v>
      </c>
      <c r="V33" s="150">
        <f t="shared" ref="V33:V42" si="16">(T33-P33)/P33</f>
        <v>6.5714285714285712</v>
      </c>
      <c r="W33" s="150">
        <f t="shared" ref="W33:W42" si="17">(T33-S33)/S33</f>
        <v>20.2</v>
      </c>
      <c r="X33" s="220">
        <f t="shared" ref="X33:X42" si="18">T33/T$9</f>
        <v>1.4402369597413009E-3</v>
      </c>
      <c r="Y33" s="221">
        <f t="shared" ref="Y33:Y42" si="19">T33-S33</f>
        <v>101</v>
      </c>
    </row>
    <row r="34" spans="1:25" x14ac:dyDescent="0.25">
      <c r="A34" s="69" t="s">
        <v>601</v>
      </c>
      <c r="B34" s="124">
        <v>0</v>
      </c>
      <c r="C34" s="124">
        <v>12</v>
      </c>
      <c r="D34" s="30">
        <v>14</v>
      </c>
      <c r="E34" s="30">
        <v>5</v>
      </c>
      <c r="F34" s="30">
        <v>61</v>
      </c>
      <c r="G34" s="30">
        <v>17</v>
      </c>
      <c r="H34" s="30">
        <v>18</v>
      </c>
      <c r="I34" s="30">
        <v>2</v>
      </c>
      <c r="J34" s="30">
        <v>6</v>
      </c>
      <c r="K34" s="30">
        <v>9</v>
      </c>
      <c r="L34" s="30">
        <v>12</v>
      </c>
      <c r="M34" s="30">
        <v>11</v>
      </c>
      <c r="N34" s="30">
        <v>9</v>
      </c>
      <c r="O34" s="30">
        <v>8</v>
      </c>
      <c r="P34" s="30">
        <v>14</v>
      </c>
      <c r="Q34" s="30">
        <v>7</v>
      </c>
      <c r="R34" s="30">
        <v>9</v>
      </c>
      <c r="S34" s="30">
        <v>5</v>
      </c>
      <c r="T34" s="30">
        <v>106</v>
      </c>
      <c r="U34" s="149">
        <f t="shared" si="15"/>
        <v>10.777777777777779</v>
      </c>
      <c r="V34" s="149">
        <f t="shared" si="16"/>
        <v>6.5714285714285712</v>
      </c>
      <c r="W34" s="149">
        <f t="shared" si="17"/>
        <v>20.2</v>
      </c>
      <c r="X34" s="218">
        <f t="shared" si="18"/>
        <v>1.4402369597413009E-3</v>
      </c>
      <c r="Y34" s="219">
        <f t="shared" si="19"/>
        <v>101</v>
      </c>
    </row>
    <row r="35" spans="1:25" s="42" customFormat="1" x14ac:dyDescent="0.25">
      <c r="A35" s="71" t="s">
        <v>245</v>
      </c>
      <c r="B35" s="36">
        <v>0</v>
      </c>
      <c r="C35" s="36">
        <v>22</v>
      </c>
      <c r="D35" s="36">
        <v>25</v>
      </c>
      <c r="E35" s="36">
        <v>38</v>
      </c>
      <c r="F35" s="36">
        <v>7074</v>
      </c>
      <c r="G35" s="36">
        <v>7637</v>
      </c>
      <c r="H35" s="36">
        <v>7568</v>
      </c>
      <c r="I35" s="36">
        <v>6391</v>
      </c>
      <c r="J35" s="36">
        <v>5631</v>
      </c>
      <c r="K35" s="36">
        <v>3679</v>
      </c>
      <c r="L35" s="36">
        <v>2644</v>
      </c>
      <c r="M35" s="36">
        <v>1793</v>
      </c>
      <c r="N35" s="36">
        <v>1956</v>
      </c>
      <c r="O35" s="36">
        <v>643</v>
      </c>
      <c r="P35" s="36">
        <v>1300</v>
      </c>
      <c r="Q35" s="36">
        <v>876</v>
      </c>
      <c r="R35" s="36">
        <v>418</v>
      </c>
      <c r="S35" s="36">
        <v>261</v>
      </c>
      <c r="T35" s="36">
        <v>1130</v>
      </c>
      <c r="U35" s="150">
        <f t="shared" si="15"/>
        <v>-0.69285131829301438</v>
      </c>
      <c r="V35" s="150">
        <f t="shared" si="16"/>
        <v>-0.13076923076923078</v>
      </c>
      <c r="W35" s="150">
        <f t="shared" si="17"/>
        <v>3.3295019157088124</v>
      </c>
      <c r="X35" s="220">
        <f t="shared" si="18"/>
        <v>1.5353469476487452E-2</v>
      </c>
      <c r="Y35" s="221">
        <f t="shared" si="19"/>
        <v>869</v>
      </c>
    </row>
    <row r="36" spans="1:25" x14ac:dyDescent="0.25">
      <c r="A36" s="142" t="s">
        <v>34</v>
      </c>
      <c r="B36" s="30">
        <v>0</v>
      </c>
      <c r="C36" s="30">
        <v>0</v>
      </c>
      <c r="D36" s="30">
        <v>0</v>
      </c>
      <c r="E36" s="30">
        <v>0</v>
      </c>
      <c r="F36" s="30">
        <v>5987</v>
      </c>
      <c r="G36" s="30">
        <v>6569</v>
      </c>
      <c r="H36" s="30">
        <v>6928</v>
      </c>
      <c r="I36" s="30">
        <v>5577</v>
      </c>
      <c r="J36" s="30">
        <v>4781</v>
      </c>
      <c r="K36" s="30">
        <v>3327</v>
      </c>
      <c r="L36" s="30">
        <v>2275</v>
      </c>
      <c r="M36" s="30">
        <v>1727</v>
      </c>
      <c r="N36" s="30">
        <v>1525</v>
      </c>
      <c r="O36" s="30">
        <v>462</v>
      </c>
      <c r="P36" s="30">
        <v>1171</v>
      </c>
      <c r="Q36" s="30">
        <v>742</v>
      </c>
      <c r="R36" s="30">
        <v>338</v>
      </c>
      <c r="S36" s="30">
        <v>231</v>
      </c>
      <c r="T36" s="30">
        <v>651</v>
      </c>
      <c r="U36" s="149">
        <f t="shared" si="15"/>
        <v>-0.80432822362488732</v>
      </c>
      <c r="V36" s="149">
        <f t="shared" si="16"/>
        <v>-0.44406490179333902</v>
      </c>
      <c r="W36" s="149">
        <f t="shared" si="17"/>
        <v>1.8181818181818181</v>
      </c>
      <c r="X36" s="218">
        <f t="shared" si="18"/>
        <v>8.8452288753923282E-3</v>
      </c>
      <c r="Y36" s="219">
        <f t="shared" si="19"/>
        <v>420</v>
      </c>
    </row>
    <row r="37" spans="1:25" x14ac:dyDescent="0.25">
      <c r="A37" s="69" t="s">
        <v>601</v>
      </c>
      <c r="B37" s="124">
        <v>0</v>
      </c>
      <c r="C37" s="124">
        <v>22</v>
      </c>
      <c r="D37" s="30">
        <v>25</v>
      </c>
      <c r="E37" s="30">
        <v>38</v>
      </c>
      <c r="F37" s="30">
        <v>1087</v>
      </c>
      <c r="G37" s="30">
        <v>1068</v>
      </c>
      <c r="H37" s="30">
        <v>640</v>
      </c>
      <c r="I37" s="30">
        <v>814</v>
      </c>
      <c r="J37" s="30">
        <v>850</v>
      </c>
      <c r="K37" s="30">
        <v>352</v>
      </c>
      <c r="L37" s="30">
        <v>369</v>
      </c>
      <c r="M37" s="30">
        <v>66</v>
      </c>
      <c r="N37" s="30">
        <v>431</v>
      </c>
      <c r="O37" s="30">
        <v>181</v>
      </c>
      <c r="P37" s="30">
        <v>129</v>
      </c>
      <c r="Q37" s="30">
        <v>134</v>
      </c>
      <c r="R37" s="30">
        <v>80</v>
      </c>
      <c r="S37" s="30">
        <v>30</v>
      </c>
      <c r="T37" s="30">
        <v>479</v>
      </c>
      <c r="U37" s="149">
        <f t="shared" si="15"/>
        <v>0.36079545454545453</v>
      </c>
      <c r="V37" s="149">
        <f t="shared" si="16"/>
        <v>2.7131782945736433</v>
      </c>
      <c r="W37" s="149">
        <f t="shared" si="17"/>
        <v>14.966666666666667</v>
      </c>
      <c r="X37" s="218">
        <f t="shared" si="18"/>
        <v>6.5082406010951235E-3</v>
      </c>
      <c r="Y37" s="219">
        <f t="shared" si="19"/>
        <v>449</v>
      </c>
    </row>
    <row r="38" spans="1:25" s="42" customFormat="1" x14ac:dyDescent="0.25">
      <c r="A38" s="71" t="s">
        <v>4</v>
      </c>
      <c r="B38" s="36">
        <v>7801</v>
      </c>
      <c r="C38" s="36">
        <v>10340</v>
      </c>
      <c r="D38" s="36">
        <v>13983</v>
      </c>
      <c r="E38" s="36">
        <v>13919</v>
      </c>
      <c r="F38" s="36">
        <v>12407</v>
      </c>
      <c r="G38" s="36">
        <v>13249</v>
      </c>
      <c r="H38" s="36">
        <v>15782</v>
      </c>
      <c r="I38" s="36">
        <v>17550</v>
      </c>
      <c r="J38" s="36">
        <v>16384</v>
      </c>
      <c r="K38" s="36">
        <v>17426</v>
      </c>
      <c r="L38" s="36">
        <v>19647</v>
      </c>
      <c r="M38" s="36">
        <v>25610</v>
      </c>
      <c r="N38" s="36">
        <v>23668</v>
      </c>
      <c r="O38" s="36">
        <v>22930</v>
      </c>
      <c r="P38" s="36">
        <v>35764</v>
      </c>
      <c r="Q38" s="36">
        <v>34668</v>
      </c>
      <c r="R38" s="36">
        <v>39299</v>
      </c>
      <c r="S38" s="36">
        <v>56161</v>
      </c>
      <c r="T38" s="36">
        <v>72363</v>
      </c>
      <c r="U38" s="150">
        <f t="shared" si="15"/>
        <v>3.1525880867669001</v>
      </c>
      <c r="V38" s="150">
        <f t="shared" si="16"/>
        <v>1.0233475002796109</v>
      </c>
      <c r="W38" s="150">
        <f t="shared" si="17"/>
        <v>0.28849201403108921</v>
      </c>
      <c r="X38" s="220">
        <f t="shared" si="18"/>
        <v>0.98320629356377121</v>
      </c>
      <c r="Y38" s="221">
        <f t="shared" si="19"/>
        <v>16202</v>
      </c>
    </row>
    <row r="39" spans="1:25" x14ac:dyDescent="0.25">
      <c r="A39" s="142" t="s">
        <v>102</v>
      </c>
      <c r="B39" s="30">
        <v>1793</v>
      </c>
      <c r="C39" s="30">
        <v>2180</v>
      </c>
      <c r="D39" s="30">
        <v>2536</v>
      </c>
      <c r="E39" s="30">
        <v>2695</v>
      </c>
      <c r="F39" s="30">
        <v>2650</v>
      </c>
      <c r="G39" s="30">
        <v>3144</v>
      </c>
      <c r="H39" s="30">
        <v>4017</v>
      </c>
      <c r="I39" s="30">
        <v>4297</v>
      </c>
      <c r="J39" s="30">
        <v>4365</v>
      </c>
      <c r="K39" s="30">
        <v>4513</v>
      </c>
      <c r="L39" s="30">
        <v>4958</v>
      </c>
      <c r="M39" s="30">
        <v>4796</v>
      </c>
      <c r="N39" s="30">
        <v>4637</v>
      </c>
      <c r="O39" s="30">
        <v>4918</v>
      </c>
      <c r="P39" s="30">
        <v>5173</v>
      </c>
      <c r="Q39" s="30">
        <v>5969</v>
      </c>
      <c r="R39" s="30">
        <v>7077</v>
      </c>
      <c r="S39" s="30">
        <v>7829</v>
      </c>
      <c r="T39" s="30">
        <v>8561</v>
      </c>
      <c r="U39" s="149">
        <f t="shared" si="15"/>
        <v>0.89696432528251713</v>
      </c>
      <c r="V39" s="149">
        <f t="shared" si="16"/>
        <v>0.65493910690121782</v>
      </c>
      <c r="W39" s="149">
        <f t="shared" si="17"/>
        <v>9.3498531102311919E-2</v>
      </c>
      <c r="X39" s="218">
        <f t="shared" si="18"/>
        <v>0.1163195152108045</v>
      </c>
      <c r="Y39" s="219">
        <f t="shared" si="19"/>
        <v>732</v>
      </c>
    </row>
    <row r="40" spans="1:25" x14ac:dyDescent="0.25">
      <c r="A40" s="142" t="s">
        <v>34</v>
      </c>
      <c r="B40" s="30">
        <v>4161</v>
      </c>
      <c r="C40" s="30">
        <v>5015</v>
      </c>
      <c r="D40" s="30">
        <v>5696</v>
      </c>
      <c r="E40" s="30">
        <v>6117</v>
      </c>
      <c r="F40" s="30">
        <v>5215</v>
      </c>
      <c r="G40" s="30">
        <v>5386</v>
      </c>
      <c r="H40" s="30">
        <v>5241</v>
      </c>
      <c r="I40" s="30">
        <v>6005</v>
      </c>
      <c r="J40" s="30">
        <v>4247</v>
      </c>
      <c r="K40" s="30">
        <v>4038</v>
      </c>
      <c r="L40" s="30">
        <v>4308</v>
      </c>
      <c r="M40" s="30">
        <v>3673</v>
      </c>
      <c r="N40" s="30">
        <v>3093</v>
      </c>
      <c r="O40" s="30">
        <v>2738</v>
      </c>
      <c r="P40" s="30">
        <v>3792</v>
      </c>
      <c r="Q40" s="30">
        <v>3632</v>
      </c>
      <c r="R40" s="30">
        <v>3880</v>
      </c>
      <c r="S40" s="30">
        <v>3223</v>
      </c>
      <c r="T40" s="30">
        <v>3159</v>
      </c>
      <c r="U40" s="149">
        <f t="shared" si="15"/>
        <v>-0.21768202080237742</v>
      </c>
      <c r="V40" s="149">
        <f t="shared" si="16"/>
        <v>-0.16693037974683544</v>
      </c>
      <c r="W40" s="149">
        <f t="shared" si="17"/>
        <v>-1.9857275829972074E-2</v>
      </c>
      <c r="X40" s="218">
        <f t="shared" si="18"/>
        <v>4.2921778828516693E-2</v>
      </c>
      <c r="Y40" s="219">
        <f t="shared" si="19"/>
        <v>-64</v>
      </c>
    </row>
    <row r="41" spans="1:25" x14ac:dyDescent="0.25">
      <c r="A41" s="69" t="s">
        <v>601</v>
      </c>
      <c r="B41" s="124">
        <v>1847</v>
      </c>
      <c r="C41" s="124">
        <v>3145</v>
      </c>
      <c r="D41" s="30">
        <v>5751</v>
      </c>
      <c r="E41" s="30">
        <v>5107</v>
      </c>
      <c r="F41" s="30">
        <v>4542</v>
      </c>
      <c r="G41" s="30">
        <v>4719</v>
      </c>
      <c r="H41" s="30">
        <v>6524</v>
      </c>
      <c r="I41" s="30">
        <v>7248</v>
      </c>
      <c r="J41" s="30">
        <v>7772</v>
      </c>
      <c r="K41" s="30">
        <v>8875</v>
      </c>
      <c r="L41" s="30">
        <v>10381</v>
      </c>
      <c r="M41" s="30">
        <v>17141</v>
      </c>
      <c r="N41" s="30">
        <v>15938</v>
      </c>
      <c r="O41" s="30">
        <v>15274</v>
      </c>
      <c r="P41" s="30">
        <v>26799</v>
      </c>
      <c r="Q41" s="30">
        <v>25067</v>
      </c>
      <c r="R41" s="30">
        <v>28342</v>
      </c>
      <c r="S41" s="30">
        <v>45109</v>
      </c>
      <c r="T41" s="30">
        <v>60643</v>
      </c>
      <c r="U41" s="149">
        <f t="shared" si="15"/>
        <v>5.8330140845070426</v>
      </c>
      <c r="V41" s="149">
        <f t="shared" si="16"/>
        <v>1.2628829433934101</v>
      </c>
      <c r="W41" s="149">
        <f t="shared" si="17"/>
        <v>0.34436586933871288</v>
      </c>
      <c r="X41" s="218">
        <f t="shared" si="18"/>
        <v>0.82396499952445001</v>
      </c>
      <c r="Y41" s="219">
        <f t="shared" si="19"/>
        <v>15534</v>
      </c>
    </row>
    <row r="42" spans="1:25" s="42" customFormat="1" x14ac:dyDescent="0.25">
      <c r="A42" s="92" t="s">
        <v>0</v>
      </c>
      <c r="B42" s="2">
        <v>7801</v>
      </c>
      <c r="C42" s="2">
        <v>10374</v>
      </c>
      <c r="D42" s="2">
        <v>14022</v>
      </c>
      <c r="E42" s="2">
        <v>13962</v>
      </c>
      <c r="F42" s="2">
        <v>19542</v>
      </c>
      <c r="G42" s="2">
        <v>20903</v>
      </c>
      <c r="H42" s="2">
        <v>23368</v>
      </c>
      <c r="I42" s="2">
        <v>23943</v>
      </c>
      <c r="J42" s="2">
        <v>22021</v>
      </c>
      <c r="K42" s="2">
        <v>21114</v>
      </c>
      <c r="L42" s="2">
        <v>22303</v>
      </c>
      <c r="M42" s="2">
        <v>27414</v>
      </c>
      <c r="N42" s="2">
        <v>25633</v>
      </c>
      <c r="O42" s="2">
        <v>23581</v>
      </c>
      <c r="P42" s="2">
        <v>37078</v>
      </c>
      <c r="Q42" s="2">
        <v>35551</v>
      </c>
      <c r="R42" s="2">
        <v>39726</v>
      </c>
      <c r="S42" s="2">
        <v>56427</v>
      </c>
      <c r="T42" s="2">
        <v>73599</v>
      </c>
      <c r="U42" s="150">
        <f t="shared" si="15"/>
        <v>2.4857914180164817</v>
      </c>
      <c r="V42" s="150">
        <f t="shared" si="16"/>
        <v>0.98497761475807755</v>
      </c>
      <c r="W42" s="150">
        <f t="shared" si="17"/>
        <v>0.30432239885161361</v>
      </c>
      <c r="X42" s="220">
        <f t="shared" si="18"/>
        <v>1</v>
      </c>
      <c r="Y42" s="221">
        <f t="shared" si="19"/>
        <v>17172</v>
      </c>
    </row>
    <row r="43" spans="1:25" x14ac:dyDescent="0.25">
      <c r="I43" s="13"/>
      <c r="J43" s="13"/>
      <c r="K43" s="13"/>
      <c r="L43" s="13"/>
      <c r="M43" s="13"/>
      <c r="N43" s="13"/>
      <c r="O43" s="13"/>
      <c r="P43" s="13"/>
      <c r="Q43" s="13"/>
      <c r="R43" s="13"/>
      <c r="S43" s="13"/>
      <c r="T43" s="13"/>
      <c r="U43" s="25"/>
    </row>
    <row r="44" spans="1:25" ht="15.75" x14ac:dyDescent="0.25">
      <c r="A44" s="22" t="s">
        <v>344</v>
      </c>
      <c r="S44" s="17"/>
      <c r="T44" s="17"/>
    </row>
    <row r="45" spans="1:25" ht="25.5" x14ac:dyDescent="0.25">
      <c r="A45" s="104" t="s">
        <v>343</v>
      </c>
      <c r="B45" s="105">
        <v>2007</v>
      </c>
      <c r="C45" s="105">
        <v>2008</v>
      </c>
      <c r="D45" s="105">
        <v>2009</v>
      </c>
      <c r="E45" s="105">
        <v>2010</v>
      </c>
      <c r="F45" s="105">
        <v>2011</v>
      </c>
      <c r="G45" s="105">
        <v>2012</v>
      </c>
      <c r="H45" s="105">
        <v>2013</v>
      </c>
      <c r="I45" s="105">
        <v>2014</v>
      </c>
      <c r="J45" s="105">
        <v>2015</v>
      </c>
      <c r="K45" s="105">
        <v>2016</v>
      </c>
      <c r="L45" s="105">
        <v>2017</v>
      </c>
      <c r="M45" s="105">
        <v>2018</v>
      </c>
      <c r="N45" s="105">
        <v>2019</v>
      </c>
      <c r="O45" s="105">
        <v>2020</v>
      </c>
      <c r="P45" s="105">
        <v>2021</v>
      </c>
      <c r="Q45" s="105">
        <v>2022</v>
      </c>
      <c r="R45" s="105">
        <v>2023</v>
      </c>
      <c r="S45" s="105">
        <v>2024</v>
      </c>
      <c r="T45" s="105">
        <v>2025</v>
      </c>
      <c r="U45" s="106" t="s">
        <v>546</v>
      </c>
      <c r="V45" s="106" t="s">
        <v>547</v>
      </c>
      <c r="W45" s="106" t="s">
        <v>548</v>
      </c>
      <c r="X45" s="106" t="s">
        <v>549</v>
      </c>
      <c r="Y45" s="216" t="s">
        <v>563</v>
      </c>
    </row>
    <row r="46" spans="1:25" x14ac:dyDescent="0.25">
      <c r="A46" s="71" t="s">
        <v>324</v>
      </c>
      <c r="B46" s="36">
        <v>1793</v>
      </c>
      <c r="C46" s="36">
        <v>2180</v>
      </c>
      <c r="D46" s="36">
        <v>2536</v>
      </c>
      <c r="E46" s="36">
        <v>2695</v>
      </c>
      <c r="F46" s="36">
        <v>2650</v>
      </c>
      <c r="G46" s="36">
        <v>3144</v>
      </c>
      <c r="H46" s="36">
        <v>4017</v>
      </c>
      <c r="I46" s="36">
        <v>4297</v>
      </c>
      <c r="J46" s="36">
        <v>4365</v>
      </c>
      <c r="K46" s="36">
        <v>4513</v>
      </c>
      <c r="L46" s="36">
        <v>4958</v>
      </c>
      <c r="M46" s="36">
        <v>4796</v>
      </c>
      <c r="N46" s="36">
        <v>4637</v>
      </c>
      <c r="O46" s="36">
        <v>4918</v>
      </c>
      <c r="P46" s="36">
        <v>5173</v>
      </c>
      <c r="Q46" s="36">
        <v>5969</v>
      </c>
      <c r="R46" s="36">
        <v>7077</v>
      </c>
      <c r="S46" s="36">
        <v>7829</v>
      </c>
      <c r="T46" s="36">
        <v>8561</v>
      </c>
      <c r="U46" s="150">
        <f t="shared" ref="U46:U64" si="20">(T46-K46)/K46</f>
        <v>0.89696432528251713</v>
      </c>
      <c r="V46" s="150">
        <f t="shared" ref="V46:V64" si="21">(T46-P46)/P46</f>
        <v>0.65493910690121782</v>
      </c>
      <c r="W46" s="150">
        <f t="shared" ref="W46:W64" si="22">(T46-S46)/S46</f>
        <v>9.3498531102311919E-2</v>
      </c>
      <c r="X46" s="220">
        <f t="shared" ref="X46:X64" si="23">T46/T$9</f>
        <v>0.1163195152108045</v>
      </c>
      <c r="Y46" s="221">
        <f t="shared" ref="Y46:Y64" si="24">T46-S46</f>
        <v>732</v>
      </c>
    </row>
    <row r="47" spans="1:25" x14ac:dyDescent="0.25">
      <c r="A47" s="69" t="s">
        <v>88</v>
      </c>
      <c r="B47" s="124">
        <v>1649</v>
      </c>
      <c r="C47" s="124">
        <v>1953</v>
      </c>
      <c r="D47" s="30">
        <v>2231</v>
      </c>
      <c r="E47" s="30">
        <v>2427</v>
      </c>
      <c r="F47" s="30">
        <v>2409</v>
      </c>
      <c r="G47" s="30">
        <v>2908</v>
      </c>
      <c r="H47" s="30">
        <v>3659</v>
      </c>
      <c r="I47" s="30">
        <v>3670</v>
      </c>
      <c r="J47" s="30">
        <v>3698</v>
      </c>
      <c r="K47" s="30">
        <v>4108</v>
      </c>
      <c r="L47" s="30">
        <v>4487</v>
      </c>
      <c r="M47" s="30">
        <v>4093</v>
      </c>
      <c r="N47" s="30">
        <v>4036</v>
      </c>
      <c r="O47" s="30">
        <v>4470</v>
      </c>
      <c r="P47" s="30">
        <v>4694</v>
      </c>
      <c r="Q47" s="30">
        <v>5556</v>
      </c>
      <c r="R47" s="30">
        <v>6531</v>
      </c>
      <c r="S47" s="30">
        <v>7324</v>
      </c>
      <c r="T47" s="30">
        <v>8134</v>
      </c>
      <c r="U47" s="149">
        <f t="shared" si="20"/>
        <v>0.98003894839337879</v>
      </c>
      <c r="V47" s="149">
        <f t="shared" si="21"/>
        <v>0.73285044737963356</v>
      </c>
      <c r="W47" s="149">
        <f t="shared" si="22"/>
        <v>0.11059530311305298</v>
      </c>
      <c r="X47" s="218">
        <f t="shared" si="23"/>
        <v>0.11051780594845038</v>
      </c>
      <c r="Y47" s="219">
        <f t="shared" si="24"/>
        <v>810</v>
      </c>
    </row>
    <row r="48" spans="1:25" x14ac:dyDescent="0.25">
      <c r="A48" s="69" t="s">
        <v>89</v>
      </c>
      <c r="B48" s="124">
        <v>113</v>
      </c>
      <c r="C48" s="124">
        <v>169</v>
      </c>
      <c r="D48" s="30">
        <v>160</v>
      </c>
      <c r="E48" s="30">
        <v>115</v>
      </c>
      <c r="F48" s="30">
        <v>100</v>
      </c>
      <c r="G48" s="30">
        <v>93</v>
      </c>
      <c r="H48" s="30">
        <v>203</v>
      </c>
      <c r="I48" s="30">
        <v>351</v>
      </c>
      <c r="J48" s="30">
        <v>171</v>
      </c>
      <c r="K48" s="30">
        <v>76</v>
      </c>
      <c r="L48" s="30">
        <v>141</v>
      </c>
      <c r="M48" s="30">
        <v>157</v>
      </c>
      <c r="N48" s="30">
        <v>172</v>
      </c>
      <c r="O48" s="30">
        <v>115</v>
      </c>
      <c r="P48" s="30">
        <v>209</v>
      </c>
      <c r="Q48" s="30">
        <v>181</v>
      </c>
      <c r="R48" s="30">
        <v>235</v>
      </c>
      <c r="S48" s="30">
        <v>210</v>
      </c>
      <c r="T48" s="30">
        <v>134</v>
      </c>
      <c r="U48" s="149">
        <f t="shared" si="20"/>
        <v>0.76315789473684215</v>
      </c>
      <c r="V48" s="149">
        <f t="shared" si="21"/>
        <v>-0.35885167464114831</v>
      </c>
      <c r="W48" s="149">
        <f t="shared" si="22"/>
        <v>-0.3619047619047619</v>
      </c>
      <c r="X48" s="218">
        <f t="shared" si="23"/>
        <v>1.8206769113710785E-3</v>
      </c>
      <c r="Y48" s="219">
        <f t="shared" si="24"/>
        <v>-76</v>
      </c>
    </row>
    <row r="49" spans="1:25" x14ac:dyDescent="0.25">
      <c r="A49" s="69" t="s">
        <v>90</v>
      </c>
      <c r="B49" s="124">
        <v>0</v>
      </c>
      <c r="C49" s="124">
        <v>33</v>
      </c>
      <c r="D49" s="30">
        <v>31</v>
      </c>
      <c r="E49" s="30">
        <v>0</v>
      </c>
      <c r="F49" s="30">
        <v>0</v>
      </c>
      <c r="G49" s="30">
        <v>0</v>
      </c>
      <c r="H49" s="30">
        <v>0</v>
      </c>
      <c r="I49" s="30">
        <v>95</v>
      </c>
      <c r="J49" s="30">
        <v>36</v>
      </c>
      <c r="K49" s="30">
        <v>41</v>
      </c>
      <c r="L49" s="30">
        <v>52</v>
      </c>
      <c r="M49" s="30">
        <v>32</v>
      </c>
      <c r="N49" s="30">
        <v>53</v>
      </c>
      <c r="O49" s="30">
        <v>0</v>
      </c>
      <c r="P49" s="30">
        <v>0</v>
      </c>
      <c r="Q49" s="30">
        <v>0</v>
      </c>
      <c r="R49" s="30">
        <v>32</v>
      </c>
      <c r="S49" s="30">
        <v>41</v>
      </c>
      <c r="T49" s="30">
        <v>61</v>
      </c>
      <c r="U49" s="149">
        <f t="shared" si="20"/>
        <v>0.48780487804878048</v>
      </c>
      <c r="V49" s="149" t="s">
        <v>130</v>
      </c>
      <c r="W49" s="149">
        <f t="shared" si="22"/>
        <v>0.48780487804878048</v>
      </c>
      <c r="X49" s="218">
        <f t="shared" si="23"/>
        <v>8.2881560890772968E-4</v>
      </c>
      <c r="Y49" s="219">
        <f t="shared" si="24"/>
        <v>20</v>
      </c>
    </row>
    <row r="50" spans="1:25" x14ac:dyDescent="0.25">
      <c r="A50" s="69" t="s">
        <v>91</v>
      </c>
      <c r="B50" s="124">
        <v>0</v>
      </c>
      <c r="C50" s="124">
        <v>0</v>
      </c>
      <c r="D50" s="30">
        <v>0</v>
      </c>
      <c r="E50" s="30">
        <v>0</v>
      </c>
      <c r="F50" s="30">
        <v>0</v>
      </c>
      <c r="G50" s="30">
        <v>0</v>
      </c>
      <c r="H50" s="30">
        <v>0</v>
      </c>
      <c r="I50" s="30">
        <v>0</v>
      </c>
      <c r="J50" s="30">
        <v>0</v>
      </c>
      <c r="K50" s="30">
        <v>34</v>
      </c>
      <c r="L50" s="30">
        <v>31</v>
      </c>
      <c r="M50" s="30">
        <v>9</v>
      </c>
      <c r="N50" s="30">
        <v>0</v>
      </c>
      <c r="O50" s="30">
        <v>0</v>
      </c>
      <c r="P50" s="30">
        <v>0</v>
      </c>
      <c r="Q50" s="30">
        <v>0</v>
      </c>
      <c r="R50" s="30">
        <v>0</v>
      </c>
      <c r="S50" s="30">
        <v>0</v>
      </c>
      <c r="T50" s="30">
        <v>0</v>
      </c>
      <c r="U50" s="149">
        <f t="shared" si="20"/>
        <v>-1</v>
      </c>
      <c r="V50" s="149" t="s">
        <v>130</v>
      </c>
      <c r="W50" s="149" t="s">
        <v>130</v>
      </c>
      <c r="X50" s="218">
        <f t="shared" si="23"/>
        <v>0</v>
      </c>
      <c r="Y50" s="219">
        <f t="shared" si="24"/>
        <v>0</v>
      </c>
    </row>
    <row r="51" spans="1:25" x14ac:dyDescent="0.25">
      <c r="A51" s="69" t="s">
        <v>92</v>
      </c>
      <c r="B51" s="124">
        <v>31</v>
      </c>
      <c r="C51" s="124">
        <v>25</v>
      </c>
      <c r="D51" s="30">
        <v>114</v>
      </c>
      <c r="E51" s="30">
        <v>153</v>
      </c>
      <c r="F51" s="30">
        <v>141</v>
      </c>
      <c r="G51" s="30">
        <v>143</v>
      </c>
      <c r="H51" s="30">
        <v>155</v>
      </c>
      <c r="I51" s="30">
        <v>181</v>
      </c>
      <c r="J51" s="30">
        <v>460</v>
      </c>
      <c r="K51" s="30">
        <v>254</v>
      </c>
      <c r="L51" s="30">
        <v>247</v>
      </c>
      <c r="M51" s="30">
        <v>505</v>
      </c>
      <c r="N51" s="30">
        <v>376</v>
      </c>
      <c r="O51" s="30">
        <v>333</v>
      </c>
      <c r="P51" s="30">
        <v>270</v>
      </c>
      <c r="Q51" s="30">
        <v>232</v>
      </c>
      <c r="R51" s="30">
        <v>279</v>
      </c>
      <c r="S51" s="30">
        <v>254</v>
      </c>
      <c r="T51" s="30">
        <v>232</v>
      </c>
      <c r="U51" s="149">
        <f t="shared" si="20"/>
        <v>-8.6614173228346455E-2</v>
      </c>
      <c r="V51" s="149">
        <f t="shared" si="21"/>
        <v>-0.14074074074074075</v>
      </c>
      <c r="W51" s="149">
        <f t="shared" si="22"/>
        <v>-8.6614173228346455E-2</v>
      </c>
      <c r="X51" s="218">
        <f t="shared" si="23"/>
        <v>3.1522167420752999E-3</v>
      </c>
      <c r="Y51" s="219">
        <f t="shared" si="24"/>
        <v>-22</v>
      </c>
    </row>
    <row r="52" spans="1:25" x14ac:dyDescent="0.25">
      <c r="A52" s="71" t="s">
        <v>34</v>
      </c>
      <c r="B52" s="36">
        <v>4161</v>
      </c>
      <c r="C52" s="36">
        <v>5015</v>
      </c>
      <c r="D52" s="36">
        <v>5696</v>
      </c>
      <c r="E52" s="36">
        <v>6117</v>
      </c>
      <c r="F52" s="36">
        <v>11202</v>
      </c>
      <c r="G52" s="36">
        <v>11955</v>
      </c>
      <c r="H52" s="36">
        <v>12169</v>
      </c>
      <c r="I52" s="36">
        <v>11582</v>
      </c>
      <c r="J52" s="36">
        <v>9028</v>
      </c>
      <c r="K52" s="36">
        <v>7365</v>
      </c>
      <c r="L52" s="36">
        <v>6583</v>
      </c>
      <c r="M52" s="36">
        <v>5400</v>
      </c>
      <c r="N52" s="36">
        <v>4618</v>
      </c>
      <c r="O52" s="36">
        <v>3200</v>
      </c>
      <c r="P52" s="36">
        <v>4963</v>
      </c>
      <c r="Q52" s="36">
        <v>4374</v>
      </c>
      <c r="R52" s="36">
        <v>4218</v>
      </c>
      <c r="S52" s="36">
        <v>3454</v>
      </c>
      <c r="T52" s="36">
        <v>3810</v>
      </c>
      <c r="U52" s="150">
        <f t="shared" si="20"/>
        <v>-0.48268839103869654</v>
      </c>
      <c r="V52" s="150">
        <f t="shared" si="21"/>
        <v>-0.23231916179730003</v>
      </c>
      <c r="W52" s="150">
        <f t="shared" si="22"/>
        <v>0.10306890561667632</v>
      </c>
      <c r="X52" s="220">
        <f t="shared" si="23"/>
        <v>5.1767007703909018E-2</v>
      </c>
      <c r="Y52" s="221">
        <f t="shared" si="24"/>
        <v>356</v>
      </c>
    </row>
    <row r="53" spans="1:25" x14ac:dyDescent="0.25">
      <c r="A53" s="69" t="s">
        <v>88</v>
      </c>
      <c r="B53" s="124">
        <v>1517</v>
      </c>
      <c r="C53" s="124">
        <v>1826</v>
      </c>
      <c r="D53" s="30">
        <v>2202</v>
      </c>
      <c r="E53" s="30">
        <v>1657</v>
      </c>
      <c r="F53" s="30">
        <v>1360</v>
      </c>
      <c r="G53" s="30">
        <v>1520</v>
      </c>
      <c r="H53" s="30">
        <v>1867</v>
      </c>
      <c r="I53" s="30">
        <v>1406</v>
      </c>
      <c r="J53" s="30">
        <v>1158</v>
      </c>
      <c r="K53" s="30">
        <v>1728</v>
      </c>
      <c r="L53" s="30">
        <v>1368</v>
      </c>
      <c r="M53" s="30">
        <v>1086</v>
      </c>
      <c r="N53" s="30">
        <v>1028</v>
      </c>
      <c r="O53" s="30">
        <v>695</v>
      </c>
      <c r="P53" s="30">
        <v>863</v>
      </c>
      <c r="Q53" s="30">
        <v>812</v>
      </c>
      <c r="R53" s="30">
        <v>904</v>
      </c>
      <c r="S53" s="30">
        <v>564</v>
      </c>
      <c r="T53" s="30">
        <v>570</v>
      </c>
      <c r="U53" s="149">
        <f t="shared" si="20"/>
        <v>-0.67013888888888884</v>
      </c>
      <c r="V53" s="149">
        <f t="shared" si="21"/>
        <v>-0.33951332560834296</v>
      </c>
      <c r="W53" s="149">
        <f t="shared" si="22"/>
        <v>1.0638297872340425E-2</v>
      </c>
      <c r="X53" s="218">
        <f t="shared" si="23"/>
        <v>7.744670443891901E-3</v>
      </c>
      <c r="Y53" s="219">
        <f t="shared" si="24"/>
        <v>6</v>
      </c>
    </row>
    <row r="54" spans="1:25" x14ac:dyDescent="0.25">
      <c r="A54" s="69" t="s">
        <v>89</v>
      </c>
      <c r="B54" s="124">
        <v>1225</v>
      </c>
      <c r="C54" s="124">
        <v>1555</v>
      </c>
      <c r="D54" s="30">
        <v>1541</v>
      </c>
      <c r="E54" s="30">
        <v>2164</v>
      </c>
      <c r="F54" s="30">
        <v>1779</v>
      </c>
      <c r="G54" s="30">
        <v>1795</v>
      </c>
      <c r="H54" s="30">
        <v>1695</v>
      </c>
      <c r="I54" s="30">
        <v>2052</v>
      </c>
      <c r="J54" s="30">
        <v>1931</v>
      </c>
      <c r="K54" s="30">
        <v>1396</v>
      </c>
      <c r="L54" s="30">
        <v>1118</v>
      </c>
      <c r="M54" s="30">
        <v>988</v>
      </c>
      <c r="N54" s="30">
        <v>779</v>
      </c>
      <c r="O54" s="30">
        <v>421</v>
      </c>
      <c r="P54" s="30">
        <v>909</v>
      </c>
      <c r="Q54" s="30">
        <v>940</v>
      </c>
      <c r="R54" s="30">
        <v>914</v>
      </c>
      <c r="S54" s="30">
        <v>714</v>
      </c>
      <c r="T54" s="30">
        <v>534</v>
      </c>
      <c r="U54" s="149">
        <f t="shared" si="20"/>
        <v>-0.61747851002865328</v>
      </c>
      <c r="V54" s="149">
        <f t="shared" si="21"/>
        <v>-0.41254125412541254</v>
      </c>
      <c r="W54" s="149">
        <f t="shared" si="22"/>
        <v>-0.25210084033613445</v>
      </c>
      <c r="X54" s="218">
        <f t="shared" si="23"/>
        <v>7.2555333632250436E-3</v>
      </c>
      <c r="Y54" s="219">
        <f t="shared" si="24"/>
        <v>-180</v>
      </c>
    </row>
    <row r="55" spans="1:25" x14ac:dyDescent="0.25">
      <c r="A55" s="69" t="s">
        <v>90</v>
      </c>
      <c r="B55" s="124">
        <v>284</v>
      </c>
      <c r="C55" s="124">
        <v>177</v>
      </c>
      <c r="D55" s="30">
        <v>561</v>
      </c>
      <c r="E55" s="30">
        <v>700</v>
      </c>
      <c r="F55" s="30">
        <v>798</v>
      </c>
      <c r="G55" s="30">
        <v>1119</v>
      </c>
      <c r="H55" s="30">
        <v>898</v>
      </c>
      <c r="I55" s="30">
        <v>231</v>
      </c>
      <c r="J55" s="30">
        <v>79</v>
      </c>
      <c r="K55" s="30">
        <v>55</v>
      </c>
      <c r="L55" s="30">
        <v>58</v>
      </c>
      <c r="M55" s="30">
        <v>45</v>
      </c>
      <c r="N55" s="30">
        <v>103</v>
      </c>
      <c r="O55" s="30">
        <v>64</v>
      </c>
      <c r="P55" s="30">
        <v>225</v>
      </c>
      <c r="Q55" s="30">
        <v>427</v>
      </c>
      <c r="R55" s="30">
        <v>466</v>
      </c>
      <c r="S55" s="30">
        <v>510</v>
      </c>
      <c r="T55" s="30">
        <v>442</v>
      </c>
      <c r="U55" s="149">
        <f t="shared" si="20"/>
        <v>7.0363636363636362</v>
      </c>
      <c r="V55" s="149">
        <f t="shared" si="21"/>
        <v>0.96444444444444444</v>
      </c>
      <c r="W55" s="149">
        <f t="shared" si="22"/>
        <v>-0.13333333333333333</v>
      </c>
      <c r="X55" s="218">
        <f t="shared" si="23"/>
        <v>6.0055163792986314E-3</v>
      </c>
      <c r="Y55" s="219">
        <f t="shared" si="24"/>
        <v>-68</v>
      </c>
    </row>
    <row r="56" spans="1:25" x14ac:dyDescent="0.25">
      <c r="A56" s="69" t="s">
        <v>91</v>
      </c>
      <c r="B56" s="124">
        <v>968</v>
      </c>
      <c r="C56" s="124">
        <v>1015</v>
      </c>
      <c r="D56" s="30">
        <v>955</v>
      </c>
      <c r="E56" s="30">
        <v>1186</v>
      </c>
      <c r="F56" s="30">
        <v>7083</v>
      </c>
      <c r="G56" s="30">
        <v>7263</v>
      </c>
      <c r="H56" s="30">
        <v>7431</v>
      </c>
      <c r="I56" s="30">
        <v>7306</v>
      </c>
      <c r="J56" s="30">
        <v>5683</v>
      </c>
      <c r="K56" s="30">
        <v>4026</v>
      </c>
      <c r="L56" s="30">
        <v>3917</v>
      </c>
      <c r="M56" s="30">
        <v>2872</v>
      </c>
      <c r="N56" s="30">
        <v>2336</v>
      </c>
      <c r="O56" s="30">
        <v>1688</v>
      </c>
      <c r="P56" s="30">
        <v>2619</v>
      </c>
      <c r="Q56" s="30">
        <v>1924</v>
      </c>
      <c r="R56" s="30">
        <v>1735</v>
      </c>
      <c r="S56" s="30">
        <v>1569</v>
      </c>
      <c r="T56" s="30">
        <v>2235</v>
      </c>
      <c r="U56" s="149">
        <f t="shared" si="20"/>
        <v>-0.44485842026825634</v>
      </c>
      <c r="V56" s="149">
        <f t="shared" si="21"/>
        <v>-0.14662084765177549</v>
      </c>
      <c r="W56" s="149">
        <f t="shared" si="22"/>
        <v>0.42447418738049714</v>
      </c>
      <c r="X56" s="218">
        <f t="shared" si="23"/>
        <v>3.0367260424734033E-2</v>
      </c>
      <c r="Y56" s="219">
        <f t="shared" si="24"/>
        <v>666</v>
      </c>
    </row>
    <row r="57" spans="1:25" x14ac:dyDescent="0.25">
      <c r="A57" s="69" t="s">
        <v>92</v>
      </c>
      <c r="B57" s="124">
        <v>167</v>
      </c>
      <c r="C57" s="124">
        <v>442</v>
      </c>
      <c r="D57" s="30">
        <v>437</v>
      </c>
      <c r="E57" s="30">
        <v>410</v>
      </c>
      <c r="F57" s="30">
        <v>182</v>
      </c>
      <c r="G57" s="30">
        <v>258</v>
      </c>
      <c r="H57" s="30">
        <v>278</v>
      </c>
      <c r="I57" s="30">
        <v>587</v>
      </c>
      <c r="J57" s="30">
        <v>177</v>
      </c>
      <c r="K57" s="30">
        <v>160</v>
      </c>
      <c r="L57" s="30">
        <v>122</v>
      </c>
      <c r="M57" s="30">
        <v>409</v>
      </c>
      <c r="N57" s="30">
        <v>372</v>
      </c>
      <c r="O57" s="30">
        <v>332</v>
      </c>
      <c r="P57" s="30">
        <v>347</v>
      </c>
      <c r="Q57" s="30">
        <v>271</v>
      </c>
      <c r="R57" s="30">
        <v>199</v>
      </c>
      <c r="S57" s="30">
        <v>97</v>
      </c>
      <c r="T57" s="30">
        <v>29</v>
      </c>
      <c r="U57" s="149">
        <f t="shared" si="20"/>
        <v>-0.81874999999999998</v>
      </c>
      <c r="V57" s="149">
        <f t="shared" si="21"/>
        <v>-0.91642651296829969</v>
      </c>
      <c r="W57" s="149">
        <f t="shared" si="22"/>
        <v>-0.7010309278350515</v>
      </c>
      <c r="X57" s="218">
        <f t="shared" si="23"/>
        <v>3.9402709275941248E-4</v>
      </c>
      <c r="Y57" s="219">
        <f t="shared" si="24"/>
        <v>-68</v>
      </c>
    </row>
    <row r="58" spans="1:25" x14ac:dyDescent="0.25">
      <c r="A58" s="71" t="s">
        <v>601</v>
      </c>
      <c r="B58" s="36">
        <v>1847</v>
      </c>
      <c r="C58" s="36">
        <v>3179</v>
      </c>
      <c r="D58" s="36">
        <v>5790</v>
      </c>
      <c r="E58" s="36">
        <v>5150</v>
      </c>
      <c r="F58" s="36">
        <v>5690</v>
      </c>
      <c r="G58" s="36">
        <v>5804</v>
      </c>
      <c r="H58" s="36">
        <v>7182</v>
      </c>
      <c r="I58" s="36">
        <v>8064</v>
      </c>
      <c r="J58" s="36">
        <v>8628</v>
      </c>
      <c r="K58" s="36">
        <v>9236</v>
      </c>
      <c r="L58" s="36">
        <v>10762</v>
      </c>
      <c r="M58" s="36">
        <v>17218</v>
      </c>
      <c r="N58" s="36">
        <v>16378</v>
      </c>
      <c r="O58" s="36">
        <v>15463</v>
      </c>
      <c r="P58" s="36">
        <v>26942</v>
      </c>
      <c r="Q58" s="36">
        <v>25208</v>
      </c>
      <c r="R58" s="36">
        <v>28431</v>
      </c>
      <c r="S58" s="36">
        <v>45144</v>
      </c>
      <c r="T58" s="36">
        <v>61228</v>
      </c>
      <c r="U58" s="150">
        <f t="shared" si="20"/>
        <v>5.6292767431788651</v>
      </c>
      <c r="V58" s="150">
        <f t="shared" si="21"/>
        <v>1.2725855541533664</v>
      </c>
      <c r="W58" s="150">
        <f t="shared" si="22"/>
        <v>0.3562821194400142</v>
      </c>
      <c r="X58" s="220">
        <f t="shared" si="23"/>
        <v>0.83191347708528651</v>
      </c>
      <c r="Y58" s="221">
        <f t="shared" si="24"/>
        <v>16084</v>
      </c>
    </row>
    <row r="59" spans="1:25" x14ac:dyDescent="0.25">
      <c r="A59" s="69" t="s">
        <v>88</v>
      </c>
      <c r="B59" s="124">
        <v>675</v>
      </c>
      <c r="C59" s="124">
        <v>1284</v>
      </c>
      <c r="D59" s="30">
        <v>1366</v>
      </c>
      <c r="E59" s="30">
        <v>1319</v>
      </c>
      <c r="F59" s="30">
        <v>1412</v>
      </c>
      <c r="G59" s="30">
        <v>1260</v>
      </c>
      <c r="H59" s="30">
        <v>1629</v>
      </c>
      <c r="I59" s="30">
        <v>1966</v>
      </c>
      <c r="J59" s="30">
        <v>1554</v>
      </c>
      <c r="K59" s="30">
        <v>2874</v>
      </c>
      <c r="L59" s="30">
        <v>3705</v>
      </c>
      <c r="M59" s="30">
        <v>4392</v>
      </c>
      <c r="N59" s="30">
        <v>4872</v>
      </c>
      <c r="O59" s="30">
        <v>3175</v>
      </c>
      <c r="P59" s="30">
        <v>5125</v>
      </c>
      <c r="Q59" s="30">
        <v>3628</v>
      </c>
      <c r="R59" s="30">
        <v>3467</v>
      </c>
      <c r="S59" s="30">
        <v>3652</v>
      </c>
      <c r="T59" s="30">
        <v>3015</v>
      </c>
      <c r="U59" s="149">
        <f t="shared" si="20"/>
        <v>4.9060542797494784E-2</v>
      </c>
      <c r="V59" s="149">
        <f t="shared" si="21"/>
        <v>-0.41170731707317071</v>
      </c>
      <c r="W59" s="149">
        <f t="shared" si="22"/>
        <v>-0.1744249726177437</v>
      </c>
      <c r="X59" s="218">
        <f t="shared" si="23"/>
        <v>4.0965230505849264E-2</v>
      </c>
      <c r="Y59" s="219">
        <f t="shared" si="24"/>
        <v>-637</v>
      </c>
    </row>
    <row r="60" spans="1:25" x14ac:dyDescent="0.25">
      <c r="A60" s="69" t="s">
        <v>89</v>
      </c>
      <c r="B60" s="124">
        <v>783</v>
      </c>
      <c r="C60" s="124">
        <v>1418</v>
      </c>
      <c r="D60" s="30">
        <v>2284</v>
      </c>
      <c r="E60" s="30">
        <v>2660</v>
      </c>
      <c r="F60" s="30">
        <v>1732</v>
      </c>
      <c r="G60" s="30">
        <v>2406</v>
      </c>
      <c r="H60" s="30">
        <v>3526</v>
      </c>
      <c r="I60" s="30">
        <v>3582</v>
      </c>
      <c r="J60" s="30">
        <v>3496</v>
      </c>
      <c r="K60" s="30">
        <v>3462</v>
      </c>
      <c r="L60" s="30">
        <v>3362</v>
      </c>
      <c r="M60" s="30">
        <v>5737</v>
      </c>
      <c r="N60" s="30">
        <v>5369</v>
      </c>
      <c r="O60" s="30">
        <v>3421</v>
      </c>
      <c r="P60" s="30">
        <v>7454</v>
      </c>
      <c r="Q60" s="30">
        <v>5480</v>
      </c>
      <c r="R60" s="30">
        <v>4775</v>
      </c>
      <c r="S60" s="30">
        <v>3860</v>
      </c>
      <c r="T60" s="30">
        <v>4031</v>
      </c>
      <c r="U60" s="149">
        <f t="shared" si="20"/>
        <v>0.16435586366262275</v>
      </c>
      <c r="V60" s="149">
        <f t="shared" si="21"/>
        <v>-0.459216528038637</v>
      </c>
      <c r="W60" s="149">
        <f t="shared" si="22"/>
        <v>4.4300518134715028E-2</v>
      </c>
      <c r="X60" s="218">
        <f t="shared" si="23"/>
        <v>5.4769765893558336E-2</v>
      </c>
      <c r="Y60" s="219">
        <f t="shared" si="24"/>
        <v>171</v>
      </c>
    </row>
    <row r="61" spans="1:25" x14ac:dyDescent="0.25">
      <c r="A61" s="69" t="s">
        <v>90</v>
      </c>
      <c r="B61" s="124">
        <v>18</v>
      </c>
      <c r="C61" s="124">
        <v>107</v>
      </c>
      <c r="D61" s="30">
        <v>1088</v>
      </c>
      <c r="E61" s="30">
        <v>19</v>
      </c>
      <c r="F61" s="30">
        <v>44</v>
      </c>
      <c r="G61" s="30">
        <v>103</v>
      </c>
      <c r="H61" s="30">
        <v>156</v>
      </c>
      <c r="I61" s="30">
        <v>205</v>
      </c>
      <c r="J61" s="30">
        <v>368</v>
      </c>
      <c r="K61" s="30">
        <v>404</v>
      </c>
      <c r="L61" s="30">
        <v>707</v>
      </c>
      <c r="M61" s="30">
        <v>2788</v>
      </c>
      <c r="N61" s="30">
        <v>2352</v>
      </c>
      <c r="O61" s="30">
        <v>4486</v>
      </c>
      <c r="P61" s="30">
        <v>5948</v>
      </c>
      <c r="Q61" s="30">
        <v>6067</v>
      </c>
      <c r="R61" s="30">
        <v>7812</v>
      </c>
      <c r="S61" s="30">
        <v>9858</v>
      </c>
      <c r="T61" s="30">
        <v>10906</v>
      </c>
      <c r="U61" s="149">
        <f t="shared" si="20"/>
        <v>25.995049504950494</v>
      </c>
      <c r="V61" s="149">
        <f t="shared" si="21"/>
        <v>0.83355749831876258</v>
      </c>
      <c r="W61" s="149">
        <f t="shared" si="22"/>
        <v>0.10630959626699128</v>
      </c>
      <c r="X61" s="218">
        <f t="shared" si="23"/>
        <v>0.14818136115979838</v>
      </c>
      <c r="Y61" s="219">
        <f t="shared" si="24"/>
        <v>1048</v>
      </c>
    </row>
    <row r="62" spans="1:25" x14ac:dyDescent="0.25">
      <c r="A62" s="69" t="s">
        <v>91</v>
      </c>
      <c r="B62" s="107">
        <v>0</v>
      </c>
      <c r="C62" s="124">
        <v>4</v>
      </c>
      <c r="D62" s="30">
        <v>678</v>
      </c>
      <c r="E62" s="30">
        <v>709</v>
      </c>
      <c r="F62" s="30">
        <v>1740</v>
      </c>
      <c r="G62" s="30">
        <v>1423</v>
      </c>
      <c r="H62" s="30">
        <v>922</v>
      </c>
      <c r="I62" s="30">
        <v>1160</v>
      </c>
      <c r="J62" s="30">
        <v>1696</v>
      </c>
      <c r="K62" s="30">
        <v>854</v>
      </c>
      <c r="L62" s="30">
        <v>1318</v>
      </c>
      <c r="M62" s="30">
        <v>2150</v>
      </c>
      <c r="N62" s="30">
        <v>2326</v>
      </c>
      <c r="O62" s="30">
        <v>3055</v>
      </c>
      <c r="P62" s="30">
        <v>6996</v>
      </c>
      <c r="Q62" s="30">
        <v>9387</v>
      </c>
      <c r="R62" s="30">
        <v>11801</v>
      </c>
      <c r="S62" s="30">
        <v>27421</v>
      </c>
      <c r="T62" s="30">
        <v>43116</v>
      </c>
      <c r="U62" s="149">
        <f t="shared" si="20"/>
        <v>49.487119437939107</v>
      </c>
      <c r="V62" s="149">
        <f t="shared" si="21"/>
        <v>5.1629502572898796</v>
      </c>
      <c r="W62" s="149">
        <f t="shared" si="22"/>
        <v>0.57237154006053759</v>
      </c>
      <c r="X62" s="218">
        <f t="shared" si="23"/>
        <v>0.58582317694533892</v>
      </c>
      <c r="Y62" s="219">
        <f t="shared" si="24"/>
        <v>15695</v>
      </c>
    </row>
    <row r="63" spans="1:25" x14ac:dyDescent="0.25">
      <c r="A63" s="69" t="s">
        <v>92</v>
      </c>
      <c r="B63" s="124">
        <v>371</v>
      </c>
      <c r="C63" s="124">
        <v>366</v>
      </c>
      <c r="D63" s="30">
        <v>374</v>
      </c>
      <c r="E63" s="30">
        <v>443</v>
      </c>
      <c r="F63" s="30">
        <v>762</v>
      </c>
      <c r="G63" s="30">
        <v>612</v>
      </c>
      <c r="H63" s="30">
        <v>949</v>
      </c>
      <c r="I63" s="30">
        <v>1151</v>
      </c>
      <c r="J63" s="30">
        <v>1514</v>
      </c>
      <c r="K63" s="30">
        <v>1642</v>
      </c>
      <c r="L63" s="30">
        <v>1670</v>
      </c>
      <c r="M63" s="30">
        <v>2151</v>
      </c>
      <c r="N63" s="30">
        <v>1459</v>
      </c>
      <c r="O63" s="30">
        <v>1326</v>
      </c>
      <c r="P63" s="30">
        <v>1419</v>
      </c>
      <c r="Q63" s="30">
        <v>646</v>
      </c>
      <c r="R63" s="30">
        <v>576</v>
      </c>
      <c r="S63" s="30">
        <v>353</v>
      </c>
      <c r="T63" s="30">
        <v>160</v>
      </c>
      <c r="U63" s="149">
        <f t="shared" si="20"/>
        <v>-0.90255785627283802</v>
      </c>
      <c r="V63" s="149">
        <f t="shared" si="21"/>
        <v>-0.88724453840732909</v>
      </c>
      <c r="W63" s="149">
        <f t="shared" si="22"/>
        <v>-0.54674220963172804</v>
      </c>
      <c r="X63" s="218">
        <f t="shared" si="23"/>
        <v>2.1739425807415862E-3</v>
      </c>
      <c r="Y63" s="219">
        <f t="shared" si="24"/>
        <v>-193</v>
      </c>
    </row>
    <row r="64" spans="1:25" x14ac:dyDescent="0.25">
      <c r="A64" s="92" t="s">
        <v>0</v>
      </c>
      <c r="B64" s="2">
        <v>7801</v>
      </c>
      <c r="C64" s="2">
        <v>10374</v>
      </c>
      <c r="D64" s="2">
        <v>14022</v>
      </c>
      <c r="E64" s="2">
        <v>13962</v>
      </c>
      <c r="F64" s="2">
        <v>19542</v>
      </c>
      <c r="G64" s="2">
        <v>20903</v>
      </c>
      <c r="H64" s="2">
        <v>23368</v>
      </c>
      <c r="I64" s="2">
        <v>23943</v>
      </c>
      <c r="J64" s="2">
        <v>22021</v>
      </c>
      <c r="K64" s="2">
        <v>21114</v>
      </c>
      <c r="L64" s="2">
        <v>22303</v>
      </c>
      <c r="M64" s="2">
        <v>27414</v>
      </c>
      <c r="N64" s="2">
        <v>25633</v>
      </c>
      <c r="O64" s="2">
        <v>23581</v>
      </c>
      <c r="P64" s="2">
        <v>37078</v>
      </c>
      <c r="Q64" s="2">
        <v>35551</v>
      </c>
      <c r="R64" s="2">
        <v>39726</v>
      </c>
      <c r="S64" s="2">
        <v>56427</v>
      </c>
      <c r="T64" s="2">
        <v>73599</v>
      </c>
      <c r="U64" s="150">
        <f t="shared" si="20"/>
        <v>2.4857914180164817</v>
      </c>
      <c r="V64" s="150">
        <f t="shared" si="21"/>
        <v>0.98497761475807755</v>
      </c>
      <c r="W64" s="150">
        <f t="shared" si="22"/>
        <v>0.30432239885161361</v>
      </c>
      <c r="X64" s="220">
        <f t="shared" si="23"/>
        <v>1</v>
      </c>
      <c r="Y64" s="221">
        <f t="shared" si="24"/>
        <v>17172</v>
      </c>
    </row>
    <row r="66" spans="1:20" x14ac:dyDescent="0.25">
      <c r="A66" s="83" t="s">
        <v>254</v>
      </c>
      <c r="B66" s="83"/>
      <c r="C66" s="83"/>
      <c r="D66" s="41"/>
      <c r="E66" s="41"/>
      <c r="F66" s="41"/>
      <c r="G66" s="41"/>
      <c r="H66" s="41"/>
      <c r="S66" s="17"/>
      <c r="T66" s="17"/>
    </row>
    <row r="67" spans="1:20" x14ac:dyDescent="0.25">
      <c r="A67" s="41" t="s">
        <v>243</v>
      </c>
      <c r="B67" s="41"/>
      <c r="C67" s="41"/>
      <c r="S67" s="17"/>
      <c r="T67" s="17"/>
    </row>
  </sheetData>
  <conditionalFormatting sqref="U6:U9">
    <cfRule type="iconSet" priority="22">
      <iconSet iconSet="5Arrows">
        <cfvo type="percent" val="0"/>
        <cfvo type="num" val="-0.2"/>
        <cfvo type="num" val="0"/>
        <cfvo type="num" val="0.2"/>
        <cfvo type="num" val="0.5"/>
      </iconSet>
    </cfRule>
  </conditionalFormatting>
  <conditionalFormatting sqref="U13:U20">
    <cfRule type="iconSet" priority="17">
      <iconSet iconSet="5Arrows">
        <cfvo type="percent" val="0"/>
        <cfvo type="num" val="-0.2"/>
        <cfvo type="num" val="0"/>
        <cfvo type="num" val="0.2"/>
        <cfvo type="num" val="0.5"/>
      </iconSet>
    </cfRule>
  </conditionalFormatting>
  <conditionalFormatting sqref="U26:U29">
    <cfRule type="iconSet" priority="12">
      <iconSet iconSet="5Arrows">
        <cfvo type="percent" val="0"/>
        <cfvo type="num" val="-0.2"/>
        <cfvo type="num" val="0"/>
        <cfvo type="num" val="0.2"/>
        <cfvo type="num" val="0.5"/>
      </iconSet>
    </cfRule>
  </conditionalFormatting>
  <conditionalFormatting sqref="U33:U42">
    <cfRule type="iconSet" priority="7">
      <iconSet iconSet="5Arrows">
        <cfvo type="percent" val="0"/>
        <cfvo type="num" val="-0.2"/>
        <cfvo type="num" val="0"/>
        <cfvo type="num" val="0.2"/>
        <cfvo type="num" val="0.5"/>
      </iconSet>
    </cfRule>
  </conditionalFormatting>
  <conditionalFormatting sqref="U46:U64">
    <cfRule type="iconSet" priority="2">
      <iconSet iconSet="5Arrows">
        <cfvo type="percent" val="0"/>
        <cfvo type="num" val="-0.2"/>
        <cfvo type="num" val="0"/>
        <cfvo type="num" val="0.2"/>
        <cfvo type="num" val="0.5"/>
      </iconSet>
    </cfRule>
  </conditionalFormatting>
  <conditionalFormatting sqref="V6:V9">
    <cfRule type="iconSet" priority="21">
      <iconSet iconSet="5Arrows">
        <cfvo type="percent" val="0"/>
        <cfvo type="num" val="-0.2"/>
        <cfvo type="num" val="0"/>
        <cfvo type="num" val="0.2"/>
        <cfvo type="num" val="0.5"/>
      </iconSet>
    </cfRule>
  </conditionalFormatting>
  <conditionalFormatting sqref="V13:V20">
    <cfRule type="iconSet" priority="16">
      <iconSet iconSet="5Arrows">
        <cfvo type="percent" val="0"/>
        <cfvo type="num" val="-0.2"/>
        <cfvo type="num" val="0"/>
        <cfvo type="num" val="0.2"/>
        <cfvo type="num" val="0.5"/>
      </iconSet>
    </cfRule>
  </conditionalFormatting>
  <conditionalFormatting sqref="V26:V29">
    <cfRule type="iconSet" priority="11">
      <iconSet iconSet="5Arrows">
        <cfvo type="percent" val="0"/>
        <cfvo type="num" val="-0.2"/>
        <cfvo type="num" val="0"/>
        <cfvo type="num" val="0.2"/>
        <cfvo type="num" val="0.5"/>
      </iconSet>
    </cfRule>
  </conditionalFormatting>
  <conditionalFormatting sqref="V33:V42">
    <cfRule type="iconSet" priority="6">
      <iconSet iconSet="5Arrows">
        <cfvo type="percent" val="0"/>
        <cfvo type="num" val="-0.2"/>
        <cfvo type="num" val="0"/>
        <cfvo type="num" val="0.2"/>
        <cfvo type="num" val="0.5"/>
      </iconSet>
    </cfRule>
  </conditionalFormatting>
  <conditionalFormatting sqref="V46:V64">
    <cfRule type="iconSet" priority="1">
      <iconSet iconSet="5Arrows">
        <cfvo type="percent" val="0"/>
        <cfvo type="num" val="-0.2"/>
        <cfvo type="num" val="0"/>
        <cfvo type="num" val="0.2"/>
        <cfvo type="num" val="0.5"/>
      </iconSet>
    </cfRule>
  </conditionalFormatting>
  <conditionalFormatting sqref="W6:W9">
    <cfRule type="iconSet" priority="25">
      <iconSet iconSet="5Arrows">
        <cfvo type="percent" val="0"/>
        <cfvo type="num" val="-0.1"/>
        <cfvo type="num" val="0"/>
        <cfvo type="num" val="0.1"/>
        <cfvo type="num" val="0.2"/>
      </iconSet>
    </cfRule>
  </conditionalFormatting>
  <conditionalFormatting sqref="W13:W20">
    <cfRule type="iconSet" priority="20">
      <iconSet iconSet="5Arrows">
        <cfvo type="percent" val="0"/>
        <cfvo type="num" val="-0.1"/>
        <cfvo type="num" val="0"/>
        <cfvo type="num" val="0.1"/>
        <cfvo type="num" val="0.2"/>
      </iconSet>
    </cfRule>
  </conditionalFormatting>
  <conditionalFormatting sqref="W26:W29">
    <cfRule type="iconSet" priority="15">
      <iconSet iconSet="5Arrows">
        <cfvo type="percent" val="0"/>
        <cfvo type="num" val="-0.1"/>
        <cfvo type="num" val="0"/>
        <cfvo type="num" val="0.1"/>
        <cfvo type="num" val="0.2"/>
      </iconSet>
    </cfRule>
  </conditionalFormatting>
  <conditionalFormatting sqref="W33:W42">
    <cfRule type="iconSet" priority="10">
      <iconSet iconSet="5Arrows">
        <cfvo type="percent" val="0"/>
        <cfvo type="num" val="-0.1"/>
        <cfvo type="num" val="0"/>
        <cfvo type="num" val="0.1"/>
        <cfvo type="num" val="0.2"/>
      </iconSet>
    </cfRule>
  </conditionalFormatting>
  <conditionalFormatting sqref="W46:W64">
    <cfRule type="iconSet" priority="5">
      <iconSet iconSet="5Arrows">
        <cfvo type="percent" val="0"/>
        <cfvo type="num" val="-0.1"/>
        <cfvo type="num" val="0"/>
        <cfvo type="num" val="0.1"/>
        <cfvo type="num" val="0.2"/>
      </iconSet>
    </cfRule>
  </conditionalFormatting>
  <conditionalFormatting sqref="X6:X8">
    <cfRule type="dataBar" priority="24">
      <dataBar>
        <cfvo type="min"/>
        <cfvo type="max"/>
        <color rgb="FF638EC6"/>
      </dataBar>
      <extLst>
        <ext xmlns:x14="http://schemas.microsoft.com/office/spreadsheetml/2009/9/main" uri="{B025F937-C7B1-47D3-B67F-A62EFF666E3E}">
          <x14:id>{BF4132E7-F853-4A69-8F32-1C6C36533B7E}</x14:id>
        </ext>
      </extLst>
    </cfRule>
  </conditionalFormatting>
  <conditionalFormatting sqref="X13:X19">
    <cfRule type="dataBar" priority="19">
      <dataBar>
        <cfvo type="min"/>
        <cfvo type="max"/>
        <color rgb="FF638EC6"/>
      </dataBar>
      <extLst>
        <ext xmlns:x14="http://schemas.microsoft.com/office/spreadsheetml/2009/9/main" uri="{B025F937-C7B1-47D3-B67F-A62EFF666E3E}">
          <x14:id>{79803C27-45E6-4749-9920-4A67283C655F}</x14:id>
        </ext>
      </extLst>
    </cfRule>
  </conditionalFormatting>
  <conditionalFormatting sqref="X26:X28">
    <cfRule type="dataBar" priority="14">
      <dataBar>
        <cfvo type="min"/>
        <cfvo type="max"/>
        <color rgb="FF638EC6"/>
      </dataBar>
      <extLst>
        <ext xmlns:x14="http://schemas.microsoft.com/office/spreadsheetml/2009/9/main" uri="{B025F937-C7B1-47D3-B67F-A62EFF666E3E}">
          <x14:id>{4AC0A17B-781A-4B0F-9A8A-F61692F57A64}</x14:id>
        </ext>
      </extLst>
    </cfRule>
  </conditionalFormatting>
  <conditionalFormatting sqref="X33:X41">
    <cfRule type="dataBar" priority="9">
      <dataBar>
        <cfvo type="min"/>
        <cfvo type="max"/>
        <color rgb="FF638EC6"/>
      </dataBar>
      <extLst>
        <ext xmlns:x14="http://schemas.microsoft.com/office/spreadsheetml/2009/9/main" uri="{B025F937-C7B1-47D3-B67F-A62EFF666E3E}">
          <x14:id>{F3F73616-ED75-4A1C-B330-891F0AF23639}</x14:id>
        </ext>
      </extLst>
    </cfRule>
  </conditionalFormatting>
  <conditionalFormatting sqref="X46:X63">
    <cfRule type="dataBar" priority="4">
      <dataBar>
        <cfvo type="min"/>
        <cfvo type="max"/>
        <color rgb="FF638EC6"/>
      </dataBar>
      <extLst>
        <ext xmlns:x14="http://schemas.microsoft.com/office/spreadsheetml/2009/9/main" uri="{B025F937-C7B1-47D3-B67F-A62EFF666E3E}">
          <x14:id>{49AE85EA-06A0-4932-919C-687E0EFC0213}</x14:id>
        </ext>
      </extLst>
    </cfRule>
  </conditionalFormatting>
  <conditionalFormatting sqref="Y6:Y9">
    <cfRule type="dataBar" priority="23">
      <dataBar>
        <cfvo type="min"/>
        <cfvo type="max"/>
        <color rgb="FF63C384"/>
      </dataBar>
      <extLst>
        <ext xmlns:x14="http://schemas.microsoft.com/office/spreadsheetml/2009/9/main" uri="{B025F937-C7B1-47D3-B67F-A62EFF666E3E}">
          <x14:id>{A3654E45-EADB-4C5E-8519-23DAECDC3301}</x14:id>
        </ext>
      </extLst>
    </cfRule>
  </conditionalFormatting>
  <conditionalFormatting sqref="Y13:Y20">
    <cfRule type="dataBar" priority="18">
      <dataBar>
        <cfvo type="min"/>
        <cfvo type="max"/>
        <color rgb="FF63C384"/>
      </dataBar>
      <extLst>
        <ext xmlns:x14="http://schemas.microsoft.com/office/spreadsheetml/2009/9/main" uri="{B025F937-C7B1-47D3-B67F-A62EFF666E3E}">
          <x14:id>{A44949B5-A64B-493A-9872-22111B319EAE}</x14:id>
        </ext>
      </extLst>
    </cfRule>
  </conditionalFormatting>
  <conditionalFormatting sqref="Y26:Y29">
    <cfRule type="dataBar" priority="13">
      <dataBar>
        <cfvo type="min"/>
        <cfvo type="max"/>
        <color rgb="FF63C384"/>
      </dataBar>
      <extLst>
        <ext xmlns:x14="http://schemas.microsoft.com/office/spreadsheetml/2009/9/main" uri="{B025F937-C7B1-47D3-B67F-A62EFF666E3E}">
          <x14:id>{49AD2ACB-552E-47E0-B420-E464030AC713}</x14:id>
        </ext>
      </extLst>
    </cfRule>
  </conditionalFormatting>
  <conditionalFormatting sqref="Y33:Y42">
    <cfRule type="dataBar" priority="8">
      <dataBar>
        <cfvo type="min"/>
        <cfvo type="max"/>
        <color rgb="FF63C384"/>
      </dataBar>
      <extLst>
        <ext xmlns:x14="http://schemas.microsoft.com/office/spreadsheetml/2009/9/main" uri="{B025F937-C7B1-47D3-B67F-A62EFF666E3E}">
          <x14:id>{1EB9D85C-988A-4402-A958-E217BEB1B188}</x14:id>
        </ext>
      </extLst>
    </cfRule>
  </conditionalFormatting>
  <conditionalFormatting sqref="Y46:Y64">
    <cfRule type="dataBar" priority="3">
      <dataBar>
        <cfvo type="min"/>
        <cfvo type="max"/>
        <color rgb="FF63C384"/>
      </dataBar>
      <extLst>
        <ext xmlns:x14="http://schemas.microsoft.com/office/spreadsheetml/2009/9/main" uri="{B025F937-C7B1-47D3-B67F-A62EFF666E3E}">
          <x14:id>{C9B1866E-BD4D-4215-9C3D-10B9D8BD7DA5}</x14:id>
        </ext>
      </extLst>
    </cfRule>
  </conditionalFormatting>
  <hyperlinks>
    <hyperlink ref="A67" location="Índice!C1" display="Volver al ïndice" xr:uid="{00000000-0004-0000-0800-000000000000}"/>
  </hyperlinks>
  <pageMargins left="0.7" right="0.7" top="0.75" bottom="0.75" header="0.3" footer="0.3"/>
  <pageSetup orientation="portrait"/>
  <drawing r:id="rId1"/>
  <extLst>
    <ext xmlns:x14="http://schemas.microsoft.com/office/spreadsheetml/2009/9/main" uri="{78C0D931-6437-407d-A8EE-F0AAD7539E65}">
      <x14:conditionalFormattings>
        <x14:conditionalFormatting xmlns:xm="http://schemas.microsoft.com/office/excel/2006/main">
          <x14:cfRule type="dataBar" id="{BF4132E7-F853-4A69-8F32-1C6C36533B7E}">
            <x14:dataBar minLength="0" maxLength="100" border="1" negativeBarBorderColorSameAsPositive="0">
              <x14:cfvo type="autoMin"/>
              <x14:cfvo type="autoMax"/>
              <x14:borderColor rgb="FF638EC6"/>
              <x14:negativeFillColor rgb="FFFF0000"/>
              <x14:negativeBorderColor rgb="FFFF0000"/>
              <x14:axisColor rgb="FF000000"/>
            </x14:dataBar>
          </x14:cfRule>
          <xm:sqref>X6:X8</xm:sqref>
        </x14:conditionalFormatting>
        <x14:conditionalFormatting xmlns:xm="http://schemas.microsoft.com/office/excel/2006/main">
          <x14:cfRule type="dataBar" id="{79803C27-45E6-4749-9920-4A67283C655F}">
            <x14:dataBar minLength="0" maxLength="100" border="1" negativeBarBorderColorSameAsPositive="0">
              <x14:cfvo type="autoMin"/>
              <x14:cfvo type="autoMax"/>
              <x14:borderColor rgb="FF638EC6"/>
              <x14:negativeFillColor rgb="FFFF0000"/>
              <x14:negativeBorderColor rgb="FFFF0000"/>
              <x14:axisColor rgb="FF000000"/>
            </x14:dataBar>
          </x14:cfRule>
          <xm:sqref>X13:X19</xm:sqref>
        </x14:conditionalFormatting>
        <x14:conditionalFormatting xmlns:xm="http://schemas.microsoft.com/office/excel/2006/main">
          <x14:cfRule type="dataBar" id="{4AC0A17B-781A-4B0F-9A8A-F61692F57A64}">
            <x14:dataBar minLength="0" maxLength="100" border="1" negativeBarBorderColorSameAsPositive="0">
              <x14:cfvo type="autoMin"/>
              <x14:cfvo type="autoMax"/>
              <x14:borderColor rgb="FF638EC6"/>
              <x14:negativeFillColor rgb="FFFF0000"/>
              <x14:negativeBorderColor rgb="FFFF0000"/>
              <x14:axisColor rgb="FF000000"/>
            </x14:dataBar>
          </x14:cfRule>
          <xm:sqref>X26:X28</xm:sqref>
        </x14:conditionalFormatting>
        <x14:conditionalFormatting xmlns:xm="http://schemas.microsoft.com/office/excel/2006/main">
          <x14:cfRule type="dataBar" id="{F3F73616-ED75-4A1C-B330-891F0AF23639}">
            <x14:dataBar minLength="0" maxLength="100" border="1" negativeBarBorderColorSameAsPositive="0">
              <x14:cfvo type="autoMin"/>
              <x14:cfvo type="autoMax"/>
              <x14:borderColor rgb="FF638EC6"/>
              <x14:negativeFillColor rgb="FFFF0000"/>
              <x14:negativeBorderColor rgb="FFFF0000"/>
              <x14:axisColor rgb="FF000000"/>
            </x14:dataBar>
          </x14:cfRule>
          <xm:sqref>X33:X41</xm:sqref>
        </x14:conditionalFormatting>
        <x14:conditionalFormatting xmlns:xm="http://schemas.microsoft.com/office/excel/2006/main">
          <x14:cfRule type="dataBar" id="{49AE85EA-06A0-4932-919C-687E0EFC0213}">
            <x14:dataBar minLength="0" maxLength="100" border="1" negativeBarBorderColorSameAsPositive="0">
              <x14:cfvo type="autoMin"/>
              <x14:cfvo type="autoMax"/>
              <x14:borderColor rgb="FF638EC6"/>
              <x14:negativeFillColor rgb="FFFF0000"/>
              <x14:negativeBorderColor rgb="FFFF0000"/>
              <x14:axisColor rgb="FF000000"/>
            </x14:dataBar>
          </x14:cfRule>
          <xm:sqref>X46:X63</xm:sqref>
        </x14:conditionalFormatting>
        <x14:conditionalFormatting xmlns:xm="http://schemas.microsoft.com/office/excel/2006/main">
          <x14:cfRule type="dataBar" id="{A3654E45-EADB-4C5E-8519-23DAECDC3301}">
            <x14:dataBar minLength="0" maxLength="100" border="1" negativeBarBorderColorSameAsPositive="0">
              <x14:cfvo type="autoMin"/>
              <x14:cfvo type="autoMax"/>
              <x14:borderColor rgb="FF63C384"/>
              <x14:negativeFillColor rgb="FFFF0000"/>
              <x14:negativeBorderColor rgb="FFFF0000"/>
              <x14:axisColor rgb="FF000000"/>
            </x14:dataBar>
          </x14:cfRule>
          <xm:sqref>Y6:Y9</xm:sqref>
        </x14:conditionalFormatting>
        <x14:conditionalFormatting xmlns:xm="http://schemas.microsoft.com/office/excel/2006/main">
          <x14:cfRule type="dataBar" id="{A44949B5-A64B-493A-9872-22111B319EAE}">
            <x14:dataBar minLength="0" maxLength="100" border="1" negativeBarBorderColorSameAsPositive="0">
              <x14:cfvo type="autoMin"/>
              <x14:cfvo type="autoMax"/>
              <x14:borderColor rgb="FF63C384"/>
              <x14:negativeFillColor rgb="FFFF0000"/>
              <x14:negativeBorderColor rgb="FFFF0000"/>
              <x14:axisColor rgb="FF000000"/>
            </x14:dataBar>
          </x14:cfRule>
          <xm:sqref>Y13:Y20</xm:sqref>
        </x14:conditionalFormatting>
        <x14:conditionalFormatting xmlns:xm="http://schemas.microsoft.com/office/excel/2006/main">
          <x14:cfRule type="dataBar" id="{49AD2ACB-552E-47E0-B420-E464030AC713}">
            <x14:dataBar minLength="0" maxLength="100" border="1" negativeBarBorderColorSameAsPositive="0">
              <x14:cfvo type="autoMin"/>
              <x14:cfvo type="autoMax"/>
              <x14:borderColor rgb="FF63C384"/>
              <x14:negativeFillColor rgb="FFFF0000"/>
              <x14:negativeBorderColor rgb="FFFF0000"/>
              <x14:axisColor rgb="FF000000"/>
            </x14:dataBar>
          </x14:cfRule>
          <xm:sqref>Y26:Y29</xm:sqref>
        </x14:conditionalFormatting>
        <x14:conditionalFormatting xmlns:xm="http://schemas.microsoft.com/office/excel/2006/main">
          <x14:cfRule type="dataBar" id="{1EB9D85C-988A-4402-A958-E217BEB1B188}">
            <x14:dataBar minLength="0" maxLength="100" border="1" negativeBarBorderColorSameAsPositive="0">
              <x14:cfvo type="autoMin"/>
              <x14:cfvo type="autoMax"/>
              <x14:borderColor rgb="FF63C384"/>
              <x14:negativeFillColor rgb="FFFF0000"/>
              <x14:negativeBorderColor rgb="FFFF0000"/>
              <x14:axisColor rgb="FF000000"/>
            </x14:dataBar>
          </x14:cfRule>
          <xm:sqref>Y33:Y42</xm:sqref>
        </x14:conditionalFormatting>
        <x14:conditionalFormatting xmlns:xm="http://schemas.microsoft.com/office/excel/2006/main">
          <x14:cfRule type="dataBar" id="{C9B1866E-BD4D-4215-9C3D-10B9D8BD7DA5}">
            <x14:dataBar minLength="0" maxLength="100" border="1" negativeBarBorderColorSameAsPositive="0">
              <x14:cfvo type="autoMin"/>
              <x14:cfvo type="autoMax"/>
              <x14:borderColor rgb="FF63C384"/>
              <x14:negativeFillColor rgb="FFFF0000"/>
              <x14:negativeBorderColor rgb="FFFF0000"/>
              <x14:axisColor rgb="FF000000"/>
            </x14:dataBar>
          </x14:cfRule>
          <xm:sqref>Y46:Y64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CX507"/>
  <sheetViews>
    <sheetView zoomScaleNormal="100" workbookViewId="0">
      <pane ySplit="3" topLeftCell="A4" activePane="bottomLeft" state="frozen"/>
      <selection pane="bottomLeft"/>
    </sheetView>
  </sheetViews>
  <sheetFormatPr baseColWidth="10" defaultColWidth="36.7109375" defaultRowHeight="15" x14ac:dyDescent="0.25"/>
  <cols>
    <col min="1" max="1" width="35.7109375" style="15" customWidth="1"/>
    <col min="2" max="3" width="12.28515625" style="15" customWidth="1"/>
    <col min="4" max="5" width="12.28515625" style="16" customWidth="1"/>
    <col min="6" max="14" width="12.28515625" style="15" customWidth="1"/>
    <col min="15" max="15" width="14.28515625" style="15" customWidth="1"/>
    <col min="16" max="17" width="12.28515625" style="15" customWidth="1"/>
    <col min="18" max="18" width="12.28515625" style="169" customWidth="1"/>
    <col min="19" max="100" width="36.7109375" style="169"/>
  </cols>
  <sheetData>
    <row r="1" spans="1:17" ht="21" customHeight="1" x14ac:dyDescent="0.25">
      <c r="A1" s="168" t="s">
        <v>533</v>
      </c>
      <c r="B1" s="148"/>
      <c r="C1" s="148"/>
      <c r="D1" s="148"/>
      <c r="E1" s="148"/>
    </row>
    <row r="2" spans="1:17" ht="18.75" x14ac:dyDescent="0.25">
      <c r="A2" s="170"/>
      <c r="B2" s="148"/>
      <c r="C2" s="148"/>
      <c r="D2" s="148"/>
      <c r="E2" s="148"/>
    </row>
    <row r="3" spans="1:17" ht="18.75" x14ac:dyDescent="0.25">
      <c r="A3" s="170"/>
      <c r="B3" s="148"/>
      <c r="C3" s="148"/>
      <c r="D3" s="148"/>
      <c r="E3" s="148"/>
    </row>
    <row r="4" spans="1:17" s="169" customFormat="1" x14ac:dyDescent="0.25">
      <c r="A4" s="15"/>
      <c r="B4" s="15"/>
      <c r="C4" s="15"/>
      <c r="D4" s="15"/>
      <c r="E4" s="15"/>
      <c r="F4" s="15"/>
      <c r="G4" s="15"/>
      <c r="H4" s="15"/>
      <c r="I4" s="15"/>
      <c r="J4" s="15"/>
      <c r="K4" s="15"/>
      <c r="L4" s="15"/>
      <c r="M4" s="15"/>
      <c r="N4" s="15"/>
      <c r="O4" s="15"/>
      <c r="P4" s="15"/>
      <c r="Q4" s="15"/>
    </row>
    <row r="5" spans="1:17" s="169" customFormat="1" ht="15.75" x14ac:dyDescent="0.25">
      <c r="A5" s="54" t="s">
        <v>534</v>
      </c>
      <c r="B5" s="15"/>
      <c r="C5" s="15"/>
      <c r="D5" s="16"/>
      <c r="E5" s="16"/>
      <c r="F5" s="15"/>
      <c r="G5" s="15"/>
      <c r="H5" s="15"/>
      <c r="I5" s="15"/>
      <c r="J5" s="15"/>
      <c r="K5" s="15"/>
      <c r="L5" s="15"/>
      <c r="M5" s="15"/>
      <c r="N5" s="15"/>
      <c r="O5" s="15"/>
      <c r="P5" s="15"/>
      <c r="Q5" s="15"/>
    </row>
    <row r="6" spans="1:17" s="169" customFormat="1" ht="25.5" x14ac:dyDescent="0.25">
      <c r="A6" s="126" t="s">
        <v>390</v>
      </c>
      <c r="B6" s="106" t="s">
        <v>68</v>
      </c>
      <c r="C6" s="106" t="s">
        <v>391</v>
      </c>
      <c r="D6" s="106" t="s">
        <v>34</v>
      </c>
      <c r="E6" s="106" t="s">
        <v>0</v>
      </c>
      <c r="F6" s="106" t="s">
        <v>393</v>
      </c>
      <c r="G6" s="106" t="s">
        <v>394</v>
      </c>
      <c r="H6" s="106" t="s">
        <v>395</v>
      </c>
      <c r="I6" s="106" t="s">
        <v>461</v>
      </c>
      <c r="J6" s="15"/>
      <c r="K6" s="15"/>
      <c r="L6" s="15"/>
      <c r="M6" s="15"/>
      <c r="N6" s="15"/>
      <c r="O6" s="15"/>
      <c r="P6" s="15"/>
      <c r="Q6" s="15"/>
    </row>
    <row r="7" spans="1:17" s="169" customFormat="1" x14ac:dyDescent="0.25">
      <c r="A7" s="171" t="s">
        <v>380</v>
      </c>
      <c r="B7" s="121">
        <v>4474</v>
      </c>
      <c r="C7" s="121">
        <v>110</v>
      </c>
      <c r="D7" s="138">
        <v>163</v>
      </c>
      <c r="E7" s="137">
        <v>4747</v>
      </c>
      <c r="F7" s="149">
        <v>3.3706409190081849E-3</v>
      </c>
      <c r="G7" s="149">
        <v>2.0111159865438058E-3</v>
      </c>
      <c r="H7" s="149">
        <v>2.2147040041304907E-3</v>
      </c>
      <c r="I7" s="149">
        <v>3.2611107561696271E-3</v>
      </c>
      <c r="J7" s="199"/>
      <c r="K7" s="15"/>
      <c r="L7" s="15"/>
      <c r="M7" s="15"/>
      <c r="N7" s="15"/>
      <c r="O7" s="15"/>
      <c r="P7" s="15"/>
      <c r="Q7" s="15"/>
    </row>
    <row r="8" spans="1:17" s="169" customFormat="1" x14ac:dyDescent="0.25">
      <c r="A8" s="171" t="s">
        <v>381</v>
      </c>
      <c r="B8" s="121">
        <v>15633</v>
      </c>
      <c r="C8" s="121">
        <v>364</v>
      </c>
      <c r="D8" s="138">
        <v>452</v>
      </c>
      <c r="E8" s="137">
        <v>16449</v>
      </c>
      <c r="F8" s="149">
        <v>1.1777655227280946E-2</v>
      </c>
      <c r="G8" s="149">
        <v>6.6549656281995025E-3</v>
      </c>
      <c r="H8" s="149">
        <v>6.1413877905949809E-3</v>
      </c>
      <c r="I8" s="149">
        <v>1.1300191874496355E-2</v>
      </c>
      <c r="J8" s="199"/>
      <c r="K8" s="15"/>
      <c r="L8" s="15"/>
      <c r="M8" s="15"/>
      <c r="N8" s="15"/>
      <c r="O8" s="15"/>
      <c r="P8" s="15"/>
      <c r="Q8" s="15"/>
    </row>
    <row r="9" spans="1:17" s="169" customFormat="1" x14ac:dyDescent="0.25">
      <c r="A9" s="171" t="s">
        <v>382</v>
      </c>
      <c r="B9" s="121">
        <v>376</v>
      </c>
      <c r="C9" s="121">
        <v>5</v>
      </c>
      <c r="D9" s="138">
        <v>5</v>
      </c>
      <c r="E9" s="137">
        <v>386</v>
      </c>
      <c r="F9" s="149">
        <v>2.8327245988982511E-4</v>
      </c>
      <c r="G9" s="149">
        <v>9.1414363024718443E-5</v>
      </c>
      <c r="H9" s="149">
        <v>6.7935705648174569E-5</v>
      </c>
      <c r="I9" s="149">
        <v>2.651756376409261E-4</v>
      </c>
      <c r="J9" s="199"/>
      <c r="K9" s="15"/>
      <c r="L9" s="15"/>
      <c r="M9" s="15"/>
      <c r="N9" s="15"/>
      <c r="O9" s="15"/>
      <c r="P9" s="15"/>
      <c r="Q9" s="15"/>
    </row>
    <row r="10" spans="1:17" s="169" customFormat="1" x14ac:dyDescent="0.25">
      <c r="A10" s="171" t="s">
        <v>383</v>
      </c>
      <c r="B10" s="121">
        <v>2116</v>
      </c>
      <c r="C10" s="121">
        <v>39</v>
      </c>
      <c r="D10" s="138">
        <v>55</v>
      </c>
      <c r="E10" s="137">
        <v>2210</v>
      </c>
      <c r="F10" s="149">
        <v>1.5941609710821009E-3</v>
      </c>
      <c r="G10" s="149">
        <v>7.1303203159280384E-4</v>
      </c>
      <c r="H10" s="149">
        <v>7.4729276212992025E-4</v>
      </c>
      <c r="I10" s="149">
        <v>1.5182335730218825E-3</v>
      </c>
      <c r="J10" s="199"/>
      <c r="K10" s="15"/>
      <c r="L10" s="15"/>
      <c r="M10" s="15"/>
      <c r="N10" s="15"/>
      <c r="O10" s="15"/>
      <c r="P10" s="15"/>
      <c r="Q10" s="15"/>
    </row>
    <row r="11" spans="1:17" s="169" customFormat="1" x14ac:dyDescent="0.25">
      <c r="A11" s="171" t="s">
        <v>384</v>
      </c>
      <c r="B11" s="121">
        <v>16592</v>
      </c>
      <c r="C11" s="121">
        <v>277</v>
      </c>
      <c r="D11" s="138">
        <v>388</v>
      </c>
      <c r="E11" s="137">
        <v>17257</v>
      </c>
      <c r="F11" s="149">
        <v>1.2500150676840367E-2</v>
      </c>
      <c r="G11" s="149">
        <v>5.0643557115694019E-3</v>
      </c>
      <c r="H11" s="149">
        <v>5.271810758298346E-3</v>
      </c>
      <c r="I11" s="149">
        <v>1.1855274556397568E-2</v>
      </c>
      <c r="J11" s="199"/>
      <c r="K11" s="15"/>
      <c r="L11" s="15"/>
      <c r="M11" s="15"/>
      <c r="N11" s="15"/>
      <c r="O11" s="15"/>
      <c r="P11" s="15"/>
      <c r="Q11" s="15"/>
    </row>
    <row r="12" spans="1:17" s="169" customFormat="1" x14ac:dyDescent="0.25">
      <c r="A12" s="171" t="s">
        <v>385</v>
      </c>
      <c r="B12" s="121">
        <v>57</v>
      </c>
      <c r="C12" s="121">
        <v>3</v>
      </c>
      <c r="D12" s="138">
        <v>1</v>
      </c>
      <c r="E12" s="137">
        <v>61</v>
      </c>
      <c r="F12" s="149">
        <v>4.2942899504574548E-5</v>
      </c>
      <c r="G12" s="149">
        <v>5.4848617814831067E-5</v>
      </c>
      <c r="H12" s="149">
        <v>1.3587141129634914E-5</v>
      </c>
      <c r="I12" s="149">
        <v>4.1905994549472772E-5</v>
      </c>
      <c r="J12" s="199"/>
      <c r="K12" s="15"/>
      <c r="L12" s="15"/>
      <c r="M12" s="15"/>
      <c r="N12" s="15"/>
      <c r="O12" s="15"/>
      <c r="P12" s="15"/>
      <c r="Q12" s="15"/>
    </row>
    <row r="13" spans="1:17" s="169" customFormat="1" x14ac:dyDescent="0.25">
      <c r="A13" s="171" t="s">
        <v>386</v>
      </c>
      <c r="B13" s="121">
        <v>124717</v>
      </c>
      <c r="C13" s="121">
        <v>2453</v>
      </c>
      <c r="D13" s="138">
        <v>3058</v>
      </c>
      <c r="E13" s="137">
        <v>130228</v>
      </c>
      <c r="F13" s="149">
        <v>9.3959817500210943E-2</v>
      </c>
      <c r="G13" s="149">
        <v>4.4847886499926867E-2</v>
      </c>
      <c r="H13" s="149">
        <v>4.1549477574423566E-2</v>
      </c>
      <c r="I13" s="149">
        <v>8.9464489478503939E-2</v>
      </c>
      <c r="J13" s="199"/>
      <c r="K13" s="15"/>
      <c r="L13" s="15"/>
      <c r="M13" s="15"/>
      <c r="N13" s="15"/>
      <c r="O13" s="15"/>
      <c r="P13" s="15"/>
      <c r="Q13" s="15"/>
    </row>
    <row r="14" spans="1:17" s="169" customFormat="1" x14ac:dyDescent="0.25">
      <c r="A14" s="171" t="s">
        <v>387</v>
      </c>
      <c r="B14" s="121">
        <v>1801</v>
      </c>
      <c r="C14" s="121">
        <v>42</v>
      </c>
      <c r="D14" s="138">
        <v>57</v>
      </c>
      <c r="E14" s="137">
        <v>1900</v>
      </c>
      <c r="F14" s="149">
        <v>1.3568449475041889E-3</v>
      </c>
      <c r="G14" s="149">
        <v>7.6788064940763495E-4</v>
      </c>
      <c r="H14" s="149">
        <v>7.7446704438919006E-4</v>
      </c>
      <c r="I14" s="149">
        <v>1.3052686826884963E-3</v>
      </c>
      <c r="J14" s="199"/>
      <c r="K14" s="15"/>
      <c r="L14" s="15"/>
      <c r="M14" s="15"/>
      <c r="N14" s="15"/>
      <c r="O14" s="15"/>
      <c r="P14" s="15"/>
      <c r="Q14" s="15"/>
    </row>
    <row r="15" spans="1:17" s="169" customFormat="1" x14ac:dyDescent="0.25">
      <c r="A15" s="171" t="s">
        <v>388</v>
      </c>
      <c r="B15" s="121">
        <v>443</v>
      </c>
      <c r="C15" s="121">
        <v>12</v>
      </c>
      <c r="D15" s="138">
        <v>16</v>
      </c>
      <c r="E15" s="137">
        <v>471</v>
      </c>
      <c r="F15" s="149">
        <v>3.3374920141274607E-4</v>
      </c>
      <c r="G15" s="149">
        <v>2.1939447125932427E-4</v>
      </c>
      <c r="H15" s="149">
        <v>2.1739425807415863E-4</v>
      </c>
      <c r="I15" s="149">
        <v>3.2356923660330618E-4</v>
      </c>
      <c r="J15" s="199"/>
      <c r="K15" s="15"/>
      <c r="L15" s="15"/>
      <c r="M15" s="15"/>
      <c r="N15" s="15"/>
      <c r="O15" s="15"/>
      <c r="P15" s="15"/>
      <c r="Q15" s="15"/>
    </row>
    <row r="16" spans="1:17" s="169" customFormat="1" x14ac:dyDescent="0.25">
      <c r="A16" s="171" t="s">
        <v>389</v>
      </c>
      <c r="B16" s="121">
        <v>24</v>
      </c>
      <c r="C16" s="121">
        <v>0</v>
      </c>
      <c r="D16" s="138">
        <v>2</v>
      </c>
      <c r="E16" s="137">
        <v>26</v>
      </c>
      <c r="F16" s="149">
        <v>1.8081220844031388E-5</v>
      </c>
      <c r="G16" s="149">
        <v>0</v>
      </c>
      <c r="H16" s="149">
        <v>2.7174282259269828E-5</v>
      </c>
      <c r="I16" s="149">
        <v>1.7861571447316266E-5</v>
      </c>
      <c r="J16" s="199"/>
      <c r="K16" s="15"/>
      <c r="L16" s="15"/>
      <c r="M16" s="15"/>
      <c r="N16" s="15"/>
      <c r="O16" s="15"/>
      <c r="P16" s="15"/>
      <c r="Q16" s="15"/>
    </row>
    <row r="17" spans="1:9" x14ac:dyDescent="0.25">
      <c r="A17" s="175" t="s">
        <v>0</v>
      </c>
      <c r="B17" s="90">
        <v>166233</v>
      </c>
      <c r="C17" s="90">
        <v>3305</v>
      </c>
      <c r="D17" s="90">
        <v>4197</v>
      </c>
      <c r="E17" s="90">
        <v>173735</v>
      </c>
      <c r="F17" s="150">
        <v>0.1252373160235779</v>
      </c>
      <c r="G17" s="150">
        <v>6.0424893959338893E-2</v>
      </c>
      <c r="H17" s="150">
        <v>5.702523132107773E-2</v>
      </c>
      <c r="I17" s="150">
        <v>0.1193530813615189</v>
      </c>
    </row>
    <row r="18" spans="1:9" x14ac:dyDescent="0.25">
      <c r="D18" s="15"/>
      <c r="E18" s="15"/>
    </row>
    <row r="19" spans="1:9" ht="15.75" x14ac:dyDescent="0.25">
      <c r="A19" s="54" t="s">
        <v>535</v>
      </c>
      <c r="B19" s="3"/>
      <c r="C19" s="3"/>
      <c r="D19" s="27"/>
      <c r="E19" s="27"/>
    </row>
    <row r="20" spans="1:9" ht="38.25" x14ac:dyDescent="0.25">
      <c r="A20" s="126" t="s">
        <v>390</v>
      </c>
      <c r="B20" s="106" t="s">
        <v>2</v>
      </c>
      <c r="C20" s="106" t="s">
        <v>3</v>
      </c>
      <c r="D20" s="106" t="s">
        <v>4</v>
      </c>
      <c r="E20" s="106" t="s">
        <v>0</v>
      </c>
      <c r="F20" s="106" t="s">
        <v>396</v>
      </c>
      <c r="G20" s="106" t="s">
        <v>397</v>
      </c>
      <c r="H20" s="106" t="s">
        <v>398</v>
      </c>
      <c r="I20" s="106" t="s">
        <v>461</v>
      </c>
    </row>
    <row r="21" spans="1:9" x14ac:dyDescent="0.25">
      <c r="A21" s="171" t="s">
        <v>380</v>
      </c>
      <c r="B21" s="121">
        <v>560</v>
      </c>
      <c r="C21" s="121">
        <v>1837</v>
      </c>
      <c r="D21" s="138">
        <v>2350</v>
      </c>
      <c r="E21" s="137">
        <v>4747</v>
      </c>
      <c r="F21" s="149">
        <v>3.6710478875086041E-3</v>
      </c>
      <c r="G21" s="149">
        <v>4.1368842528160992E-3</v>
      </c>
      <c r="H21" s="149">
        <v>2.7356118457813371E-3</v>
      </c>
      <c r="I21" s="149">
        <v>3.2611107561696271E-3</v>
      </c>
    </row>
    <row r="22" spans="1:9" x14ac:dyDescent="0.25">
      <c r="A22" s="171" t="s">
        <v>381</v>
      </c>
      <c r="B22" s="121">
        <v>2816</v>
      </c>
      <c r="C22" s="121">
        <v>3981</v>
      </c>
      <c r="D22" s="138">
        <v>9652</v>
      </c>
      <c r="E22" s="137">
        <v>16449</v>
      </c>
      <c r="F22" s="149">
        <v>1.8460126520043266E-2</v>
      </c>
      <c r="G22" s="149">
        <v>8.9651258630707078E-3</v>
      </c>
      <c r="H22" s="149">
        <v>1.1235798100204879E-2</v>
      </c>
      <c r="I22" s="149">
        <v>1.1300191874496355E-2</v>
      </c>
    </row>
    <row r="23" spans="1:9" x14ac:dyDescent="0.25">
      <c r="A23" s="171" t="s">
        <v>382</v>
      </c>
      <c r="B23" s="121">
        <v>85</v>
      </c>
      <c r="C23" s="121">
        <v>133</v>
      </c>
      <c r="D23" s="138">
        <v>168</v>
      </c>
      <c r="E23" s="137">
        <v>386</v>
      </c>
      <c r="F23" s="149">
        <v>5.5721262578255595E-4</v>
      </c>
      <c r="G23" s="149">
        <v>2.9951312227792114E-4</v>
      </c>
      <c r="H23" s="149">
        <v>1.9556714471968709E-4</v>
      </c>
      <c r="I23" s="149">
        <v>2.651756376409261E-4</v>
      </c>
    </row>
    <row r="24" spans="1:9" x14ac:dyDescent="0.25">
      <c r="A24" s="171" t="s">
        <v>383</v>
      </c>
      <c r="B24" s="121">
        <v>305</v>
      </c>
      <c r="C24" s="121">
        <v>752</v>
      </c>
      <c r="D24" s="138">
        <v>1153</v>
      </c>
      <c r="E24" s="137">
        <v>2210</v>
      </c>
      <c r="F24" s="149">
        <v>1.999410010160936E-3</v>
      </c>
      <c r="G24" s="149">
        <v>1.6934877289699001E-3</v>
      </c>
      <c r="H24" s="149">
        <v>1.3421959396535668E-3</v>
      </c>
      <c r="I24" s="149">
        <v>1.5182335730218825E-3</v>
      </c>
    </row>
    <row r="25" spans="1:9" x14ac:dyDescent="0.25">
      <c r="A25" s="171" t="s">
        <v>384</v>
      </c>
      <c r="B25" s="121">
        <v>2332</v>
      </c>
      <c r="C25" s="121">
        <v>5554</v>
      </c>
      <c r="D25" s="138">
        <v>9371</v>
      </c>
      <c r="E25" s="137">
        <v>17257</v>
      </c>
      <c r="F25" s="149">
        <v>1.528729227441083E-2</v>
      </c>
      <c r="G25" s="149">
        <v>1.2507487828056949E-2</v>
      </c>
      <c r="H25" s="149">
        <v>1.090868876885826E-2</v>
      </c>
      <c r="I25" s="149">
        <v>1.1855274556397568E-2</v>
      </c>
    </row>
    <row r="26" spans="1:9" x14ac:dyDescent="0.25">
      <c r="A26" s="171" t="s">
        <v>385</v>
      </c>
      <c r="B26" s="121">
        <v>6</v>
      </c>
      <c r="C26" s="121">
        <v>23</v>
      </c>
      <c r="D26" s="138">
        <v>32</v>
      </c>
      <c r="E26" s="137">
        <v>61</v>
      </c>
      <c r="F26" s="149">
        <v>3.9332655937592188E-5</v>
      </c>
      <c r="G26" s="149">
        <v>5.1795502348813434E-5</v>
      </c>
      <c r="H26" s="149">
        <v>3.7250884708511824E-5</v>
      </c>
      <c r="I26" s="149">
        <v>4.1905994549472772E-5</v>
      </c>
    </row>
    <row r="27" spans="1:9" x14ac:dyDescent="0.25">
      <c r="A27" s="171" t="s">
        <v>386</v>
      </c>
      <c r="B27" s="121">
        <v>17907</v>
      </c>
      <c r="C27" s="121">
        <v>42002</v>
      </c>
      <c r="D27" s="138">
        <v>70319</v>
      </c>
      <c r="E27" s="137">
        <v>130228</v>
      </c>
      <c r="F27" s="149">
        <v>0.11738831164574388</v>
      </c>
      <c r="G27" s="149">
        <v>9.4587595202385299E-2</v>
      </c>
      <c r="H27" s="149">
        <v>8.1857655056807602E-2</v>
      </c>
      <c r="I27" s="149">
        <v>8.9464489478503939E-2</v>
      </c>
    </row>
    <row r="28" spans="1:9" x14ac:dyDescent="0.25">
      <c r="A28" s="171" t="s">
        <v>387</v>
      </c>
      <c r="B28" s="121">
        <v>242</v>
      </c>
      <c r="C28" s="121">
        <v>649</v>
      </c>
      <c r="D28" s="138">
        <v>1009</v>
      </c>
      <c r="E28" s="137">
        <v>1900</v>
      </c>
      <c r="F28" s="149">
        <v>1.5864171228162183E-3</v>
      </c>
      <c r="G28" s="149">
        <v>1.4615339575817356E-3</v>
      </c>
      <c r="H28" s="149">
        <v>1.1745669584652635E-3</v>
      </c>
      <c r="I28" s="149">
        <v>1.3052686826884963E-3</v>
      </c>
    </row>
    <row r="29" spans="1:9" x14ac:dyDescent="0.25">
      <c r="A29" s="171" t="s">
        <v>388</v>
      </c>
      <c r="B29" s="121">
        <v>27</v>
      </c>
      <c r="C29" s="121">
        <v>185</v>
      </c>
      <c r="D29" s="138">
        <v>259</v>
      </c>
      <c r="E29" s="137">
        <v>471</v>
      </c>
      <c r="F29" s="149">
        <v>1.7699695171916483E-4</v>
      </c>
      <c r="G29" s="149">
        <v>4.1661599715349937E-4</v>
      </c>
      <c r="H29" s="149">
        <v>3.0149934810951761E-4</v>
      </c>
      <c r="I29" s="149">
        <v>3.2356923660330618E-4</v>
      </c>
    </row>
    <row r="30" spans="1:9" x14ac:dyDescent="0.25">
      <c r="A30" s="171" t="s">
        <v>389</v>
      </c>
      <c r="B30" s="121">
        <v>3</v>
      </c>
      <c r="C30" s="121">
        <v>8</v>
      </c>
      <c r="D30" s="138">
        <v>15</v>
      </c>
      <c r="E30" s="137">
        <v>26</v>
      </c>
      <c r="F30" s="149">
        <v>1.9666327968796094E-5</v>
      </c>
      <c r="G30" s="149">
        <v>1.8015826903935109E-5</v>
      </c>
      <c r="H30" s="149">
        <v>1.7461352207114918E-5</v>
      </c>
      <c r="I30" s="149">
        <v>1.7861571447316266E-5</v>
      </c>
    </row>
    <row r="31" spans="1:9" x14ac:dyDescent="0.25">
      <c r="A31" s="175" t="s">
        <v>0</v>
      </c>
      <c r="B31" s="90">
        <v>24283</v>
      </c>
      <c r="C31" s="90">
        <v>55124</v>
      </c>
      <c r="D31" s="90">
        <v>94328</v>
      </c>
      <c r="E31" s="90">
        <v>173735</v>
      </c>
      <c r="F31" s="150">
        <v>0.15918581402209184</v>
      </c>
      <c r="G31" s="150">
        <v>0.12413805528156485</v>
      </c>
      <c r="H31" s="150">
        <v>0.10980629539951574</v>
      </c>
      <c r="I31" s="150">
        <v>0.1193530813615189</v>
      </c>
    </row>
    <row r="33" spans="1:102" ht="15.75" x14ac:dyDescent="0.25">
      <c r="A33" s="54" t="s">
        <v>536</v>
      </c>
    </row>
    <row r="34" spans="1:102" ht="25.5" x14ac:dyDescent="0.25">
      <c r="A34" s="126" t="s">
        <v>390</v>
      </c>
      <c r="B34" s="106" t="s">
        <v>138</v>
      </c>
      <c r="C34" s="106" t="s">
        <v>139</v>
      </c>
      <c r="D34" s="106" t="s">
        <v>477</v>
      </c>
      <c r="E34" s="106" t="s">
        <v>352</v>
      </c>
      <c r="F34" s="106" t="s">
        <v>399</v>
      </c>
      <c r="G34" s="106" t="s">
        <v>400</v>
      </c>
      <c r="H34" s="106" t="s">
        <v>478</v>
      </c>
      <c r="I34" s="106" t="s">
        <v>461</v>
      </c>
      <c r="CW34" s="169"/>
      <c r="CX34" s="169"/>
    </row>
    <row r="35" spans="1:102" x14ac:dyDescent="0.25">
      <c r="A35" s="171" t="s">
        <v>380</v>
      </c>
      <c r="B35" s="121">
        <v>2487</v>
      </c>
      <c r="C35" s="121">
        <v>2260</v>
      </c>
      <c r="D35" s="121">
        <v>0</v>
      </c>
      <c r="E35" s="137">
        <v>4747</v>
      </c>
      <c r="F35" s="149">
        <v>3.2064546822360863E-3</v>
      </c>
      <c r="G35" s="149">
        <v>3.3235831756101937E-3</v>
      </c>
      <c r="H35" s="149">
        <v>0</v>
      </c>
      <c r="I35" s="149">
        <v>3.2611107561696271E-3</v>
      </c>
      <c r="CW35" s="169"/>
      <c r="CX35" s="169"/>
    </row>
    <row r="36" spans="1:102" x14ac:dyDescent="0.25">
      <c r="A36" s="171" t="s">
        <v>381</v>
      </c>
      <c r="B36" s="121">
        <v>9002</v>
      </c>
      <c r="C36" s="121">
        <v>7447</v>
      </c>
      <c r="D36" s="121">
        <v>0</v>
      </c>
      <c r="E36" s="137">
        <v>16449</v>
      </c>
      <c r="F36" s="149">
        <v>1.1606154020703358E-2</v>
      </c>
      <c r="G36" s="149">
        <v>1.0951647747242971E-2</v>
      </c>
      <c r="H36" s="149">
        <v>0</v>
      </c>
      <c r="I36" s="149">
        <v>1.1300191874496355E-2</v>
      </c>
      <c r="CW36" s="169"/>
      <c r="CX36" s="169"/>
    </row>
    <row r="37" spans="1:102" x14ac:dyDescent="0.25">
      <c r="A37" s="171" t="s">
        <v>382</v>
      </c>
      <c r="B37" s="121">
        <v>208</v>
      </c>
      <c r="C37" s="121">
        <v>178</v>
      </c>
      <c r="D37" s="121">
        <v>0</v>
      </c>
      <c r="E37" s="137">
        <v>386</v>
      </c>
      <c r="F37" s="149">
        <v>2.6817152147370568E-4</v>
      </c>
      <c r="G37" s="149">
        <v>2.6176894037991793E-4</v>
      </c>
      <c r="H37" s="149">
        <v>0</v>
      </c>
      <c r="I37" s="149">
        <v>2.651756376409261E-4</v>
      </c>
      <c r="CW37" s="169"/>
      <c r="CX37" s="169"/>
    </row>
    <row r="38" spans="1:102" x14ac:dyDescent="0.25">
      <c r="A38" s="171" t="s">
        <v>383</v>
      </c>
      <c r="B38" s="121">
        <v>1226</v>
      </c>
      <c r="C38" s="121">
        <v>984</v>
      </c>
      <c r="D38" s="121">
        <v>0</v>
      </c>
      <c r="E38" s="137">
        <v>2210</v>
      </c>
      <c r="F38" s="149">
        <v>1.5806648333017458E-3</v>
      </c>
      <c r="G38" s="149">
        <v>1.4470822322125798E-3</v>
      </c>
      <c r="H38" s="149">
        <v>0</v>
      </c>
      <c r="I38" s="149">
        <v>1.5182335730218825E-3</v>
      </c>
      <c r="CW38" s="169"/>
      <c r="CX38" s="169"/>
    </row>
    <row r="39" spans="1:102" x14ac:dyDescent="0.25">
      <c r="A39" s="171" t="s">
        <v>384</v>
      </c>
      <c r="B39" s="121">
        <v>9369</v>
      </c>
      <c r="C39" s="121">
        <v>7888</v>
      </c>
      <c r="D39" s="121">
        <v>0</v>
      </c>
      <c r="E39" s="137">
        <v>17257</v>
      </c>
      <c r="F39" s="149">
        <v>1.2079322041765136E-2</v>
      </c>
      <c r="G39" s="149">
        <v>1.1600187650094339E-2</v>
      </c>
      <c r="H39" s="149">
        <v>0</v>
      </c>
      <c r="I39" s="149">
        <v>1.1855274556397568E-2</v>
      </c>
      <c r="CW39" s="169"/>
      <c r="CX39" s="169"/>
    </row>
    <row r="40" spans="1:102" x14ac:dyDescent="0.25">
      <c r="A40" s="171" t="s">
        <v>385</v>
      </c>
      <c r="B40" s="121">
        <v>36</v>
      </c>
      <c r="C40" s="121">
        <v>25</v>
      </c>
      <c r="D40" s="121">
        <v>0</v>
      </c>
      <c r="E40" s="137">
        <v>61</v>
      </c>
      <c r="F40" s="149">
        <v>4.6414301793525981E-5</v>
      </c>
      <c r="G40" s="149">
        <v>3.6765300615157012E-5</v>
      </c>
      <c r="H40" s="149">
        <v>0</v>
      </c>
      <c r="I40" s="149">
        <v>4.1905994549472772E-5</v>
      </c>
      <c r="CW40" s="169"/>
      <c r="CX40" s="169"/>
    </row>
    <row r="41" spans="1:102" x14ac:dyDescent="0.25">
      <c r="A41" s="171" t="s">
        <v>386</v>
      </c>
      <c r="B41" s="121">
        <v>74808</v>
      </c>
      <c r="C41" s="121">
        <v>55419</v>
      </c>
      <c r="D41" s="121">
        <v>1</v>
      </c>
      <c r="E41" s="137">
        <v>130228</v>
      </c>
      <c r="F41" s="149">
        <v>9.6448919126946989E-2</v>
      </c>
      <c r="G41" s="149">
        <v>8.149984779165545E-2</v>
      </c>
      <c r="H41" s="149">
        <v>3.7037037037037035E-2</v>
      </c>
      <c r="I41" s="149">
        <v>8.9464489478503939E-2</v>
      </c>
      <c r="CW41" s="169"/>
      <c r="CX41" s="169"/>
    </row>
    <row r="42" spans="1:102" x14ac:dyDescent="0.25">
      <c r="A42" s="171" t="s">
        <v>387</v>
      </c>
      <c r="B42" s="121">
        <v>1001</v>
      </c>
      <c r="C42" s="121">
        <v>899</v>
      </c>
      <c r="D42" s="121">
        <v>0</v>
      </c>
      <c r="E42" s="137">
        <v>1900</v>
      </c>
      <c r="F42" s="149">
        <v>1.2905754470922085E-3</v>
      </c>
      <c r="G42" s="149">
        <v>1.322080210121046E-3</v>
      </c>
      <c r="H42" s="149">
        <v>0</v>
      </c>
      <c r="I42" s="149">
        <v>1.3052686826884963E-3</v>
      </c>
      <c r="CW42" s="169"/>
      <c r="CX42" s="169"/>
    </row>
    <row r="43" spans="1:102" x14ac:dyDescent="0.25">
      <c r="A43" s="171" t="s">
        <v>388</v>
      </c>
      <c r="B43" s="121">
        <v>259</v>
      </c>
      <c r="C43" s="121">
        <v>212</v>
      </c>
      <c r="D43" s="121">
        <v>0</v>
      </c>
      <c r="E43" s="137">
        <v>471</v>
      </c>
      <c r="F43" s="149">
        <v>3.3392511568120078E-4</v>
      </c>
      <c r="G43" s="149">
        <v>3.1176974921653147E-4</v>
      </c>
      <c r="H43" s="149">
        <v>0</v>
      </c>
      <c r="I43" s="149">
        <v>3.2356923660330618E-4</v>
      </c>
      <c r="CW43" s="169"/>
      <c r="CX43" s="169"/>
    </row>
    <row r="44" spans="1:102" x14ac:dyDescent="0.25">
      <c r="A44" s="171" t="s">
        <v>389</v>
      </c>
      <c r="B44" s="121">
        <v>17</v>
      </c>
      <c r="C44" s="121">
        <v>9</v>
      </c>
      <c r="D44" s="121">
        <v>0</v>
      </c>
      <c r="E44" s="137">
        <v>26</v>
      </c>
      <c r="F44" s="149">
        <v>2.1917864735831711E-5</v>
      </c>
      <c r="G44" s="149">
        <v>1.3235508221456524E-5</v>
      </c>
      <c r="H44" s="149">
        <v>0</v>
      </c>
      <c r="I44" s="149">
        <v>1.7861571447316266E-5</v>
      </c>
      <c r="CW44" s="169"/>
      <c r="CX44" s="169"/>
    </row>
    <row r="45" spans="1:102" x14ac:dyDescent="0.25">
      <c r="A45" s="175" t="s">
        <v>0</v>
      </c>
      <c r="B45" s="90">
        <v>98413</v>
      </c>
      <c r="C45" s="90">
        <v>75321</v>
      </c>
      <c r="D45" s="90">
        <v>1</v>
      </c>
      <c r="E45" s="90">
        <v>173735</v>
      </c>
      <c r="F45" s="150">
        <v>0.12688251895572977</v>
      </c>
      <c r="G45" s="150">
        <v>0.11076796830536964</v>
      </c>
      <c r="H45" s="150">
        <v>3.7037037037037035E-2</v>
      </c>
      <c r="I45" s="150">
        <v>0.1193530813615189</v>
      </c>
      <c r="CW45" s="169"/>
      <c r="CX45" s="169"/>
    </row>
    <row r="46" spans="1:102" x14ac:dyDescent="0.25">
      <c r="D46" s="15"/>
    </row>
    <row r="47" spans="1:102" ht="15.75" x14ac:dyDescent="0.25">
      <c r="A47" s="54" t="s">
        <v>626</v>
      </c>
      <c r="D47" s="15"/>
      <c r="E47" s="15"/>
    </row>
    <row r="48" spans="1:102" ht="38.25" x14ac:dyDescent="0.25">
      <c r="A48" s="126" t="s">
        <v>44</v>
      </c>
      <c r="B48" s="181" t="s">
        <v>380</v>
      </c>
      <c r="C48" s="181" t="s">
        <v>381</v>
      </c>
      <c r="D48" s="181" t="s">
        <v>382</v>
      </c>
      <c r="E48" s="181" t="s">
        <v>383</v>
      </c>
      <c r="F48" s="181" t="s">
        <v>384</v>
      </c>
      <c r="G48" s="181" t="s">
        <v>385</v>
      </c>
      <c r="H48" s="181" t="s">
        <v>386</v>
      </c>
      <c r="I48" s="181" t="s">
        <v>387</v>
      </c>
      <c r="J48" s="181" t="s">
        <v>388</v>
      </c>
      <c r="K48" s="181" t="s">
        <v>389</v>
      </c>
      <c r="L48" s="181" t="s">
        <v>0</v>
      </c>
      <c r="M48" s="183" t="s">
        <v>392</v>
      </c>
      <c r="N48" s="183" t="s">
        <v>678</v>
      </c>
      <c r="O48" s="183" t="s">
        <v>487</v>
      </c>
    </row>
    <row r="49" spans="1:15" x14ac:dyDescent="0.25">
      <c r="A49" s="171" t="s">
        <v>229</v>
      </c>
      <c r="B49" s="121">
        <v>156</v>
      </c>
      <c r="C49" s="121">
        <v>5549</v>
      </c>
      <c r="D49" s="121">
        <v>1</v>
      </c>
      <c r="E49" s="121">
        <v>36</v>
      </c>
      <c r="F49" s="121">
        <v>334</v>
      </c>
      <c r="G49" s="121">
        <v>0</v>
      </c>
      <c r="H49" s="121">
        <v>639</v>
      </c>
      <c r="I49" s="121">
        <v>132</v>
      </c>
      <c r="J49" s="121">
        <v>0</v>
      </c>
      <c r="K49" s="121">
        <v>0</v>
      </c>
      <c r="L49" s="90">
        <v>6847</v>
      </c>
      <c r="M49" s="121">
        <v>17553</v>
      </c>
      <c r="N49" s="149">
        <f>L49/M49</f>
        <v>0.39007577052355724</v>
      </c>
      <c r="O49" s="149">
        <f>L49/L$65</f>
        <v>3.9410596598267476E-2</v>
      </c>
    </row>
    <row r="50" spans="1:15" x14ac:dyDescent="0.25">
      <c r="A50" s="171" t="s">
        <v>230</v>
      </c>
      <c r="B50" s="121">
        <v>152</v>
      </c>
      <c r="C50" s="121">
        <v>3816</v>
      </c>
      <c r="D50" s="121">
        <v>5</v>
      </c>
      <c r="E50" s="121">
        <v>59</v>
      </c>
      <c r="F50" s="121">
        <v>866</v>
      </c>
      <c r="G50" s="121">
        <v>0</v>
      </c>
      <c r="H50" s="121">
        <v>840</v>
      </c>
      <c r="I50" s="121">
        <v>271</v>
      </c>
      <c r="J50" s="121">
        <v>1</v>
      </c>
      <c r="K50" s="121">
        <v>0</v>
      </c>
      <c r="L50" s="90">
        <v>6010</v>
      </c>
      <c r="M50" s="121">
        <v>20264</v>
      </c>
      <c r="N50" s="149">
        <f t="shared" ref="N50:N65" si="0">L50/M50</f>
        <v>0.29658507698381364</v>
      </c>
      <c r="O50" s="149">
        <f t="shared" ref="O50:O65" si="1">L50/L$65</f>
        <v>3.4592914496215502E-2</v>
      </c>
    </row>
    <row r="51" spans="1:15" x14ac:dyDescent="0.25">
      <c r="A51" s="171" t="s">
        <v>231</v>
      </c>
      <c r="B51" s="121">
        <v>2073</v>
      </c>
      <c r="C51" s="121">
        <v>850</v>
      </c>
      <c r="D51" s="121">
        <v>66</v>
      </c>
      <c r="E51" s="121">
        <v>62</v>
      </c>
      <c r="F51" s="121">
        <v>1234</v>
      </c>
      <c r="G51" s="121">
        <v>0</v>
      </c>
      <c r="H51" s="121">
        <v>989</v>
      </c>
      <c r="I51" s="121">
        <v>617</v>
      </c>
      <c r="J51" s="121">
        <v>5</v>
      </c>
      <c r="K51" s="121">
        <v>0</v>
      </c>
      <c r="L51" s="90">
        <v>5896</v>
      </c>
      <c r="M51" s="121">
        <v>38121</v>
      </c>
      <c r="N51" s="149">
        <f t="shared" si="0"/>
        <v>0.15466540751816585</v>
      </c>
      <c r="O51" s="149">
        <f t="shared" si="1"/>
        <v>3.3936742740380464E-2</v>
      </c>
    </row>
    <row r="52" spans="1:15" x14ac:dyDescent="0.25">
      <c r="A52" s="171" t="s">
        <v>232</v>
      </c>
      <c r="B52" s="121">
        <v>32</v>
      </c>
      <c r="C52" s="121">
        <v>164</v>
      </c>
      <c r="D52" s="121">
        <v>39</v>
      </c>
      <c r="E52" s="121">
        <v>976</v>
      </c>
      <c r="F52" s="121">
        <v>2535</v>
      </c>
      <c r="G52" s="121">
        <v>0</v>
      </c>
      <c r="H52" s="121">
        <v>581</v>
      </c>
      <c r="I52" s="121">
        <v>18</v>
      </c>
      <c r="J52" s="121">
        <v>2</v>
      </c>
      <c r="K52" s="121">
        <v>0</v>
      </c>
      <c r="L52" s="90">
        <v>4347</v>
      </c>
      <c r="M52" s="121">
        <v>12907</v>
      </c>
      <c r="N52" s="149">
        <f t="shared" si="0"/>
        <v>0.3367939877585806</v>
      </c>
      <c r="O52" s="149">
        <f t="shared" si="1"/>
        <v>2.5020865110657035E-2</v>
      </c>
    </row>
    <row r="53" spans="1:15" x14ac:dyDescent="0.25">
      <c r="A53" s="171" t="s">
        <v>233</v>
      </c>
      <c r="B53" s="121">
        <v>273</v>
      </c>
      <c r="C53" s="121">
        <v>481</v>
      </c>
      <c r="D53" s="121">
        <v>103</v>
      </c>
      <c r="E53" s="121">
        <v>210</v>
      </c>
      <c r="F53" s="121">
        <v>4713</v>
      </c>
      <c r="G53" s="121">
        <v>1</v>
      </c>
      <c r="H53" s="121">
        <v>1263</v>
      </c>
      <c r="I53" s="121">
        <v>64</v>
      </c>
      <c r="J53" s="121">
        <v>4</v>
      </c>
      <c r="K53" s="121">
        <v>0</v>
      </c>
      <c r="L53" s="90">
        <v>7112</v>
      </c>
      <c r="M53" s="121">
        <v>47508</v>
      </c>
      <c r="N53" s="149">
        <f t="shared" si="0"/>
        <v>0.14970110297213102</v>
      </c>
      <c r="O53" s="149">
        <f t="shared" si="1"/>
        <v>4.0935908135954185E-2</v>
      </c>
    </row>
    <row r="54" spans="1:15" x14ac:dyDescent="0.25">
      <c r="A54" s="171" t="s">
        <v>234</v>
      </c>
      <c r="B54" s="121">
        <v>290</v>
      </c>
      <c r="C54" s="121">
        <v>765</v>
      </c>
      <c r="D54" s="121">
        <v>43</v>
      </c>
      <c r="E54" s="121">
        <v>119</v>
      </c>
      <c r="F54" s="121">
        <v>1643</v>
      </c>
      <c r="G54" s="121">
        <v>1</v>
      </c>
      <c r="H54" s="121">
        <v>5660</v>
      </c>
      <c r="I54" s="121">
        <v>116</v>
      </c>
      <c r="J54" s="121">
        <v>112</v>
      </c>
      <c r="K54" s="121">
        <v>3</v>
      </c>
      <c r="L54" s="90">
        <v>8752</v>
      </c>
      <c r="M54" s="121">
        <v>135643</v>
      </c>
      <c r="N54" s="149">
        <f t="shared" si="0"/>
        <v>6.4522312246116639E-2</v>
      </c>
      <c r="O54" s="149">
        <f t="shared" si="1"/>
        <v>5.0375571991826636E-2</v>
      </c>
    </row>
    <row r="55" spans="1:15" x14ac:dyDescent="0.25">
      <c r="A55" s="171" t="s">
        <v>235</v>
      </c>
      <c r="B55" s="121">
        <v>1555</v>
      </c>
      <c r="C55" s="121">
        <v>4011</v>
      </c>
      <c r="D55" s="121">
        <v>115</v>
      </c>
      <c r="E55" s="121">
        <v>692</v>
      </c>
      <c r="F55" s="121">
        <v>5250</v>
      </c>
      <c r="G55" s="121">
        <v>20</v>
      </c>
      <c r="H55" s="121">
        <v>51908</v>
      </c>
      <c r="I55" s="121">
        <v>566</v>
      </c>
      <c r="J55" s="121">
        <v>284</v>
      </c>
      <c r="K55" s="121">
        <v>9</v>
      </c>
      <c r="L55" s="90">
        <v>64410</v>
      </c>
      <c r="M55" s="121">
        <v>774986</v>
      </c>
      <c r="N55" s="149">
        <f t="shared" si="0"/>
        <v>8.3111178782584463E-2</v>
      </c>
      <c r="O55" s="149">
        <f t="shared" si="1"/>
        <v>0.37073704204679542</v>
      </c>
    </row>
    <row r="56" spans="1:15" x14ac:dyDescent="0.25">
      <c r="A56" s="171" t="s">
        <v>325</v>
      </c>
      <c r="B56" s="121">
        <v>8</v>
      </c>
      <c r="C56" s="121">
        <v>48</v>
      </c>
      <c r="D56" s="121">
        <v>1</v>
      </c>
      <c r="E56" s="121">
        <v>4</v>
      </c>
      <c r="F56" s="121">
        <v>67</v>
      </c>
      <c r="G56" s="121">
        <v>0</v>
      </c>
      <c r="H56" s="121">
        <v>1695</v>
      </c>
      <c r="I56" s="121">
        <v>11</v>
      </c>
      <c r="J56" s="121">
        <v>5</v>
      </c>
      <c r="K56" s="121">
        <v>0</v>
      </c>
      <c r="L56" s="90">
        <v>1839</v>
      </c>
      <c r="M56" s="121">
        <v>31269</v>
      </c>
      <c r="N56" s="149">
        <f t="shared" si="0"/>
        <v>5.8812242156768682E-2</v>
      </c>
      <c r="O56" s="149">
        <f t="shared" si="1"/>
        <v>1.0585086482286241E-2</v>
      </c>
    </row>
    <row r="57" spans="1:15" x14ac:dyDescent="0.25">
      <c r="A57" s="171" t="s">
        <v>236</v>
      </c>
      <c r="B57" s="121">
        <v>12</v>
      </c>
      <c r="C57" s="121">
        <v>82</v>
      </c>
      <c r="D57" s="121">
        <v>0</v>
      </c>
      <c r="E57" s="121">
        <v>4</v>
      </c>
      <c r="F57" s="121">
        <v>108</v>
      </c>
      <c r="G57" s="121">
        <v>0</v>
      </c>
      <c r="H57" s="121">
        <v>2889</v>
      </c>
      <c r="I57" s="121">
        <v>17</v>
      </c>
      <c r="J57" s="121">
        <v>2</v>
      </c>
      <c r="K57" s="121">
        <v>2</v>
      </c>
      <c r="L57" s="90">
        <v>3116</v>
      </c>
      <c r="M57" s="121">
        <v>63245</v>
      </c>
      <c r="N57" s="149">
        <f t="shared" si="0"/>
        <v>4.9268716894616177E-2</v>
      </c>
      <c r="O57" s="149">
        <f t="shared" si="1"/>
        <v>1.7935361326157653E-2</v>
      </c>
    </row>
    <row r="58" spans="1:15" x14ac:dyDescent="0.25">
      <c r="A58" s="171" t="s">
        <v>293</v>
      </c>
      <c r="B58" s="121">
        <v>10</v>
      </c>
      <c r="C58" s="121">
        <v>81</v>
      </c>
      <c r="D58" s="121">
        <v>0</v>
      </c>
      <c r="E58" s="121">
        <v>4</v>
      </c>
      <c r="F58" s="121">
        <v>40</v>
      </c>
      <c r="G58" s="121">
        <v>1</v>
      </c>
      <c r="H58" s="121">
        <v>963</v>
      </c>
      <c r="I58" s="121">
        <v>3</v>
      </c>
      <c r="J58" s="121">
        <v>2</v>
      </c>
      <c r="K58" s="121">
        <v>0</v>
      </c>
      <c r="L58" s="90">
        <v>1104</v>
      </c>
      <c r="M58" s="121">
        <v>23608</v>
      </c>
      <c r="N58" s="149">
        <f t="shared" si="0"/>
        <v>4.6763808878346323E-2</v>
      </c>
      <c r="O58" s="149">
        <f t="shared" si="1"/>
        <v>6.3545054249287709E-3</v>
      </c>
    </row>
    <row r="59" spans="1:15" x14ac:dyDescent="0.25">
      <c r="A59" s="171" t="s">
        <v>242</v>
      </c>
      <c r="B59" s="121">
        <v>115</v>
      </c>
      <c r="C59" s="121">
        <v>332</v>
      </c>
      <c r="D59" s="121">
        <v>5</v>
      </c>
      <c r="E59" s="121">
        <v>19</v>
      </c>
      <c r="F59" s="121">
        <v>220</v>
      </c>
      <c r="G59" s="121">
        <v>5</v>
      </c>
      <c r="H59" s="121">
        <v>12117</v>
      </c>
      <c r="I59" s="121">
        <v>53</v>
      </c>
      <c r="J59" s="121">
        <v>10</v>
      </c>
      <c r="K59" s="121">
        <v>1</v>
      </c>
      <c r="L59" s="90">
        <v>12877</v>
      </c>
      <c r="M59" s="121">
        <v>133028</v>
      </c>
      <c r="N59" s="149">
        <f t="shared" si="0"/>
        <v>9.6799170099527918E-2</v>
      </c>
      <c r="O59" s="149">
        <f t="shared" si="1"/>
        <v>7.4118628946383866E-2</v>
      </c>
    </row>
    <row r="60" spans="1:15" x14ac:dyDescent="0.25">
      <c r="A60" s="171" t="s">
        <v>244</v>
      </c>
      <c r="B60" s="121">
        <v>28</v>
      </c>
      <c r="C60" s="121">
        <v>125</v>
      </c>
      <c r="D60" s="121">
        <v>4</v>
      </c>
      <c r="E60" s="121">
        <v>12</v>
      </c>
      <c r="F60" s="121">
        <v>117</v>
      </c>
      <c r="G60" s="121">
        <v>1</v>
      </c>
      <c r="H60" s="121">
        <v>22816</v>
      </c>
      <c r="I60" s="121">
        <v>15</v>
      </c>
      <c r="J60" s="121">
        <v>17</v>
      </c>
      <c r="K60" s="121">
        <v>0</v>
      </c>
      <c r="L60" s="90">
        <v>23135</v>
      </c>
      <c r="M60" s="121">
        <v>71511</v>
      </c>
      <c r="N60" s="149">
        <f t="shared" si="0"/>
        <v>0.32351666177231475</v>
      </c>
      <c r="O60" s="149">
        <f t="shared" si="1"/>
        <v>0.13316257518634703</v>
      </c>
    </row>
    <row r="61" spans="1:15" x14ac:dyDescent="0.25">
      <c r="A61" s="171" t="s">
        <v>238</v>
      </c>
      <c r="B61" s="121">
        <v>25</v>
      </c>
      <c r="C61" s="121">
        <v>65</v>
      </c>
      <c r="D61" s="121">
        <v>1</v>
      </c>
      <c r="E61" s="121">
        <v>8</v>
      </c>
      <c r="F61" s="121">
        <v>52</v>
      </c>
      <c r="G61" s="121">
        <v>1</v>
      </c>
      <c r="H61" s="121">
        <v>7369</v>
      </c>
      <c r="I61" s="121">
        <v>7</v>
      </c>
      <c r="J61" s="121">
        <v>13</v>
      </c>
      <c r="K61" s="121">
        <v>2</v>
      </c>
      <c r="L61" s="90">
        <v>7543</v>
      </c>
      <c r="M61" s="121">
        <v>29318</v>
      </c>
      <c r="N61" s="149">
        <f t="shared" si="0"/>
        <v>0.25728221570366328</v>
      </c>
      <c r="O61" s="149">
        <f t="shared" si="1"/>
        <v>4.341669784441822E-2</v>
      </c>
    </row>
    <row r="62" spans="1:15" x14ac:dyDescent="0.25">
      <c r="A62" s="171" t="s">
        <v>239</v>
      </c>
      <c r="B62" s="121">
        <v>10</v>
      </c>
      <c r="C62" s="121">
        <v>58</v>
      </c>
      <c r="D62" s="121">
        <v>3</v>
      </c>
      <c r="E62" s="121">
        <v>5</v>
      </c>
      <c r="F62" s="121">
        <v>58</v>
      </c>
      <c r="G62" s="121">
        <v>1</v>
      </c>
      <c r="H62" s="121">
        <v>16651</v>
      </c>
      <c r="I62" s="121">
        <v>5</v>
      </c>
      <c r="J62" s="121">
        <v>4</v>
      </c>
      <c r="K62" s="121">
        <v>0</v>
      </c>
      <c r="L62" s="90">
        <v>16795</v>
      </c>
      <c r="M62" s="121">
        <v>46071</v>
      </c>
      <c r="N62" s="149">
        <f t="shared" si="0"/>
        <v>0.36454602678474529</v>
      </c>
      <c r="O62" s="149">
        <f t="shared" si="1"/>
        <v>9.6670216133766945E-2</v>
      </c>
    </row>
    <row r="63" spans="1:15" x14ac:dyDescent="0.25">
      <c r="A63" s="171" t="s">
        <v>240</v>
      </c>
      <c r="B63" s="121">
        <v>1</v>
      </c>
      <c r="C63" s="121">
        <v>4</v>
      </c>
      <c r="D63" s="121">
        <v>0</v>
      </c>
      <c r="E63" s="121">
        <v>0</v>
      </c>
      <c r="F63" s="121">
        <v>2</v>
      </c>
      <c r="G63" s="121">
        <v>0</v>
      </c>
      <c r="H63" s="121">
        <v>1258</v>
      </c>
      <c r="I63" s="121">
        <v>1</v>
      </c>
      <c r="J63" s="121">
        <v>0</v>
      </c>
      <c r="K63" s="121">
        <v>0</v>
      </c>
      <c r="L63" s="90">
        <v>1266</v>
      </c>
      <c r="M63" s="121">
        <v>2799</v>
      </c>
      <c r="N63" s="149">
        <f t="shared" si="0"/>
        <v>0.45230439442658094</v>
      </c>
      <c r="O63" s="149">
        <f t="shared" si="1"/>
        <v>7.2869600253259274E-3</v>
      </c>
    </row>
    <row r="64" spans="1:15" x14ac:dyDescent="0.25">
      <c r="A64" s="171" t="s">
        <v>241</v>
      </c>
      <c r="B64" s="121">
        <v>7</v>
      </c>
      <c r="C64" s="121">
        <v>18</v>
      </c>
      <c r="D64" s="121">
        <v>0</v>
      </c>
      <c r="E64" s="121">
        <v>0</v>
      </c>
      <c r="F64" s="121">
        <v>18</v>
      </c>
      <c r="G64" s="121">
        <v>30</v>
      </c>
      <c r="H64" s="121">
        <v>2590</v>
      </c>
      <c r="I64" s="121">
        <v>4</v>
      </c>
      <c r="J64" s="121">
        <v>10</v>
      </c>
      <c r="K64" s="121">
        <v>9</v>
      </c>
      <c r="L64" s="90">
        <v>2686</v>
      </c>
      <c r="M64" s="121">
        <v>7808</v>
      </c>
      <c r="N64" s="149">
        <f t="shared" si="0"/>
        <v>0.34400614754098363</v>
      </c>
      <c r="O64" s="149">
        <f t="shared" si="1"/>
        <v>1.5460327510288658E-2</v>
      </c>
    </row>
    <row r="65" spans="1:15" x14ac:dyDescent="0.25">
      <c r="A65" s="80" t="s">
        <v>0</v>
      </c>
      <c r="B65" s="89">
        <v>4747</v>
      </c>
      <c r="C65" s="89">
        <v>16449</v>
      </c>
      <c r="D65" s="89">
        <v>386</v>
      </c>
      <c r="E65" s="89">
        <v>2210</v>
      </c>
      <c r="F65" s="89">
        <v>17257</v>
      </c>
      <c r="G65" s="89">
        <v>61</v>
      </c>
      <c r="H65" s="89">
        <v>130228</v>
      </c>
      <c r="I65" s="89">
        <v>1900</v>
      </c>
      <c r="J65" s="89">
        <v>471</v>
      </c>
      <c r="K65" s="89">
        <v>26</v>
      </c>
      <c r="L65" s="89">
        <v>173735</v>
      </c>
      <c r="M65" s="89">
        <v>1455639</v>
      </c>
      <c r="N65" s="150">
        <f t="shared" si="0"/>
        <v>0.1193530813615189</v>
      </c>
      <c r="O65" s="220">
        <f t="shared" si="1"/>
        <v>1</v>
      </c>
    </row>
    <row r="67" spans="1:15" ht="15.75" x14ac:dyDescent="0.25">
      <c r="A67" s="54" t="s">
        <v>673</v>
      </c>
      <c r="D67" s="15"/>
      <c r="E67" s="15"/>
    </row>
    <row r="68" spans="1:15" ht="38.25" x14ac:dyDescent="0.25">
      <c r="A68" s="126" t="s">
        <v>54</v>
      </c>
      <c r="B68" s="181" t="s">
        <v>380</v>
      </c>
      <c r="C68" s="181" t="s">
        <v>381</v>
      </c>
      <c r="D68" s="181" t="s">
        <v>382</v>
      </c>
      <c r="E68" s="181" t="s">
        <v>383</v>
      </c>
      <c r="F68" s="181" t="s">
        <v>384</v>
      </c>
      <c r="G68" s="181" t="s">
        <v>385</v>
      </c>
      <c r="H68" s="181" t="s">
        <v>386</v>
      </c>
      <c r="I68" s="181" t="s">
        <v>387</v>
      </c>
      <c r="J68" s="181" t="s">
        <v>388</v>
      </c>
      <c r="K68" s="181" t="s">
        <v>389</v>
      </c>
      <c r="L68" s="181" t="s">
        <v>0</v>
      </c>
      <c r="M68" s="181" t="s">
        <v>392</v>
      </c>
      <c r="N68" s="183" t="s">
        <v>678</v>
      </c>
      <c r="O68" s="183" t="s">
        <v>676</v>
      </c>
    </row>
    <row r="69" spans="1:15" x14ac:dyDescent="0.25">
      <c r="A69" s="171" t="s">
        <v>45</v>
      </c>
      <c r="B69" s="121">
        <v>780</v>
      </c>
      <c r="C69" s="121">
        <v>2999</v>
      </c>
      <c r="D69" s="121">
        <v>72</v>
      </c>
      <c r="E69" s="121">
        <v>289</v>
      </c>
      <c r="F69" s="121">
        <v>2642</v>
      </c>
      <c r="G69" s="121">
        <v>13</v>
      </c>
      <c r="H69" s="121">
        <v>22985</v>
      </c>
      <c r="I69" s="121">
        <v>319</v>
      </c>
      <c r="J69" s="121">
        <v>116</v>
      </c>
      <c r="K69" s="121">
        <v>7</v>
      </c>
      <c r="L69" s="90">
        <f>SUM(B69:K69)</f>
        <v>30222</v>
      </c>
      <c r="M69" s="121">
        <v>274359</v>
      </c>
      <c r="N69" s="149">
        <f>L69/M69</f>
        <v>0.11015494297617355</v>
      </c>
      <c r="O69" s="149">
        <f>L69/L$65</f>
        <v>0.17395458600742511</v>
      </c>
    </row>
    <row r="70" spans="1:15" x14ac:dyDescent="0.25">
      <c r="A70" s="171" t="s">
        <v>46</v>
      </c>
      <c r="B70" s="121">
        <v>84</v>
      </c>
      <c r="C70" s="121">
        <v>494</v>
      </c>
      <c r="D70" s="121">
        <v>5</v>
      </c>
      <c r="E70" s="121">
        <v>37</v>
      </c>
      <c r="F70" s="121">
        <v>366</v>
      </c>
      <c r="G70" s="121">
        <v>3</v>
      </c>
      <c r="H70" s="121">
        <v>5310</v>
      </c>
      <c r="I70" s="121">
        <v>30</v>
      </c>
      <c r="J70" s="121">
        <v>20</v>
      </c>
      <c r="K70" s="121"/>
      <c r="L70" s="90">
        <f t="shared" ref="L70:L78" si="2">SUM(B70:K70)</f>
        <v>6349</v>
      </c>
      <c r="M70" s="121">
        <v>46010</v>
      </c>
      <c r="N70" s="149">
        <f t="shared" ref="N70:N79" si="3">L70/M70</f>
        <v>0.13799174092588568</v>
      </c>
      <c r="O70" s="149">
        <f t="shared" ref="O70:O79" si="4">L70/L$65</f>
        <v>3.6544162085935479E-2</v>
      </c>
    </row>
    <row r="71" spans="1:15" x14ac:dyDescent="0.25">
      <c r="A71" s="171" t="s">
        <v>47</v>
      </c>
      <c r="B71" s="121">
        <v>162</v>
      </c>
      <c r="C71" s="121">
        <v>576</v>
      </c>
      <c r="D71" s="121">
        <v>20</v>
      </c>
      <c r="E71" s="121">
        <v>60</v>
      </c>
      <c r="F71" s="121">
        <v>711</v>
      </c>
      <c r="G71" s="121"/>
      <c r="H71" s="121">
        <v>5610</v>
      </c>
      <c r="I71" s="121">
        <v>77</v>
      </c>
      <c r="J71" s="121">
        <v>25</v>
      </c>
      <c r="K71" s="121">
        <v>1</v>
      </c>
      <c r="L71" s="90">
        <f t="shared" si="2"/>
        <v>7242</v>
      </c>
      <c r="M71" s="121">
        <v>76386</v>
      </c>
      <c r="N71" s="149">
        <f t="shared" si="3"/>
        <v>9.4807949100620528E-2</v>
      </c>
      <c r="O71" s="149">
        <f t="shared" si="4"/>
        <v>4.1684174173309926E-2</v>
      </c>
    </row>
    <row r="72" spans="1:15" x14ac:dyDescent="0.25">
      <c r="A72" s="171" t="s">
        <v>48</v>
      </c>
      <c r="B72" s="121">
        <v>113</v>
      </c>
      <c r="C72" s="121">
        <v>283</v>
      </c>
      <c r="D72" s="121">
        <v>8</v>
      </c>
      <c r="E72" s="121">
        <v>62</v>
      </c>
      <c r="F72" s="121">
        <v>446</v>
      </c>
      <c r="G72" s="121">
        <v>3</v>
      </c>
      <c r="H72" s="121">
        <v>2275</v>
      </c>
      <c r="I72" s="121">
        <v>45</v>
      </c>
      <c r="J72" s="121">
        <v>13</v>
      </c>
      <c r="K72" s="121">
        <v>1</v>
      </c>
      <c r="L72" s="90">
        <f t="shared" si="2"/>
        <v>3249</v>
      </c>
      <c r="M72" s="121">
        <v>32119</v>
      </c>
      <c r="N72" s="149">
        <f t="shared" si="3"/>
        <v>0.10115507954793113</v>
      </c>
      <c r="O72" s="149">
        <f t="shared" si="4"/>
        <v>1.8700895041298529E-2</v>
      </c>
    </row>
    <row r="73" spans="1:15" x14ac:dyDescent="0.25">
      <c r="A73" s="171" t="s">
        <v>49</v>
      </c>
      <c r="B73" s="121">
        <v>364</v>
      </c>
      <c r="C73" s="121">
        <v>1664</v>
      </c>
      <c r="D73" s="121">
        <v>36</v>
      </c>
      <c r="E73" s="121">
        <v>213</v>
      </c>
      <c r="F73" s="121">
        <v>1641</v>
      </c>
      <c r="G73" s="121">
        <v>10</v>
      </c>
      <c r="H73" s="121">
        <v>14407</v>
      </c>
      <c r="I73" s="121">
        <v>149</v>
      </c>
      <c r="J73" s="121">
        <v>63</v>
      </c>
      <c r="K73" s="121">
        <v>4</v>
      </c>
      <c r="L73" s="90">
        <f t="shared" si="2"/>
        <v>18551</v>
      </c>
      <c r="M73" s="121">
        <v>160190</v>
      </c>
      <c r="N73" s="149">
        <f t="shared" si="3"/>
        <v>0.11580623010175417</v>
      </c>
      <c r="O73" s="149">
        <f t="shared" si="4"/>
        <v>0.10677756353066452</v>
      </c>
    </row>
    <row r="74" spans="1:15" x14ac:dyDescent="0.25">
      <c r="A74" s="171" t="s">
        <v>7</v>
      </c>
      <c r="B74" s="121">
        <v>157</v>
      </c>
      <c r="C74" s="121">
        <v>648</v>
      </c>
      <c r="D74" s="121">
        <v>13</v>
      </c>
      <c r="E74" s="121">
        <v>83</v>
      </c>
      <c r="F74" s="121">
        <v>647</v>
      </c>
      <c r="G74" s="121">
        <v>3</v>
      </c>
      <c r="H74" s="121">
        <v>4851</v>
      </c>
      <c r="I74" s="121">
        <v>73</v>
      </c>
      <c r="J74" s="121">
        <v>15</v>
      </c>
      <c r="K74" s="121"/>
      <c r="L74" s="90">
        <f t="shared" si="2"/>
        <v>6490</v>
      </c>
      <c r="M74" s="121">
        <v>61659</v>
      </c>
      <c r="N74" s="149">
        <f t="shared" si="3"/>
        <v>0.10525632916524758</v>
      </c>
      <c r="O74" s="149">
        <f t="shared" si="4"/>
        <v>3.7355742941836703E-2</v>
      </c>
    </row>
    <row r="75" spans="1:15" x14ac:dyDescent="0.25">
      <c r="A75" s="171" t="s">
        <v>50</v>
      </c>
      <c r="B75" s="121">
        <v>429</v>
      </c>
      <c r="C75" s="121">
        <v>1782</v>
      </c>
      <c r="D75" s="121">
        <v>42</v>
      </c>
      <c r="E75" s="121">
        <v>223</v>
      </c>
      <c r="F75" s="121">
        <v>1791</v>
      </c>
      <c r="G75" s="121">
        <v>7</v>
      </c>
      <c r="H75" s="121">
        <v>13983</v>
      </c>
      <c r="I75" s="121">
        <v>172</v>
      </c>
      <c r="J75" s="121">
        <v>21</v>
      </c>
      <c r="K75" s="121">
        <v>2</v>
      </c>
      <c r="L75" s="90">
        <f t="shared" si="2"/>
        <v>18452</v>
      </c>
      <c r="M75" s="121">
        <v>136745</v>
      </c>
      <c r="N75" s="149">
        <f t="shared" si="3"/>
        <v>0.13493729203992832</v>
      </c>
      <c r="O75" s="149">
        <f t="shared" si="4"/>
        <v>0.10620773016375515</v>
      </c>
    </row>
    <row r="76" spans="1:15" x14ac:dyDescent="0.25">
      <c r="A76" s="171" t="s">
        <v>51</v>
      </c>
      <c r="B76" s="121">
        <v>21</v>
      </c>
      <c r="C76" s="121">
        <v>128</v>
      </c>
      <c r="D76" s="121">
        <v>1</v>
      </c>
      <c r="E76" s="121">
        <v>14</v>
      </c>
      <c r="F76" s="121">
        <v>115</v>
      </c>
      <c r="G76" s="121">
        <v>1</v>
      </c>
      <c r="H76" s="121">
        <v>670</v>
      </c>
      <c r="I76" s="121">
        <v>11</v>
      </c>
      <c r="J76" s="121">
        <v>4</v>
      </c>
      <c r="K76" s="121"/>
      <c r="L76" s="90">
        <f t="shared" si="2"/>
        <v>965</v>
      </c>
      <c r="M76" s="121">
        <v>11465</v>
      </c>
      <c r="N76" s="149">
        <f t="shared" si="3"/>
        <v>8.4169210641081557E-2</v>
      </c>
      <c r="O76" s="149">
        <f t="shared" si="4"/>
        <v>5.5544363542176303E-3</v>
      </c>
    </row>
    <row r="77" spans="1:15" x14ac:dyDescent="0.25">
      <c r="A77" s="171" t="s">
        <v>52</v>
      </c>
      <c r="B77" s="121">
        <v>681</v>
      </c>
      <c r="C77" s="121">
        <v>2929</v>
      </c>
      <c r="D77" s="121">
        <v>61</v>
      </c>
      <c r="E77" s="121">
        <v>371</v>
      </c>
      <c r="F77" s="121">
        <v>3116</v>
      </c>
      <c r="G77" s="121">
        <v>8</v>
      </c>
      <c r="H77" s="121">
        <v>27185</v>
      </c>
      <c r="I77" s="121">
        <v>290</v>
      </c>
      <c r="J77" s="121">
        <v>83</v>
      </c>
      <c r="K77" s="121">
        <v>5</v>
      </c>
      <c r="L77" s="90">
        <f t="shared" si="2"/>
        <v>34729</v>
      </c>
      <c r="M77" s="121">
        <v>273466</v>
      </c>
      <c r="N77" s="149">
        <f t="shared" si="3"/>
        <v>0.12699567770764922</v>
      </c>
      <c r="O77" s="149">
        <f t="shared" si="4"/>
        <v>0.1998963939332892</v>
      </c>
    </row>
    <row r="78" spans="1:15" x14ac:dyDescent="0.25">
      <c r="A78" s="171" t="s">
        <v>53</v>
      </c>
      <c r="B78" s="121">
        <v>1956</v>
      </c>
      <c r="C78" s="121">
        <v>4946</v>
      </c>
      <c r="D78" s="121">
        <v>128</v>
      </c>
      <c r="E78" s="121">
        <v>858</v>
      </c>
      <c r="F78" s="121">
        <v>5782</v>
      </c>
      <c r="G78" s="121">
        <v>13</v>
      </c>
      <c r="H78" s="121">
        <v>32952</v>
      </c>
      <c r="I78" s="121">
        <v>734</v>
      </c>
      <c r="J78" s="121">
        <v>111</v>
      </c>
      <c r="K78" s="121">
        <v>6</v>
      </c>
      <c r="L78" s="90">
        <f t="shared" si="2"/>
        <v>47486</v>
      </c>
      <c r="M78" s="121">
        <v>383240</v>
      </c>
      <c r="N78" s="149">
        <f t="shared" si="3"/>
        <v>0.12390669032460078</v>
      </c>
      <c r="O78" s="149">
        <f t="shared" si="4"/>
        <v>0.27332431576826777</v>
      </c>
    </row>
    <row r="79" spans="1:15" x14ac:dyDescent="0.25">
      <c r="A79" s="80" t="s">
        <v>0</v>
      </c>
      <c r="B79" s="89">
        <v>4747</v>
      </c>
      <c r="C79" s="89">
        <v>16449</v>
      </c>
      <c r="D79" s="89">
        <v>386</v>
      </c>
      <c r="E79" s="89">
        <v>2210</v>
      </c>
      <c r="F79" s="89">
        <v>17257</v>
      </c>
      <c r="G79" s="89">
        <v>61</v>
      </c>
      <c r="H79" s="89">
        <v>130228</v>
      </c>
      <c r="I79" s="89">
        <v>1900</v>
      </c>
      <c r="J79" s="89">
        <v>471</v>
      </c>
      <c r="K79" s="89">
        <v>26</v>
      </c>
      <c r="L79" s="89">
        <v>173735</v>
      </c>
      <c r="M79" s="89">
        <v>1455639</v>
      </c>
      <c r="N79" s="150">
        <f t="shared" si="3"/>
        <v>0.1193530813615189</v>
      </c>
      <c r="O79" s="220">
        <f t="shared" si="4"/>
        <v>1</v>
      </c>
    </row>
    <row r="81" spans="1:15" ht="15.75" x14ac:dyDescent="0.25">
      <c r="A81" s="54" t="s">
        <v>672</v>
      </c>
      <c r="D81" s="15"/>
      <c r="E81" s="15"/>
    </row>
    <row r="82" spans="1:15" ht="51" x14ac:dyDescent="0.25">
      <c r="A82" s="126" t="s">
        <v>54</v>
      </c>
      <c r="B82" s="181" t="s">
        <v>380</v>
      </c>
      <c r="C82" s="181" t="s">
        <v>381</v>
      </c>
      <c r="D82" s="181" t="s">
        <v>382</v>
      </c>
      <c r="E82" s="181" t="s">
        <v>383</v>
      </c>
      <c r="F82" s="181" t="s">
        <v>384</v>
      </c>
      <c r="G82" s="181" t="s">
        <v>385</v>
      </c>
      <c r="H82" s="181" t="s">
        <v>386</v>
      </c>
      <c r="I82" s="181" t="s">
        <v>387</v>
      </c>
      <c r="J82" s="181" t="s">
        <v>388</v>
      </c>
      <c r="K82" s="181" t="s">
        <v>389</v>
      </c>
      <c r="L82" s="181" t="s">
        <v>0</v>
      </c>
      <c r="M82" s="181" t="s">
        <v>392</v>
      </c>
      <c r="N82" s="183" t="s">
        <v>678</v>
      </c>
      <c r="O82" s="183" t="s">
        <v>677</v>
      </c>
    </row>
    <row r="83" spans="1:15" x14ac:dyDescent="0.25">
      <c r="A83" s="171" t="s">
        <v>552</v>
      </c>
      <c r="B83" s="121">
        <v>889</v>
      </c>
      <c r="C83" s="121">
        <v>3614</v>
      </c>
      <c r="D83" s="121">
        <v>81</v>
      </c>
      <c r="E83" s="121">
        <v>360</v>
      </c>
      <c r="F83" s="121">
        <v>3211</v>
      </c>
      <c r="G83" s="121">
        <v>16</v>
      </c>
      <c r="H83" s="121">
        <v>26739</v>
      </c>
      <c r="I83" s="121">
        <v>392</v>
      </c>
      <c r="J83" s="121">
        <v>130</v>
      </c>
      <c r="K83" s="121">
        <v>6</v>
      </c>
      <c r="L83" s="90">
        <f>SUM(B83:K83)</f>
        <v>35438</v>
      </c>
      <c r="M83" s="121">
        <v>328533</v>
      </c>
      <c r="N83" s="149">
        <f>L83/M83</f>
        <v>0.10786739840442208</v>
      </c>
      <c r="O83" s="149">
        <f>L83/L$65</f>
        <v>0.20397732178317551</v>
      </c>
    </row>
    <row r="84" spans="1:15" x14ac:dyDescent="0.25">
      <c r="A84" s="171" t="s">
        <v>553</v>
      </c>
      <c r="B84" s="121">
        <v>84</v>
      </c>
      <c r="C84" s="121">
        <v>493</v>
      </c>
      <c r="D84" s="121">
        <v>5</v>
      </c>
      <c r="E84" s="121">
        <v>37</v>
      </c>
      <c r="F84" s="121">
        <v>366</v>
      </c>
      <c r="G84" s="121">
        <v>3</v>
      </c>
      <c r="H84" s="121">
        <v>5312</v>
      </c>
      <c r="I84" s="121">
        <v>30</v>
      </c>
      <c r="J84" s="121">
        <v>20</v>
      </c>
      <c r="K84" s="121">
        <v>0</v>
      </c>
      <c r="L84" s="90">
        <f t="shared" ref="L84:L93" si="5">SUM(B84:K84)</f>
        <v>6350</v>
      </c>
      <c r="M84" s="121">
        <v>46003</v>
      </c>
      <c r="N84" s="149">
        <f t="shared" ref="N84:N93" si="6">L84/M84</f>
        <v>0.13803447601243396</v>
      </c>
      <c r="O84" s="149">
        <f t="shared" ref="O84:O93" si="7">L84/L$65</f>
        <v>3.6549917978530522E-2</v>
      </c>
    </row>
    <row r="85" spans="1:15" x14ac:dyDescent="0.25">
      <c r="A85" s="171" t="s">
        <v>554</v>
      </c>
      <c r="B85" s="121">
        <v>120</v>
      </c>
      <c r="C85" s="121">
        <v>512</v>
      </c>
      <c r="D85" s="121">
        <v>10</v>
      </c>
      <c r="E85" s="121">
        <v>54</v>
      </c>
      <c r="F85" s="121">
        <v>523</v>
      </c>
      <c r="G85" s="121">
        <v>1</v>
      </c>
      <c r="H85" s="121">
        <v>4041</v>
      </c>
      <c r="I85" s="121">
        <v>60</v>
      </c>
      <c r="J85" s="121">
        <v>27</v>
      </c>
      <c r="K85" s="121">
        <v>0</v>
      </c>
      <c r="L85" s="90">
        <f t="shared" si="5"/>
        <v>5348</v>
      </c>
      <c r="M85" s="121">
        <v>60801</v>
      </c>
      <c r="N85" s="149">
        <f t="shared" si="6"/>
        <v>8.7959079620400976E-2</v>
      </c>
      <c r="O85" s="149">
        <f t="shared" si="7"/>
        <v>3.0782513598296257E-2</v>
      </c>
    </row>
    <row r="86" spans="1:15" x14ac:dyDescent="0.25">
      <c r="A86" s="171" t="s">
        <v>555</v>
      </c>
      <c r="B86" s="121">
        <v>130</v>
      </c>
      <c r="C86" s="121">
        <v>306</v>
      </c>
      <c r="D86" s="121">
        <v>9</v>
      </c>
      <c r="E86" s="121">
        <v>67</v>
      </c>
      <c r="F86" s="121">
        <v>465</v>
      </c>
      <c r="G86" s="121">
        <v>3</v>
      </c>
      <c r="H86" s="121">
        <v>2797</v>
      </c>
      <c r="I86" s="121">
        <v>52</v>
      </c>
      <c r="J86" s="121">
        <v>17</v>
      </c>
      <c r="K86" s="121">
        <v>1</v>
      </c>
      <c r="L86" s="90">
        <f t="shared" si="5"/>
        <v>3847</v>
      </c>
      <c r="M86" s="121">
        <v>36417</v>
      </c>
      <c r="N86" s="149">
        <f t="shared" si="6"/>
        <v>0.10563747700249883</v>
      </c>
      <c r="O86" s="149">
        <f t="shared" si="7"/>
        <v>2.2142918813134946E-2</v>
      </c>
    </row>
    <row r="87" spans="1:15" x14ac:dyDescent="0.25">
      <c r="A87" s="171" t="s">
        <v>556</v>
      </c>
      <c r="B87" s="121">
        <v>199</v>
      </c>
      <c r="C87" s="121">
        <v>744</v>
      </c>
      <c r="D87" s="121">
        <v>15</v>
      </c>
      <c r="E87" s="121">
        <v>81</v>
      </c>
      <c r="F87" s="121">
        <v>796</v>
      </c>
      <c r="G87" s="121">
        <v>2</v>
      </c>
      <c r="H87" s="121">
        <v>6423</v>
      </c>
      <c r="I87" s="121">
        <v>77</v>
      </c>
      <c r="J87" s="121">
        <v>19</v>
      </c>
      <c r="K87" s="121">
        <v>2</v>
      </c>
      <c r="L87" s="90">
        <f t="shared" si="5"/>
        <v>8358</v>
      </c>
      <c r="M87" s="121">
        <v>86418</v>
      </c>
      <c r="N87" s="149">
        <f t="shared" si="6"/>
        <v>9.6715961952371032E-2</v>
      </c>
      <c r="O87" s="149">
        <f t="shared" si="7"/>
        <v>4.8107750309379228E-2</v>
      </c>
    </row>
    <row r="88" spans="1:15" x14ac:dyDescent="0.25">
      <c r="A88" s="171" t="s">
        <v>50</v>
      </c>
      <c r="B88" s="121">
        <v>400</v>
      </c>
      <c r="C88" s="121">
        <v>1707</v>
      </c>
      <c r="D88" s="121">
        <v>35</v>
      </c>
      <c r="E88" s="121">
        <v>207</v>
      </c>
      <c r="F88" s="121">
        <v>1651</v>
      </c>
      <c r="G88" s="121">
        <v>6</v>
      </c>
      <c r="H88" s="121">
        <v>12849</v>
      </c>
      <c r="I88" s="121">
        <v>160</v>
      </c>
      <c r="J88" s="121">
        <v>15</v>
      </c>
      <c r="K88" s="121">
        <v>2</v>
      </c>
      <c r="L88" s="90">
        <f t="shared" si="5"/>
        <v>17032</v>
      </c>
      <c r="M88" s="121">
        <v>123688</v>
      </c>
      <c r="N88" s="149">
        <f t="shared" si="6"/>
        <v>0.1377013129810491</v>
      </c>
      <c r="O88" s="149">
        <f t="shared" si="7"/>
        <v>9.8034362678792411E-2</v>
      </c>
    </row>
    <row r="89" spans="1:15" x14ac:dyDescent="0.25">
      <c r="A89" s="171" t="s">
        <v>557</v>
      </c>
      <c r="B89" s="121">
        <v>1690</v>
      </c>
      <c r="C89" s="121">
        <v>4061</v>
      </c>
      <c r="D89" s="121">
        <v>111</v>
      </c>
      <c r="E89" s="121">
        <v>725</v>
      </c>
      <c r="F89" s="121">
        <v>4899</v>
      </c>
      <c r="G89" s="121">
        <v>11</v>
      </c>
      <c r="H89" s="121">
        <v>25840</v>
      </c>
      <c r="I89" s="121">
        <v>619</v>
      </c>
      <c r="J89" s="121">
        <v>70</v>
      </c>
      <c r="K89" s="121">
        <v>6</v>
      </c>
      <c r="L89" s="90">
        <f t="shared" si="5"/>
        <v>38032</v>
      </c>
      <c r="M89" s="121">
        <v>296068</v>
      </c>
      <c r="N89" s="149">
        <f t="shared" si="6"/>
        <v>0.12845697610008511</v>
      </c>
      <c r="O89" s="149">
        <f t="shared" si="7"/>
        <v>0.21890810717472012</v>
      </c>
    </row>
    <row r="90" spans="1:15" x14ac:dyDescent="0.25">
      <c r="A90" s="171" t="s">
        <v>558</v>
      </c>
      <c r="B90" s="121">
        <v>807</v>
      </c>
      <c r="C90" s="121">
        <v>3578</v>
      </c>
      <c r="D90" s="121">
        <v>78</v>
      </c>
      <c r="E90" s="121">
        <v>471</v>
      </c>
      <c r="F90" s="121">
        <v>3699</v>
      </c>
      <c r="G90" s="121">
        <v>14</v>
      </c>
      <c r="H90" s="121">
        <v>32290</v>
      </c>
      <c r="I90" s="121">
        <v>337</v>
      </c>
      <c r="J90" s="121">
        <v>96</v>
      </c>
      <c r="K90" s="121">
        <v>7</v>
      </c>
      <c r="L90" s="90">
        <f t="shared" si="5"/>
        <v>41377</v>
      </c>
      <c r="M90" s="121">
        <v>317353</v>
      </c>
      <c r="N90" s="149">
        <f t="shared" si="6"/>
        <v>0.13038162550850316</v>
      </c>
      <c r="O90" s="149">
        <f t="shared" si="7"/>
        <v>0.2381615679051429</v>
      </c>
    </row>
    <row r="91" spans="1:15" x14ac:dyDescent="0.25">
      <c r="A91" s="171" t="s">
        <v>559</v>
      </c>
      <c r="B91" s="121">
        <v>231</v>
      </c>
      <c r="C91" s="121">
        <v>611</v>
      </c>
      <c r="D91" s="121">
        <v>26</v>
      </c>
      <c r="E91" s="121">
        <v>130</v>
      </c>
      <c r="F91" s="121">
        <v>897</v>
      </c>
      <c r="G91" s="121">
        <v>3</v>
      </c>
      <c r="H91" s="121">
        <v>7437</v>
      </c>
      <c r="I91" s="121">
        <v>74</v>
      </c>
      <c r="J91" s="121">
        <v>51</v>
      </c>
      <c r="K91" s="121">
        <v>2</v>
      </c>
      <c r="L91" s="90">
        <f t="shared" si="5"/>
        <v>9462</v>
      </c>
      <c r="M91" s="121">
        <v>77706</v>
      </c>
      <c r="N91" s="149">
        <f t="shared" si="6"/>
        <v>0.12176665894525519</v>
      </c>
      <c r="O91" s="149">
        <f t="shared" si="7"/>
        <v>5.4462255734307997E-2</v>
      </c>
    </row>
    <row r="92" spans="1:15" x14ac:dyDescent="0.25">
      <c r="A92" s="171" t="s">
        <v>560</v>
      </c>
      <c r="B92" s="121">
        <v>197</v>
      </c>
      <c r="C92" s="121">
        <v>823</v>
      </c>
      <c r="D92" s="121">
        <v>16</v>
      </c>
      <c r="E92" s="121">
        <v>78</v>
      </c>
      <c r="F92" s="121">
        <v>750</v>
      </c>
      <c r="G92" s="121">
        <v>2</v>
      </c>
      <c r="H92" s="121">
        <v>6500</v>
      </c>
      <c r="I92" s="121">
        <v>99</v>
      </c>
      <c r="J92" s="121">
        <v>26</v>
      </c>
      <c r="K92" s="121">
        <v>0</v>
      </c>
      <c r="L92" s="90">
        <f t="shared" si="5"/>
        <v>8491</v>
      </c>
      <c r="M92" s="121">
        <v>82652</v>
      </c>
      <c r="N92" s="149">
        <f t="shared" si="6"/>
        <v>0.10273193631128104</v>
      </c>
      <c r="O92" s="149">
        <f t="shared" si="7"/>
        <v>4.8873284024520104E-2</v>
      </c>
    </row>
    <row r="93" spans="1:15" x14ac:dyDescent="0.25">
      <c r="A93" s="80" t="s">
        <v>0</v>
      </c>
      <c r="B93" s="89">
        <v>4747</v>
      </c>
      <c r="C93" s="89">
        <v>16449</v>
      </c>
      <c r="D93" s="89">
        <v>386</v>
      </c>
      <c r="E93" s="89">
        <v>2210</v>
      </c>
      <c r="F93" s="89">
        <v>17257</v>
      </c>
      <c r="G93" s="89">
        <v>61</v>
      </c>
      <c r="H93" s="89">
        <v>130228</v>
      </c>
      <c r="I93" s="89">
        <v>1900</v>
      </c>
      <c r="J93" s="89">
        <v>471</v>
      </c>
      <c r="K93" s="89">
        <v>26</v>
      </c>
      <c r="L93" s="90">
        <f t="shared" si="5"/>
        <v>173735</v>
      </c>
      <c r="M93" s="89">
        <v>1455639</v>
      </c>
      <c r="N93" s="150">
        <f t="shared" si="6"/>
        <v>0.1193530813615189</v>
      </c>
      <c r="O93" s="220">
        <f t="shared" si="7"/>
        <v>1</v>
      </c>
    </row>
    <row r="95" spans="1:15" ht="15.75" x14ac:dyDescent="0.25">
      <c r="A95" s="54" t="s">
        <v>627</v>
      </c>
      <c r="D95" s="15"/>
      <c r="E95" s="15"/>
    </row>
    <row r="96" spans="1:15" ht="63.75" x14ac:dyDescent="0.25">
      <c r="A96" s="238" t="s">
        <v>390</v>
      </c>
      <c r="B96" s="239" t="s">
        <v>82</v>
      </c>
      <c r="C96" s="239" t="s">
        <v>365</v>
      </c>
      <c r="D96" s="239" t="s">
        <v>330</v>
      </c>
      <c r="E96" s="239" t="s">
        <v>366</v>
      </c>
      <c r="F96" s="239" t="s">
        <v>367</v>
      </c>
      <c r="G96" s="239" t="s">
        <v>0</v>
      </c>
      <c r="H96" s="239" t="s">
        <v>401</v>
      </c>
      <c r="I96" s="239" t="s">
        <v>402</v>
      </c>
      <c r="J96" s="239" t="s">
        <v>403</v>
      </c>
      <c r="K96" s="239" t="s">
        <v>404</v>
      </c>
      <c r="L96" s="239" t="s">
        <v>405</v>
      </c>
      <c r="M96" s="239" t="s">
        <v>406</v>
      </c>
    </row>
    <row r="97" spans="1:19" x14ac:dyDescent="0.25">
      <c r="A97" s="236" t="s">
        <v>380</v>
      </c>
      <c r="B97" s="234">
        <v>1195</v>
      </c>
      <c r="C97" s="234">
        <v>1254</v>
      </c>
      <c r="D97" s="234">
        <v>36</v>
      </c>
      <c r="E97" s="234">
        <v>27</v>
      </c>
      <c r="F97" s="234">
        <v>1962</v>
      </c>
      <c r="G97" s="235">
        <f>SUM(B97:F97)</f>
        <v>4474</v>
      </c>
      <c r="H97" s="172">
        <v>3.7090376366446711E-3</v>
      </c>
      <c r="I97" s="172">
        <v>4.127348787303301E-3</v>
      </c>
      <c r="J97" s="172">
        <v>2.1069881774552265E-3</v>
      </c>
      <c r="K97" s="172">
        <v>2.0995334370139968E-3</v>
      </c>
      <c r="L97" s="172">
        <v>2.9223172993141045E-3</v>
      </c>
      <c r="M97" s="172">
        <v>3.3706409190081849E-3</v>
      </c>
    </row>
    <row r="98" spans="1:19" x14ac:dyDescent="0.25">
      <c r="A98" s="236" t="s">
        <v>381</v>
      </c>
      <c r="B98" s="234">
        <v>4029</v>
      </c>
      <c r="C98" s="234">
        <v>3455</v>
      </c>
      <c r="D98" s="234">
        <v>105</v>
      </c>
      <c r="E98" s="234">
        <v>87</v>
      </c>
      <c r="F98" s="234">
        <v>7957</v>
      </c>
      <c r="G98" s="235">
        <f t="shared" ref="G98:G107" si="8">SUM(B98:F98)</f>
        <v>15633</v>
      </c>
      <c r="H98" s="172">
        <v>1.2505198860285673E-2</v>
      </c>
      <c r="I98" s="172">
        <v>1.1371602918766271E-2</v>
      </c>
      <c r="J98" s="172">
        <v>6.145382184244411E-3</v>
      </c>
      <c r="K98" s="172">
        <v>6.7651632970451014E-3</v>
      </c>
      <c r="L98" s="172">
        <v>1.1851620158329423E-2</v>
      </c>
      <c r="M98" s="172">
        <v>1.1777655227280946E-2</v>
      </c>
    </row>
    <row r="99" spans="1:19" x14ac:dyDescent="0.25">
      <c r="A99" s="236" t="s">
        <v>382</v>
      </c>
      <c r="B99" s="234">
        <v>133</v>
      </c>
      <c r="C99" s="234">
        <v>93</v>
      </c>
      <c r="D99" s="234">
        <v>3</v>
      </c>
      <c r="E99" s="234">
        <v>1</v>
      </c>
      <c r="F99" s="234">
        <v>146</v>
      </c>
      <c r="G99" s="235">
        <f t="shared" si="8"/>
        <v>376</v>
      </c>
      <c r="H99" s="172">
        <v>4.1280502566840271E-4</v>
      </c>
      <c r="I99" s="172">
        <v>3.0609524499139316E-4</v>
      </c>
      <c r="J99" s="172">
        <v>1.7558234812126887E-4</v>
      </c>
      <c r="K99" s="172">
        <v>7.7760497667185064E-5</v>
      </c>
      <c r="L99" s="172">
        <v>2.1746092033631971E-4</v>
      </c>
      <c r="M99" s="172">
        <v>2.8327245988982511E-4</v>
      </c>
    </row>
    <row r="100" spans="1:19" x14ac:dyDescent="0.25">
      <c r="A100" s="236" t="s">
        <v>383</v>
      </c>
      <c r="B100" s="234">
        <v>687</v>
      </c>
      <c r="C100" s="234">
        <v>531</v>
      </c>
      <c r="D100" s="234">
        <v>7</v>
      </c>
      <c r="E100" s="234">
        <v>10</v>
      </c>
      <c r="F100" s="234">
        <v>881</v>
      </c>
      <c r="G100" s="235">
        <f t="shared" si="8"/>
        <v>2116</v>
      </c>
      <c r="H100" s="172">
        <v>2.1323086664225012E-3</v>
      </c>
      <c r="I100" s="172">
        <v>1.7477051084992445E-3</v>
      </c>
      <c r="J100" s="172">
        <v>4.0969214561629405E-4</v>
      </c>
      <c r="K100" s="172">
        <v>7.776049766718507E-4</v>
      </c>
      <c r="L100" s="172">
        <v>1.312212813810258E-3</v>
      </c>
      <c r="M100" s="172">
        <v>1.5941609710821009E-3</v>
      </c>
    </row>
    <row r="101" spans="1:19" x14ac:dyDescent="0.25">
      <c r="A101" s="236" t="s">
        <v>384</v>
      </c>
      <c r="B101" s="234">
        <v>4690</v>
      </c>
      <c r="C101" s="234">
        <v>4080</v>
      </c>
      <c r="D101" s="234">
        <v>88</v>
      </c>
      <c r="E101" s="234">
        <v>139</v>
      </c>
      <c r="F101" s="234">
        <v>7595</v>
      </c>
      <c r="G101" s="235">
        <f t="shared" si="8"/>
        <v>16592</v>
      </c>
      <c r="H101" s="172">
        <v>1.455680879988578E-2</v>
      </c>
      <c r="I101" s="172">
        <v>1.3428694618977248E-2</v>
      </c>
      <c r="J101" s="172">
        <v>5.1504155448905539E-3</v>
      </c>
      <c r="K101" s="172">
        <v>1.0808709175738725E-2</v>
      </c>
      <c r="L101" s="172">
        <v>1.1312436232564027E-2</v>
      </c>
      <c r="M101" s="172">
        <v>1.2500150676840367E-2</v>
      </c>
    </row>
    <row r="102" spans="1:19" x14ac:dyDescent="0.25">
      <c r="A102" s="236" t="s">
        <v>385</v>
      </c>
      <c r="B102" s="234">
        <v>21</v>
      </c>
      <c r="C102" s="234">
        <v>18</v>
      </c>
      <c r="D102" s="234">
        <v>0</v>
      </c>
      <c r="E102" s="234">
        <v>0</v>
      </c>
      <c r="F102" s="234">
        <v>18</v>
      </c>
      <c r="G102" s="235">
        <f t="shared" si="8"/>
        <v>57</v>
      </c>
      <c r="H102" s="172">
        <v>6.5179740895010958E-5</v>
      </c>
      <c r="I102" s="172">
        <v>5.924424096607609E-5</v>
      </c>
      <c r="J102" s="172">
        <v>0</v>
      </c>
      <c r="K102" s="172">
        <v>0</v>
      </c>
      <c r="L102" s="172">
        <v>2.6810250452422977E-5</v>
      </c>
      <c r="M102" s="172">
        <v>4.2942899504574548E-5</v>
      </c>
    </row>
    <row r="103" spans="1:19" x14ac:dyDescent="0.25">
      <c r="A103" s="236" t="s">
        <v>386</v>
      </c>
      <c r="B103" s="234">
        <v>34778</v>
      </c>
      <c r="C103" s="234">
        <v>29143</v>
      </c>
      <c r="D103" s="234">
        <v>1000</v>
      </c>
      <c r="E103" s="234">
        <v>882</v>
      </c>
      <c r="F103" s="234">
        <v>58914</v>
      </c>
      <c r="G103" s="235">
        <f t="shared" si="8"/>
        <v>124717</v>
      </c>
      <c r="H103" s="172">
        <v>0.1079438585165091</v>
      </c>
      <c r="I103" s="172">
        <v>9.5919717470797528E-2</v>
      </c>
      <c r="J103" s="172">
        <v>5.8527449373756292E-2</v>
      </c>
      <c r="K103" s="172">
        <v>6.8584758942457233E-2</v>
      </c>
      <c r="L103" s="172">
        <v>8.7749949730780402E-2</v>
      </c>
      <c r="M103" s="172">
        <v>9.3959817500210943E-2</v>
      </c>
    </row>
    <row r="104" spans="1:19" x14ac:dyDescent="0.25">
      <c r="A104" s="236" t="s">
        <v>387</v>
      </c>
      <c r="B104" s="234">
        <v>432</v>
      </c>
      <c r="C104" s="234">
        <v>496</v>
      </c>
      <c r="D104" s="234">
        <v>20</v>
      </c>
      <c r="E104" s="234">
        <v>11</v>
      </c>
      <c r="F104" s="234">
        <v>842</v>
      </c>
      <c r="G104" s="235">
        <f t="shared" si="8"/>
        <v>1801</v>
      </c>
      <c r="H104" s="172">
        <v>1.3408403841259397E-3</v>
      </c>
      <c r="I104" s="172">
        <v>1.6325079732874301E-3</v>
      </c>
      <c r="J104" s="172">
        <v>1.1705489874751257E-3</v>
      </c>
      <c r="K104" s="172">
        <v>8.5536547433903579E-4</v>
      </c>
      <c r="L104" s="172">
        <v>1.2541239378300081E-3</v>
      </c>
      <c r="M104" s="172">
        <v>1.3568449475041889E-3</v>
      </c>
    </row>
    <row r="105" spans="1:19" x14ac:dyDescent="0.25">
      <c r="A105" s="236" t="s">
        <v>388</v>
      </c>
      <c r="B105" s="234">
        <v>124</v>
      </c>
      <c r="C105" s="234">
        <v>103</v>
      </c>
      <c r="D105" s="234">
        <v>7</v>
      </c>
      <c r="E105" s="234">
        <v>6</v>
      </c>
      <c r="F105" s="234">
        <v>203</v>
      </c>
      <c r="G105" s="235">
        <f t="shared" si="8"/>
        <v>443</v>
      </c>
      <c r="H105" s="172">
        <v>3.8487085099911232E-4</v>
      </c>
      <c r="I105" s="172">
        <v>3.3900871219476873E-4</v>
      </c>
      <c r="J105" s="172">
        <v>4.0969214561629405E-4</v>
      </c>
      <c r="K105" s="172">
        <v>4.6656298600311044E-4</v>
      </c>
      <c r="L105" s="172">
        <v>3.0236004676899243E-4</v>
      </c>
      <c r="M105" s="172">
        <v>3.3374920141274607E-4</v>
      </c>
    </row>
    <row r="106" spans="1:19" x14ac:dyDescent="0.25">
      <c r="A106" s="236" t="s">
        <v>389</v>
      </c>
      <c r="B106" s="234">
        <v>6</v>
      </c>
      <c r="C106" s="234">
        <v>7</v>
      </c>
      <c r="D106" s="234">
        <v>0</v>
      </c>
      <c r="E106" s="234">
        <v>0</v>
      </c>
      <c r="F106" s="234">
        <v>11</v>
      </c>
      <c r="G106" s="235">
        <f t="shared" si="8"/>
        <v>24</v>
      </c>
      <c r="H106" s="172">
        <v>1.8622783112860273E-5</v>
      </c>
      <c r="I106" s="172">
        <v>2.3039427042362925E-5</v>
      </c>
      <c r="J106" s="172">
        <v>0</v>
      </c>
      <c r="K106" s="172">
        <v>0</v>
      </c>
      <c r="L106" s="172">
        <v>1.6384041943147375E-5</v>
      </c>
      <c r="M106" s="172">
        <v>1.8081220844031388E-5</v>
      </c>
    </row>
    <row r="107" spans="1:19" x14ac:dyDescent="0.25">
      <c r="A107" s="237" t="s">
        <v>0</v>
      </c>
      <c r="B107" s="237">
        <v>46095</v>
      </c>
      <c r="C107" s="237">
        <v>39180</v>
      </c>
      <c r="D107" s="237">
        <v>1266</v>
      </c>
      <c r="E107" s="237">
        <v>1163</v>
      </c>
      <c r="F107" s="237">
        <v>78529</v>
      </c>
      <c r="G107" s="235">
        <f t="shared" si="8"/>
        <v>166233</v>
      </c>
      <c r="H107" s="173">
        <v>0.14306953126454905</v>
      </c>
      <c r="I107" s="173">
        <v>0.12895496450282562</v>
      </c>
      <c r="J107" s="173">
        <v>7.4095750907175462E-2</v>
      </c>
      <c r="K107" s="173">
        <v>9.0435458786936235E-2</v>
      </c>
      <c r="L107" s="173">
        <v>0.1169656754321291</v>
      </c>
      <c r="M107" s="173">
        <v>0.1252373160235779</v>
      </c>
      <c r="S107" s="262">
        <f>SUM(N107:R107)</f>
        <v>0</v>
      </c>
    </row>
    <row r="109" spans="1:19" ht="15.75" x14ac:dyDescent="0.25">
      <c r="A109" s="54" t="s">
        <v>602</v>
      </c>
      <c r="B109"/>
      <c r="C109"/>
      <c r="D109"/>
      <c r="E109"/>
      <c r="F109"/>
      <c r="G109"/>
    </row>
    <row r="110" spans="1:19" ht="25.5" x14ac:dyDescent="0.25">
      <c r="A110" s="238" t="s">
        <v>390</v>
      </c>
      <c r="B110" s="245" t="s">
        <v>96</v>
      </c>
      <c r="C110" s="245" t="s">
        <v>340</v>
      </c>
      <c r="D110" s="245" t="s">
        <v>0</v>
      </c>
      <c r="E110" s="245" t="s">
        <v>407</v>
      </c>
      <c r="F110" s="245" t="s">
        <v>408</v>
      </c>
      <c r="G110" s="245" t="s">
        <v>406</v>
      </c>
    </row>
    <row r="111" spans="1:19" x14ac:dyDescent="0.25">
      <c r="A111" s="242" t="s">
        <v>380</v>
      </c>
      <c r="B111" s="240">
        <v>18</v>
      </c>
      <c r="C111" s="240">
        <v>92</v>
      </c>
      <c r="D111" s="241">
        <v>110</v>
      </c>
      <c r="E111" s="172">
        <v>2.2360248447204968E-3</v>
      </c>
      <c r="F111" s="172">
        <v>1.9723020194657632E-3</v>
      </c>
      <c r="G111" s="172">
        <v>2.0111159865438058E-3</v>
      </c>
    </row>
    <row r="112" spans="1:19" x14ac:dyDescent="0.25">
      <c r="A112" s="242" t="s">
        <v>381</v>
      </c>
      <c r="B112" s="240">
        <v>32</v>
      </c>
      <c r="C112" s="240">
        <v>332</v>
      </c>
      <c r="D112" s="241">
        <v>364</v>
      </c>
      <c r="E112" s="172">
        <v>3.9751552795031057E-3</v>
      </c>
      <c r="F112" s="172">
        <v>7.1174377224199285E-3</v>
      </c>
      <c r="G112" s="172">
        <v>6.6549656281995025E-3</v>
      </c>
    </row>
    <row r="113" spans="1:102" x14ac:dyDescent="0.25">
      <c r="A113" s="242" t="s">
        <v>382</v>
      </c>
      <c r="B113" s="240">
        <v>0</v>
      </c>
      <c r="C113" s="240">
        <v>5</v>
      </c>
      <c r="D113" s="241">
        <v>5</v>
      </c>
      <c r="E113" s="172">
        <v>0</v>
      </c>
      <c r="F113" s="172">
        <v>1.0719032714487844E-4</v>
      </c>
      <c r="G113" s="172">
        <v>9.1414363024718443E-5</v>
      </c>
    </row>
    <row r="114" spans="1:102" x14ac:dyDescent="0.25">
      <c r="A114" s="242" t="s">
        <v>383</v>
      </c>
      <c r="B114" s="240">
        <v>2</v>
      </c>
      <c r="C114" s="240">
        <v>37</v>
      </c>
      <c r="D114" s="241">
        <v>39</v>
      </c>
      <c r="E114" s="172">
        <v>2.4844720496894411E-4</v>
      </c>
      <c r="F114" s="172">
        <v>7.9320842087210052E-4</v>
      </c>
      <c r="G114" s="172">
        <v>7.1303203159280384E-4</v>
      </c>
    </row>
    <row r="115" spans="1:102" x14ac:dyDescent="0.25">
      <c r="A115" s="242" t="s">
        <v>384</v>
      </c>
      <c r="B115" s="240">
        <v>26</v>
      </c>
      <c r="C115" s="240">
        <v>251</v>
      </c>
      <c r="D115" s="241">
        <v>277</v>
      </c>
      <c r="E115" s="172">
        <v>3.2298136645962732E-3</v>
      </c>
      <c r="F115" s="172">
        <v>5.3809544226728978E-3</v>
      </c>
      <c r="G115" s="172">
        <v>5.0643557115694019E-3</v>
      </c>
    </row>
    <row r="116" spans="1:102" x14ac:dyDescent="0.25">
      <c r="A116" s="242" t="s">
        <v>385</v>
      </c>
      <c r="B116" s="240">
        <v>0</v>
      </c>
      <c r="C116" s="240">
        <v>3</v>
      </c>
      <c r="D116" s="241">
        <v>3</v>
      </c>
      <c r="E116" s="172">
        <v>0</v>
      </c>
      <c r="F116" s="172">
        <v>6.4314196286927068E-5</v>
      </c>
      <c r="G116" s="172">
        <v>5.4848617814831067E-5</v>
      </c>
    </row>
    <row r="117" spans="1:102" x14ac:dyDescent="0.25">
      <c r="A117" s="242" t="s">
        <v>386</v>
      </c>
      <c r="B117" s="240">
        <v>316</v>
      </c>
      <c r="C117" s="240">
        <v>2137</v>
      </c>
      <c r="D117" s="241">
        <v>2453</v>
      </c>
      <c r="E117" s="172">
        <v>3.925465838509317E-2</v>
      </c>
      <c r="F117" s="172">
        <v>4.5813145821721045E-2</v>
      </c>
      <c r="G117" s="172">
        <v>4.4847886499926867E-2</v>
      </c>
    </row>
    <row r="118" spans="1:102" x14ac:dyDescent="0.25">
      <c r="A118" s="242" t="s">
        <v>387</v>
      </c>
      <c r="B118" s="240">
        <v>3</v>
      </c>
      <c r="C118" s="240">
        <v>39</v>
      </c>
      <c r="D118" s="241">
        <v>42</v>
      </c>
      <c r="E118" s="172">
        <v>3.7267080745341616E-4</v>
      </c>
      <c r="F118" s="172">
        <v>8.360845517300519E-4</v>
      </c>
      <c r="G118" s="172">
        <v>7.6788064940763495E-4</v>
      </c>
    </row>
    <row r="119" spans="1:102" x14ac:dyDescent="0.25">
      <c r="A119" s="242" t="s">
        <v>388</v>
      </c>
      <c r="B119" s="240">
        <v>2</v>
      </c>
      <c r="C119" s="240">
        <v>10</v>
      </c>
      <c r="D119" s="241">
        <v>12</v>
      </c>
      <c r="E119" s="172">
        <v>2.4844720496894411E-4</v>
      </c>
      <c r="F119" s="172">
        <v>2.1438065428975689E-4</v>
      </c>
      <c r="G119" s="172">
        <v>2.1939447125932427E-4</v>
      </c>
    </row>
    <row r="120" spans="1:102" x14ac:dyDescent="0.25">
      <c r="A120" s="243" t="s">
        <v>0</v>
      </c>
      <c r="B120" s="244">
        <v>399</v>
      </c>
      <c r="C120" s="244">
        <v>2906</v>
      </c>
      <c r="D120" s="244">
        <v>3305</v>
      </c>
      <c r="E120" s="173">
        <v>4.9565217391304345E-2</v>
      </c>
      <c r="F120" s="173">
        <v>6.2299018136603351E-2</v>
      </c>
      <c r="G120" s="173">
        <v>6.0424893959338893E-2</v>
      </c>
    </row>
    <row r="122" spans="1:102" ht="15.75" x14ac:dyDescent="0.25">
      <c r="A122" s="54" t="s">
        <v>603</v>
      </c>
      <c r="D122" s="15"/>
      <c r="E122" s="15"/>
    </row>
    <row r="123" spans="1:102" ht="51" x14ac:dyDescent="0.25">
      <c r="A123" s="238" t="s">
        <v>390</v>
      </c>
      <c r="B123" s="256" t="s">
        <v>102</v>
      </c>
      <c r="C123" s="256" t="s">
        <v>34</v>
      </c>
      <c r="D123" s="256" t="s">
        <v>601</v>
      </c>
      <c r="E123" s="256" t="s">
        <v>0</v>
      </c>
      <c r="F123" s="128" t="s">
        <v>605</v>
      </c>
      <c r="G123" s="128" t="s">
        <v>409</v>
      </c>
      <c r="H123" s="134" t="s">
        <v>606</v>
      </c>
      <c r="I123" s="256" t="s">
        <v>406</v>
      </c>
      <c r="R123" s="15"/>
      <c r="CW123" s="169"/>
      <c r="CX123" s="169"/>
    </row>
    <row r="124" spans="1:102" x14ac:dyDescent="0.25">
      <c r="A124" s="249" t="s">
        <v>380</v>
      </c>
      <c r="B124" s="247">
        <v>8</v>
      </c>
      <c r="C124" s="247">
        <v>9</v>
      </c>
      <c r="D124" s="247">
        <v>146</v>
      </c>
      <c r="E124" s="248">
        <v>163</v>
      </c>
      <c r="F124" s="172">
        <v>9.3447027216446682E-4</v>
      </c>
      <c r="G124" s="172">
        <v>2.3622047244094488E-3</v>
      </c>
      <c r="H124" s="172">
        <v>2.3845299536159928E-3</v>
      </c>
      <c r="I124" s="172">
        <v>2.2147040041304907E-3</v>
      </c>
      <c r="R124" s="15"/>
      <c r="CW124" s="169"/>
      <c r="CX124" s="169"/>
    </row>
    <row r="125" spans="1:102" x14ac:dyDescent="0.25">
      <c r="A125" s="249" t="s">
        <v>381</v>
      </c>
      <c r="B125" s="247">
        <v>37</v>
      </c>
      <c r="C125" s="247">
        <v>46</v>
      </c>
      <c r="D125" s="247">
        <v>369</v>
      </c>
      <c r="E125" s="248">
        <v>452</v>
      </c>
      <c r="F125" s="172">
        <v>4.3219250087606588E-3</v>
      </c>
      <c r="G125" s="172">
        <v>1.2073490813648294E-2</v>
      </c>
      <c r="H125" s="172">
        <v>6.0266544718102829E-3</v>
      </c>
      <c r="I125" s="172">
        <v>6.1413877905949809E-3</v>
      </c>
      <c r="R125" s="15"/>
      <c r="CW125" s="169"/>
      <c r="CX125" s="169"/>
    </row>
    <row r="126" spans="1:102" x14ac:dyDescent="0.25">
      <c r="A126" s="249" t="s">
        <v>382</v>
      </c>
      <c r="B126" s="247">
        <v>0</v>
      </c>
      <c r="C126" s="247">
        <v>0</v>
      </c>
      <c r="D126" s="247">
        <v>5</v>
      </c>
      <c r="E126" s="248">
        <v>5</v>
      </c>
      <c r="F126" s="172">
        <v>0</v>
      </c>
      <c r="G126" s="172">
        <v>0</v>
      </c>
      <c r="H126" s="172">
        <v>8.1661984712876455E-5</v>
      </c>
      <c r="I126" s="172">
        <v>6.7935705648174569E-5</v>
      </c>
      <c r="R126" s="15"/>
      <c r="CW126" s="169"/>
      <c r="CX126" s="169"/>
    </row>
    <row r="127" spans="1:102" x14ac:dyDescent="0.25">
      <c r="A127" s="249" t="s">
        <v>383</v>
      </c>
      <c r="B127" s="247">
        <v>3</v>
      </c>
      <c r="C127" s="247">
        <v>8</v>
      </c>
      <c r="D127" s="247">
        <v>44</v>
      </c>
      <c r="E127" s="248">
        <v>55</v>
      </c>
      <c r="F127" s="172">
        <v>3.5042635206167504E-4</v>
      </c>
      <c r="G127" s="172">
        <v>2.0997375328083989E-3</v>
      </c>
      <c r="H127" s="172">
        <v>7.1862546547331286E-4</v>
      </c>
      <c r="I127" s="172">
        <v>7.4729276212992025E-4</v>
      </c>
      <c r="R127" s="15"/>
      <c r="CW127" s="169"/>
      <c r="CX127" s="169"/>
    </row>
    <row r="128" spans="1:102" x14ac:dyDescent="0.25">
      <c r="A128" s="249" t="s">
        <v>384</v>
      </c>
      <c r="B128" s="247">
        <v>26</v>
      </c>
      <c r="C128" s="247">
        <v>32</v>
      </c>
      <c r="D128" s="247">
        <v>330</v>
      </c>
      <c r="E128" s="248">
        <v>388</v>
      </c>
      <c r="F128" s="172">
        <v>3.0370283845345169E-3</v>
      </c>
      <c r="G128" s="172">
        <v>8.3989501312335957E-3</v>
      </c>
      <c r="H128" s="172">
        <v>5.3896909910498463E-3</v>
      </c>
      <c r="I128" s="172">
        <v>5.271810758298346E-3</v>
      </c>
      <c r="R128" s="15"/>
      <c r="CW128" s="169"/>
      <c r="CX128" s="169"/>
    </row>
    <row r="129" spans="1:102" x14ac:dyDescent="0.25">
      <c r="A129" s="249" t="s">
        <v>385</v>
      </c>
      <c r="B129" s="247">
        <v>0</v>
      </c>
      <c r="C129" s="247">
        <v>0</v>
      </c>
      <c r="D129" s="247">
        <v>1</v>
      </c>
      <c r="E129" s="248">
        <v>1</v>
      </c>
      <c r="F129" s="172">
        <v>0</v>
      </c>
      <c r="G129" s="172">
        <v>0</v>
      </c>
      <c r="H129" s="172">
        <v>1.6332396942575291E-5</v>
      </c>
      <c r="I129" s="172">
        <v>1.3587141129634914E-5</v>
      </c>
      <c r="R129" s="15"/>
      <c r="CW129" s="169"/>
      <c r="CX129" s="169"/>
    </row>
    <row r="130" spans="1:102" x14ac:dyDescent="0.25">
      <c r="A130" s="249" t="s">
        <v>386</v>
      </c>
      <c r="B130" s="247">
        <v>170</v>
      </c>
      <c r="C130" s="247">
        <v>246</v>
      </c>
      <c r="D130" s="247">
        <v>2642</v>
      </c>
      <c r="E130" s="248">
        <v>3058</v>
      </c>
      <c r="F130" s="172">
        <v>1.9857493283494919E-2</v>
      </c>
      <c r="G130" s="172">
        <v>6.4566929133858267E-2</v>
      </c>
      <c r="H130" s="172">
        <v>4.3150192722283924E-2</v>
      </c>
      <c r="I130" s="172">
        <v>4.1549477574423566E-2</v>
      </c>
      <c r="R130" s="15"/>
      <c r="CW130" s="169"/>
      <c r="CX130" s="169"/>
    </row>
    <row r="131" spans="1:102" x14ac:dyDescent="0.25">
      <c r="A131" s="249" t="s">
        <v>387</v>
      </c>
      <c r="B131" s="247">
        <v>1</v>
      </c>
      <c r="C131" s="247">
        <v>2</v>
      </c>
      <c r="D131" s="247">
        <v>54</v>
      </c>
      <c r="E131" s="248">
        <v>57</v>
      </c>
      <c r="F131" s="172">
        <v>1.1680878402055835E-4</v>
      </c>
      <c r="G131" s="172">
        <v>5.2493438320209973E-4</v>
      </c>
      <c r="H131" s="172">
        <v>8.819494348990658E-4</v>
      </c>
      <c r="I131" s="172">
        <v>7.7446704438919006E-4</v>
      </c>
      <c r="R131" s="15"/>
      <c r="CW131" s="169"/>
      <c r="CX131" s="169"/>
    </row>
    <row r="132" spans="1:102" x14ac:dyDescent="0.25">
      <c r="A132" s="249" t="s">
        <v>388</v>
      </c>
      <c r="B132" s="247">
        <v>1</v>
      </c>
      <c r="C132" s="247">
        <v>1</v>
      </c>
      <c r="D132" s="247">
        <v>14</v>
      </c>
      <c r="E132" s="248">
        <v>16</v>
      </c>
      <c r="F132" s="172">
        <v>1.1680878402055835E-4</v>
      </c>
      <c r="G132" s="172">
        <v>2.6246719160104987E-4</v>
      </c>
      <c r="H132" s="172">
        <v>2.286535571960541E-4</v>
      </c>
      <c r="I132" s="172">
        <v>2.1739425807415863E-4</v>
      </c>
      <c r="R132" s="15"/>
      <c r="CW132" s="169"/>
      <c r="CX132" s="169"/>
    </row>
    <row r="133" spans="1:102" x14ac:dyDescent="0.25">
      <c r="A133" s="249" t="s">
        <v>389</v>
      </c>
      <c r="B133" s="247">
        <v>0</v>
      </c>
      <c r="C133" s="247">
        <v>0</v>
      </c>
      <c r="D133" s="247">
        <v>2</v>
      </c>
      <c r="E133" s="248">
        <v>2</v>
      </c>
      <c r="F133" s="172">
        <v>0</v>
      </c>
      <c r="G133" s="172">
        <v>0</v>
      </c>
      <c r="H133" s="172">
        <v>3.2664793885150582E-5</v>
      </c>
      <c r="I133" s="172">
        <v>2.7174282259269828E-5</v>
      </c>
      <c r="R133" s="15"/>
      <c r="CW133" s="169"/>
      <c r="CX133" s="169"/>
    </row>
    <row r="134" spans="1:102" x14ac:dyDescent="0.25">
      <c r="A134" s="252" t="s">
        <v>0</v>
      </c>
      <c r="B134" s="253">
        <v>246</v>
      </c>
      <c r="C134" s="253">
        <v>344</v>
      </c>
      <c r="D134" s="253">
        <v>3607</v>
      </c>
      <c r="E134" s="253">
        <v>4197</v>
      </c>
      <c r="F134" s="173">
        <v>2.8734960869057354E-2</v>
      </c>
      <c r="G134" s="173">
        <v>9.0288713910761154E-2</v>
      </c>
      <c r="H134" s="173">
        <v>5.8910955771869077E-2</v>
      </c>
      <c r="I134" s="173">
        <v>5.702523132107773E-2</v>
      </c>
      <c r="R134" s="15"/>
      <c r="CW134" s="169"/>
      <c r="CX134" s="169"/>
    </row>
    <row r="136" spans="1:102" ht="15.75" x14ac:dyDescent="0.25">
      <c r="A136" s="259" t="s">
        <v>622</v>
      </c>
      <c r="D136" s="15"/>
      <c r="E136" s="15"/>
    </row>
    <row r="137" spans="1:102" ht="38.25" x14ac:dyDescent="0.25">
      <c r="A137" s="238" t="s">
        <v>390</v>
      </c>
      <c r="B137" s="105">
        <v>2021</v>
      </c>
      <c r="C137" s="105">
        <v>2022</v>
      </c>
      <c r="D137" s="105">
        <v>2023</v>
      </c>
      <c r="E137" s="105">
        <v>2024</v>
      </c>
      <c r="F137" s="105">
        <v>2025</v>
      </c>
      <c r="G137" s="106" t="s">
        <v>547</v>
      </c>
      <c r="H137" s="106" t="s">
        <v>548</v>
      </c>
      <c r="I137" s="106" t="s">
        <v>549</v>
      </c>
      <c r="J137" s="216" t="s">
        <v>563</v>
      </c>
    </row>
    <row r="138" spans="1:102" x14ac:dyDescent="0.25">
      <c r="A138" s="249" t="s">
        <v>380</v>
      </c>
      <c r="B138" s="264">
        <v>3847</v>
      </c>
      <c r="C138" s="264">
        <v>3958</v>
      </c>
      <c r="D138" s="264">
        <v>4170</v>
      </c>
      <c r="E138" s="264">
        <v>4338</v>
      </c>
      <c r="F138" s="98">
        <v>4747</v>
      </c>
      <c r="G138" s="149">
        <f>(F138-B138)/B138</f>
        <v>0.23394853132310892</v>
      </c>
      <c r="H138" s="149">
        <f>(F138-E138)/E138</f>
        <v>9.4283079760258182E-2</v>
      </c>
      <c r="I138" s="218">
        <f>F138/F$148</f>
        <v>2.7323222148674706E-2</v>
      </c>
      <c r="J138" s="219">
        <f>F138-E138</f>
        <v>409</v>
      </c>
    </row>
    <row r="139" spans="1:102" x14ac:dyDescent="0.25">
      <c r="A139" s="249" t="s">
        <v>381</v>
      </c>
      <c r="B139" s="264">
        <v>13964</v>
      </c>
      <c r="C139" s="264">
        <v>14210</v>
      </c>
      <c r="D139" s="264">
        <v>14947</v>
      </c>
      <c r="E139" s="264">
        <v>15588</v>
      </c>
      <c r="F139" s="98">
        <v>16449</v>
      </c>
      <c r="G139" s="149">
        <f t="shared" ref="G139:G148" si="9">(F139-B139)/B139</f>
        <v>0.17795760527069607</v>
      </c>
      <c r="H139" s="149">
        <f t="shared" ref="H139:H148" si="10">(F139-E139)/E139</f>
        <v>5.5234795996920709E-2</v>
      </c>
      <c r="I139" s="218">
        <f t="shared" ref="I139:I148" si="11">F139/F$148</f>
        <v>9.4678677295881655E-2</v>
      </c>
      <c r="J139" s="219">
        <f t="shared" ref="J139:J148" si="12">F139-E139</f>
        <v>861</v>
      </c>
    </row>
    <row r="140" spans="1:102" x14ac:dyDescent="0.25">
      <c r="A140" s="249" t="s">
        <v>382</v>
      </c>
      <c r="B140" s="264">
        <v>271</v>
      </c>
      <c r="C140" s="264">
        <v>290</v>
      </c>
      <c r="D140" s="264">
        <v>294</v>
      </c>
      <c r="E140" s="264">
        <v>333</v>
      </c>
      <c r="F140" s="98">
        <v>386</v>
      </c>
      <c r="G140" s="149">
        <f t="shared" si="9"/>
        <v>0.42435424354243545</v>
      </c>
      <c r="H140" s="149">
        <f t="shared" si="10"/>
        <v>0.15915915915915915</v>
      </c>
      <c r="I140" s="218">
        <f t="shared" si="11"/>
        <v>2.2217745416870521E-3</v>
      </c>
      <c r="J140" s="219">
        <f t="shared" si="12"/>
        <v>53</v>
      </c>
    </row>
    <row r="141" spans="1:102" x14ac:dyDescent="0.25">
      <c r="A141" s="249" t="s">
        <v>383</v>
      </c>
      <c r="B141" s="264">
        <v>1713</v>
      </c>
      <c r="C141" s="264">
        <v>1820</v>
      </c>
      <c r="D141" s="264">
        <v>1909</v>
      </c>
      <c r="E141" s="264">
        <v>2047</v>
      </c>
      <c r="F141" s="98">
        <v>2210</v>
      </c>
      <c r="G141" s="149">
        <f t="shared" si="9"/>
        <v>0.29013426736719206</v>
      </c>
      <c r="H141" s="149">
        <f t="shared" si="10"/>
        <v>7.9628724963361014E-2</v>
      </c>
      <c r="I141" s="218">
        <f t="shared" si="11"/>
        <v>1.2720522635047631E-2</v>
      </c>
      <c r="J141" s="219">
        <f t="shared" si="12"/>
        <v>163</v>
      </c>
    </row>
    <row r="142" spans="1:102" x14ac:dyDescent="0.25">
      <c r="A142" s="249" t="s">
        <v>384</v>
      </c>
      <c r="B142" s="264">
        <v>13609</v>
      </c>
      <c r="C142" s="264">
        <v>14144</v>
      </c>
      <c r="D142" s="264">
        <v>15087</v>
      </c>
      <c r="E142" s="264">
        <v>15898</v>
      </c>
      <c r="F142" s="98">
        <v>17257</v>
      </c>
      <c r="G142" s="149">
        <f t="shared" si="9"/>
        <v>0.26805790285840253</v>
      </c>
      <c r="H142" s="149">
        <f t="shared" si="10"/>
        <v>8.5482450622719836E-2</v>
      </c>
      <c r="I142" s="218">
        <f t="shared" si="11"/>
        <v>9.9329438512677351E-2</v>
      </c>
      <c r="J142" s="219">
        <f t="shared" si="12"/>
        <v>1359</v>
      </c>
    </row>
    <row r="143" spans="1:102" x14ac:dyDescent="0.25">
      <c r="A143" s="249" t="s">
        <v>385</v>
      </c>
      <c r="B143" s="264">
        <v>57</v>
      </c>
      <c r="C143" s="264">
        <v>55</v>
      </c>
      <c r="D143" s="264">
        <v>62</v>
      </c>
      <c r="E143" s="264">
        <v>67</v>
      </c>
      <c r="F143" s="98">
        <v>61</v>
      </c>
      <c r="G143" s="149">
        <f t="shared" si="9"/>
        <v>7.0175438596491224E-2</v>
      </c>
      <c r="H143" s="149">
        <f t="shared" si="10"/>
        <v>-8.9552238805970144E-2</v>
      </c>
      <c r="I143" s="218">
        <f t="shared" si="11"/>
        <v>3.5110944829769476E-4</v>
      </c>
      <c r="J143" s="219">
        <f t="shared" si="12"/>
        <v>-6</v>
      </c>
    </row>
    <row r="144" spans="1:102" x14ac:dyDescent="0.25">
      <c r="A144" s="249" t="s">
        <v>386</v>
      </c>
      <c r="B144" s="264">
        <v>105634</v>
      </c>
      <c r="C144" s="264">
        <v>109274</v>
      </c>
      <c r="D144" s="264">
        <v>115929</v>
      </c>
      <c r="E144" s="264">
        <v>122141</v>
      </c>
      <c r="F144" s="98">
        <v>130228</v>
      </c>
      <c r="G144" s="149">
        <f t="shared" si="9"/>
        <v>0.2328227653975046</v>
      </c>
      <c r="H144" s="149">
        <f t="shared" si="10"/>
        <v>6.6210363432426464E-2</v>
      </c>
      <c r="I144" s="218">
        <f t="shared" si="11"/>
        <v>0.74957838086741302</v>
      </c>
      <c r="J144" s="219">
        <f t="shared" si="12"/>
        <v>8087</v>
      </c>
    </row>
    <row r="145" spans="1:100" x14ac:dyDescent="0.25">
      <c r="A145" s="249" t="s">
        <v>387</v>
      </c>
      <c r="B145" s="264">
        <v>1552</v>
      </c>
      <c r="C145" s="264">
        <v>1659</v>
      </c>
      <c r="D145" s="264">
        <v>1691</v>
      </c>
      <c r="E145" s="264">
        <v>1742</v>
      </c>
      <c r="F145" s="98">
        <v>1900</v>
      </c>
      <c r="G145" s="149">
        <f t="shared" si="9"/>
        <v>0.22422680412371135</v>
      </c>
      <c r="H145" s="149">
        <f t="shared" si="10"/>
        <v>9.0700344431687716E-2</v>
      </c>
      <c r="I145" s="218">
        <f t="shared" si="11"/>
        <v>1.0936195930583936E-2</v>
      </c>
      <c r="J145" s="219">
        <f t="shared" si="12"/>
        <v>158</v>
      </c>
    </row>
    <row r="146" spans="1:100" x14ac:dyDescent="0.25">
      <c r="A146" s="249" t="s">
        <v>388</v>
      </c>
      <c r="B146" s="264">
        <v>351</v>
      </c>
      <c r="C146" s="264">
        <v>417</v>
      </c>
      <c r="D146" s="264">
        <v>460</v>
      </c>
      <c r="E146" s="264">
        <v>467</v>
      </c>
      <c r="F146" s="98">
        <v>471</v>
      </c>
      <c r="G146" s="149">
        <f t="shared" si="9"/>
        <v>0.34188034188034189</v>
      </c>
      <c r="H146" s="149">
        <f t="shared" si="10"/>
        <v>8.5653104925053538E-3</v>
      </c>
      <c r="I146" s="218">
        <f t="shared" si="11"/>
        <v>2.7110254122658071E-3</v>
      </c>
      <c r="J146" s="219">
        <f t="shared" si="12"/>
        <v>4</v>
      </c>
    </row>
    <row r="147" spans="1:100" x14ac:dyDescent="0.25">
      <c r="A147" s="249" t="s">
        <v>389</v>
      </c>
      <c r="B147" s="264">
        <v>16</v>
      </c>
      <c r="C147" s="264">
        <v>15</v>
      </c>
      <c r="D147" s="264">
        <v>17</v>
      </c>
      <c r="E147" s="264">
        <v>20</v>
      </c>
      <c r="F147" s="98">
        <v>26</v>
      </c>
      <c r="G147" s="149">
        <f t="shared" si="9"/>
        <v>0.625</v>
      </c>
      <c r="H147" s="149">
        <f t="shared" si="10"/>
        <v>0.3</v>
      </c>
      <c r="I147" s="218">
        <f t="shared" si="11"/>
        <v>1.4965320747114858E-4</v>
      </c>
      <c r="J147" s="219">
        <f t="shared" si="12"/>
        <v>6</v>
      </c>
    </row>
    <row r="148" spans="1:100" x14ac:dyDescent="0.25">
      <c r="A148" s="252" t="s">
        <v>0</v>
      </c>
      <c r="B148" s="263">
        <v>141014</v>
      </c>
      <c r="C148" s="263">
        <v>145842</v>
      </c>
      <c r="D148" s="263">
        <v>154566</v>
      </c>
      <c r="E148" s="263">
        <v>162641</v>
      </c>
      <c r="F148" s="8">
        <v>173735</v>
      </c>
      <c r="G148" s="150">
        <f t="shared" si="9"/>
        <v>0.2320407902761428</v>
      </c>
      <c r="H148" s="150">
        <f t="shared" si="10"/>
        <v>6.8211582565281814E-2</v>
      </c>
      <c r="I148" s="220">
        <f t="shared" si="11"/>
        <v>1</v>
      </c>
      <c r="J148" s="221">
        <f t="shared" si="12"/>
        <v>11094</v>
      </c>
    </row>
    <row r="149" spans="1:100" x14ac:dyDescent="0.25">
      <c r="D149" s="15"/>
      <c r="E149" s="15"/>
    </row>
    <row r="150" spans="1:100" ht="15.75" x14ac:dyDescent="0.25">
      <c r="A150" s="259" t="s">
        <v>662</v>
      </c>
    </row>
    <row r="151" spans="1:100" ht="38.25" x14ac:dyDescent="0.25">
      <c r="A151" s="238" t="s">
        <v>607</v>
      </c>
      <c r="B151" s="105">
        <v>2021</v>
      </c>
      <c r="C151" s="105">
        <v>2022</v>
      </c>
      <c r="D151" s="105">
        <v>2023</v>
      </c>
      <c r="E151" s="105">
        <v>2024</v>
      </c>
      <c r="F151" s="105">
        <v>2025</v>
      </c>
      <c r="G151" s="106" t="s">
        <v>547</v>
      </c>
      <c r="H151" s="106" t="s">
        <v>548</v>
      </c>
      <c r="I151" s="106" t="s">
        <v>549</v>
      </c>
      <c r="J151" s="216" t="s">
        <v>563</v>
      </c>
    </row>
    <row r="152" spans="1:100" s="231" customFormat="1" x14ac:dyDescent="0.25">
      <c r="A152" s="226" t="s">
        <v>2</v>
      </c>
      <c r="B152" s="263">
        <v>20341</v>
      </c>
      <c r="C152" s="263">
        <v>20307</v>
      </c>
      <c r="D152" s="263">
        <v>21530</v>
      </c>
      <c r="E152" s="263">
        <v>23385</v>
      </c>
      <c r="F152" s="8">
        <v>24283</v>
      </c>
      <c r="G152" s="150">
        <f t="shared" ref="G152:G162" si="13">(F152-B152)/B152</f>
        <v>0.19379578191829311</v>
      </c>
      <c r="H152" s="150">
        <f t="shared" ref="H152:H162" si="14">(F152-E152)/E152</f>
        <v>3.840068419927304E-2</v>
      </c>
      <c r="I152" s="220">
        <f t="shared" ref="I152:I162" si="15">F152/F$148</f>
        <v>0.13977033988545773</v>
      </c>
      <c r="J152" s="221">
        <f t="shared" ref="J152:J162" si="16">F152-E152</f>
        <v>898</v>
      </c>
      <c r="S152" s="233"/>
      <c r="T152" s="233"/>
      <c r="U152" s="233"/>
      <c r="V152" s="233"/>
      <c r="W152" s="233"/>
      <c r="X152" s="233"/>
      <c r="Y152" s="233"/>
      <c r="Z152" s="233"/>
      <c r="AA152" s="233"/>
      <c r="AB152" s="233"/>
      <c r="AC152" s="233"/>
      <c r="AD152" s="233"/>
      <c r="AE152" s="233"/>
      <c r="AF152" s="233"/>
      <c r="AG152" s="233"/>
      <c r="AH152" s="233"/>
      <c r="AI152" s="233"/>
      <c r="AJ152" s="233"/>
      <c r="AK152" s="233"/>
      <c r="AL152" s="233"/>
      <c r="AM152" s="233"/>
      <c r="AN152" s="233"/>
      <c r="AO152" s="233"/>
      <c r="AP152" s="233"/>
      <c r="AQ152" s="233"/>
      <c r="AR152" s="233"/>
      <c r="AS152" s="233"/>
      <c r="AT152" s="233"/>
      <c r="AU152" s="233"/>
      <c r="AV152" s="233"/>
      <c r="AW152" s="233"/>
      <c r="AX152" s="233"/>
      <c r="AY152" s="233"/>
      <c r="AZ152" s="233"/>
      <c r="BA152" s="233"/>
      <c r="BB152" s="233"/>
      <c r="BC152" s="233"/>
      <c r="BD152" s="233"/>
      <c r="BE152" s="233"/>
      <c r="BF152" s="233"/>
      <c r="BG152" s="233"/>
      <c r="BH152" s="233"/>
      <c r="BI152" s="233"/>
      <c r="BJ152" s="233"/>
      <c r="BK152" s="233"/>
      <c r="BL152" s="233"/>
      <c r="BM152" s="233"/>
      <c r="BN152" s="233"/>
      <c r="BO152" s="233"/>
      <c r="BP152" s="233"/>
      <c r="BQ152" s="233"/>
      <c r="BR152" s="233"/>
      <c r="BS152" s="233"/>
      <c r="BT152" s="233"/>
      <c r="BU152" s="233"/>
      <c r="BV152" s="233"/>
      <c r="BW152" s="233"/>
      <c r="BX152" s="233"/>
      <c r="BY152" s="233"/>
      <c r="BZ152" s="233"/>
      <c r="CA152" s="233"/>
      <c r="CB152" s="233"/>
      <c r="CC152" s="233"/>
      <c r="CD152" s="233"/>
      <c r="CE152" s="233"/>
      <c r="CF152" s="233"/>
      <c r="CG152" s="233"/>
      <c r="CH152" s="233"/>
      <c r="CI152" s="233"/>
      <c r="CJ152" s="233"/>
      <c r="CK152" s="233"/>
      <c r="CL152" s="233"/>
      <c r="CM152" s="233"/>
      <c r="CN152" s="233"/>
      <c r="CO152" s="233"/>
      <c r="CP152" s="233"/>
      <c r="CQ152" s="233"/>
      <c r="CR152" s="233"/>
      <c r="CS152" s="233"/>
      <c r="CT152" s="233"/>
      <c r="CU152" s="233"/>
      <c r="CV152" s="233"/>
    </row>
    <row r="153" spans="1:100" x14ac:dyDescent="0.25">
      <c r="A153" s="232" t="s">
        <v>68</v>
      </c>
      <c r="B153" s="264">
        <v>20338</v>
      </c>
      <c r="C153" s="264">
        <v>20307</v>
      </c>
      <c r="D153" s="264">
        <v>21530</v>
      </c>
      <c r="E153" s="264">
        <v>23384</v>
      </c>
      <c r="F153" s="98">
        <v>24274</v>
      </c>
      <c r="G153" s="149">
        <f t="shared" si="13"/>
        <v>0.19352935391877274</v>
      </c>
      <c r="H153" s="149">
        <f t="shared" si="14"/>
        <v>3.8060212110845024E-2</v>
      </c>
      <c r="I153" s="218">
        <f t="shared" si="15"/>
        <v>0.13971853685210234</v>
      </c>
      <c r="J153" s="219">
        <f t="shared" si="16"/>
        <v>890</v>
      </c>
      <c r="K153"/>
      <c r="L153"/>
      <c r="M153"/>
      <c r="N153"/>
      <c r="O153"/>
      <c r="P153"/>
      <c r="Q153"/>
      <c r="R153"/>
    </row>
    <row r="154" spans="1:100" x14ac:dyDescent="0.25">
      <c r="A154" s="232" t="s">
        <v>101</v>
      </c>
      <c r="B154" s="264">
        <v>3</v>
      </c>
      <c r="C154" s="264">
        <v>0</v>
      </c>
      <c r="D154" s="264">
        <v>0</v>
      </c>
      <c r="E154" s="264">
        <v>1</v>
      </c>
      <c r="F154" s="98">
        <v>9</v>
      </c>
      <c r="G154" s="149">
        <f t="shared" si="13"/>
        <v>2</v>
      </c>
      <c r="H154" s="149">
        <f t="shared" si="14"/>
        <v>8</v>
      </c>
      <c r="I154" s="218">
        <f t="shared" si="15"/>
        <v>5.1803033355397592E-5</v>
      </c>
      <c r="J154" s="219">
        <f t="shared" si="16"/>
        <v>8</v>
      </c>
      <c r="K154"/>
      <c r="L154"/>
      <c r="M154"/>
      <c r="N154"/>
      <c r="O154"/>
      <c r="P154"/>
      <c r="Q154"/>
      <c r="R154"/>
    </row>
    <row r="155" spans="1:100" x14ac:dyDescent="0.25">
      <c r="A155" s="226" t="s">
        <v>245</v>
      </c>
      <c r="B155" s="263">
        <v>44500</v>
      </c>
      <c r="C155" s="263">
        <v>47361</v>
      </c>
      <c r="D155" s="263">
        <v>50646</v>
      </c>
      <c r="E155" s="263">
        <v>52275</v>
      </c>
      <c r="F155" s="8">
        <v>55124</v>
      </c>
      <c r="G155" s="150">
        <f t="shared" si="13"/>
        <v>0.23874157303370785</v>
      </c>
      <c r="H155" s="150">
        <f t="shared" si="14"/>
        <v>5.4500239120038256E-2</v>
      </c>
      <c r="I155" s="220">
        <f t="shared" si="15"/>
        <v>0.31728782340921519</v>
      </c>
      <c r="J155" s="221">
        <f t="shared" si="16"/>
        <v>2849</v>
      </c>
      <c r="K155"/>
      <c r="L155"/>
      <c r="M155"/>
      <c r="N155"/>
      <c r="O155"/>
      <c r="P155"/>
      <c r="Q155"/>
      <c r="R155"/>
    </row>
    <row r="156" spans="1:100" x14ac:dyDescent="0.25">
      <c r="A156" s="232" t="s">
        <v>68</v>
      </c>
      <c r="B156" s="264">
        <v>44385</v>
      </c>
      <c r="C156" s="264">
        <v>47267</v>
      </c>
      <c r="D156" s="264">
        <v>50607</v>
      </c>
      <c r="E156" s="264">
        <v>52248</v>
      </c>
      <c r="F156" s="98">
        <v>54997</v>
      </c>
      <c r="G156" s="149">
        <f t="shared" si="13"/>
        <v>0.23908978258420638</v>
      </c>
      <c r="H156" s="149">
        <f t="shared" si="14"/>
        <v>5.2614454141785331E-2</v>
      </c>
      <c r="I156" s="218">
        <f t="shared" si="15"/>
        <v>0.31655682504964455</v>
      </c>
      <c r="J156" s="219">
        <f t="shared" si="16"/>
        <v>2749</v>
      </c>
      <c r="K156"/>
      <c r="L156"/>
      <c r="M156"/>
      <c r="N156"/>
      <c r="O156"/>
      <c r="P156"/>
      <c r="Q156"/>
      <c r="R156"/>
    </row>
    <row r="157" spans="1:100" x14ac:dyDescent="0.25">
      <c r="A157" s="232" t="s">
        <v>101</v>
      </c>
      <c r="B157" s="264">
        <v>115</v>
      </c>
      <c r="C157" s="264">
        <v>94</v>
      </c>
      <c r="D157" s="264">
        <v>39</v>
      </c>
      <c r="E157" s="264">
        <v>27</v>
      </c>
      <c r="F157" s="98">
        <v>127</v>
      </c>
      <c r="G157" s="149">
        <f t="shared" si="13"/>
        <v>0.10434782608695652</v>
      </c>
      <c r="H157" s="149">
        <f t="shared" si="14"/>
        <v>3.7037037037037037</v>
      </c>
      <c r="I157" s="218">
        <f t="shared" si="15"/>
        <v>7.3099835957061044E-4</v>
      </c>
      <c r="J157" s="219">
        <f t="shared" si="16"/>
        <v>100</v>
      </c>
      <c r="K157"/>
      <c r="L157"/>
      <c r="M157"/>
      <c r="N157"/>
      <c r="O157"/>
      <c r="P157"/>
      <c r="Q157"/>
      <c r="R157"/>
    </row>
    <row r="158" spans="1:100" s="231" customFormat="1" x14ac:dyDescent="0.25">
      <c r="A158" s="226" t="s">
        <v>4</v>
      </c>
      <c r="B158" s="263">
        <v>76173</v>
      </c>
      <c r="C158" s="263">
        <v>78174</v>
      </c>
      <c r="D158" s="263">
        <v>82390</v>
      </c>
      <c r="E158" s="263">
        <v>86981</v>
      </c>
      <c r="F158" s="8">
        <v>94328</v>
      </c>
      <c r="G158" s="150">
        <f t="shared" si="13"/>
        <v>0.23833904401822167</v>
      </c>
      <c r="H158" s="150">
        <f t="shared" si="14"/>
        <v>8.4466722617583145E-2</v>
      </c>
      <c r="I158" s="220">
        <f t="shared" si="15"/>
        <v>0.54294183670532703</v>
      </c>
      <c r="J158" s="221">
        <f t="shared" si="16"/>
        <v>7347</v>
      </c>
      <c r="S158" s="233"/>
      <c r="T158" s="233"/>
      <c r="U158" s="233"/>
      <c r="V158" s="233"/>
      <c r="W158" s="233"/>
      <c r="X158" s="233"/>
      <c r="Y158" s="233"/>
      <c r="Z158" s="233"/>
      <c r="AA158" s="233"/>
      <c r="AB158" s="233"/>
      <c r="AC158" s="233"/>
      <c r="AD158" s="233"/>
      <c r="AE158" s="233"/>
      <c r="AF158" s="233"/>
      <c r="AG158" s="233"/>
      <c r="AH158" s="233"/>
      <c r="AI158" s="233"/>
      <c r="AJ158" s="233"/>
      <c r="AK158" s="233"/>
      <c r="AL158" s="233"/>
      <c r="AM158" s="233"/>
      <c r="AN158" s="233"/>
      <c r="AO158" s="233"/>
      <c r="AP158" s="233"/>
      <c r="AQ158" s="233"/>
      <c r="AR158" s="233"/>
      <c r="AS158" s="233"/>
      <c r="AT158" s="233"/>
      <c r="AU158" s="233"/>
      <c r="AV158" s="233"/>
      <c r="AW158" s="233"/>
      <c r="AX158" s="233"/>
      <c r="AY158" s="233"/>
      <c r="AZ158" s="233"/>
      <c r="BA158" s="233"/>
      <c r="BB158" s="233"/>
      <c r="BC158" s="233"/>
      <c r="BD158" s="233"/>
      <c r="BE158" s="233"/>
      <c r="BF158" s="233"/>
      <c r="BG158" s="233"/>
      <c r="BH158" s="233"/>
      <c r="BI158" s="233"/>
      <c r="BJ158" s="233"/>
      <c r="BK158" s="233"/>
      <c r="BL158" s="233"/>
      <c r="BM158" s="233"/>
      <c r="BN158" s="233"/>
      <c r="BO158" s="233"/>
      <c r="BP158" s="233"/>
      <c r="BQ158" s="233"/>
      <c r="BR158" s="233"/>
      <c r="BS158" s="233"/>
      <c r="BT158" s="233"/>
      <c r="BU158" s="233"/>
      <c r="BV158" s="233"/>
      <c r="BW158" s="233"/>
      <c r="BX158" s="233"/>
      <c r="BY158" s="233"/>
      <c r="BZ158" s="233"/>
      <c r="CA158" s="233"/>
      <c r="CB158" s="233"/>
      <c r="CC158" s="233"/>
      <c r="CD158" s="233"/>
      <c r="CE158" s="233"/>
      <c r="CF158" s="233"/>
      <c r="CG158" s="233"/>
      <c r="CH158" s="233"/>
      <c r="CI158" s="233"/>
      <c r="CJ158" s="233"/>
      <c r="CK158" s="233"/>
      <c r="CL158" s="233"/>
      <c r="CM158" s="233"/>
      <c r="CN158" s="233"/>
      <c r="CO158" s="233"/>
      <c r="CP158" s="233"/>
      <c r="CQ158" s="233"/>
      <c r="CR158" s="233"/>
      <c r="CS158" s="233"/>
      <c r="CT158" s="233"/>
      <c r="CU158" s="233"/>
      <c r="CV158" s="233"/>
    </row>
    <row r="159" spans="1:100" x14ac:dyDescent="0.25">
      <c r="A159" s="232" t="s">
        <v>68</v>
      </c>
      <c r="B159" s="264">
        <v>71909</v>
      </c>
      <c r="C159" s="264">
        <v>73499</v>
      </c>
      <c r="D159" s="264">
        <v>77323</v>
      </c>
      <c r="E159" s="264">
        <v>81262</v>
      </c>
      <c r="F159" s="98">
        <v>86962</v>
      </c>
      <c r="G159" s="149">
        <f t="shared" si="13"/>
        <v>0.20933401938561236</v>
      </c>
      <c r="H159" s="149">
        <f t="shared" si="14"/>
        <v>7.0143486500455321E-2</v>
      </c>
      <c r="I159" s="218">
        <f t="shared" si="15"/>
        <v>0.50054393185023172</v>
      </c>
      <c r="J159" s="219">
        <f t="shared" si="16"/>
        <v>5700</v>
      </c>
      <c r="K159"/>
      <c r="L159"/>
      <c r="M159"/>
      <c r="N159"/>
      <c r="O159"/>
      <c r="P159"/>
      <c r="Q159"/>
      <c r="R159"/>
    </row>
    <row r="160" spans="1:100" x14ac:dyDescent="0.25">
      <c r="A160" s="232" t="s">
        <v>35</v>
      </c>
      <c r="B160" s="264">
        <v>2575</v>
      </c>
      <c r="C160" s="264">
        <v>2893</v>
      </c>
      <c r="D160" s="264">
        <v>2947</v>
      </c>
      <c r="E160" s="264">
        <v>2994</v>
      </c>
      <c r="F160" s="98">
        <v>3305</v>
      </c>
      <c r="G160" s="149">
        <f t="shared" si="13"/>
        <v>0.28349514563106798</v>
      </c>
      <c r="H160" s="149">
        <f t="shared" si="14"/>
        <v>0.10387441549766199</v>
      </c>
      <c r="I160" s="218">
        <f t="shared" si="15"/>
        <v>1.9023225026621002E-2</v>
      </c>
      <c r="J160" s="219">
        <f t="shared" si="16"/>
        <v>311</v>
      </c>
      <c r="K160"/>
      <c r="L160"/>
      <c r="M160"/>
      <c r="N160"/>
      <c r="O160"/>
      <c r="P160"/>
      <c r="Q160"/>
      <c r="R160"/>
    </row>
    <row r="161" spans="1:100" s="231" customFormat="1" x14ac:dyDescent="0.25">
      <c r="A161" s="232" t="s">
        <v>101</v>
      </c>
      <c r="B161" s="264">
        <v>1689</v>
      </c>
      <c r="C161" s="264">
        <v>1782</v>
      </c>
      <c r="D161" s="264">
        <v>2120</v>
      </c>
      <c r="E161" s="264">
        <v>2725</v>
      </c>
      <c r="F161" s="98">
        <v>4061</v>
      </c>
      <c r="G161" s="149">
        <f t="shared" si="13"/>
        <v>1.404381290704559</v>
      </c>
      <c r="H161" s="149">
        <f t="shared" si="14"/>
        <v>0.49027522935779816</v>
      </c>
      <c r="I161" s="218">
        <f t="shared" si="15"/>
        <v>2.3374679828474399E-2</v>
      </c>
      <c r="J161" s="219">
        <f t="shared" si="16"/>
        <v>1336</v>
      </c>
      <c r="S161" s="233"/>
      <c r="T161" s="233"/>
      <c r="U161" s="233"/>
      <c r="V161" s="233"/>
      <c r="W161" s="233"/>
      <c r="X161" s="233"/>
      <c r="Y161" s="233"/>
      <c r="Z161" s="233"/>
      <c r="AA161" s="233"/>
      <c r="AB161" s="233"/>
      <c r="AC161" s="233"/>
      <c r="AD161" s="233"/>
      <c r="AE161" s="233"/>
      <c r="AF161" s="233"/>
      <c r="AG161" s="233"/>
      <c r="AH161" s="233"/>
      <c r="AI161" s="233"/>
      <c r="AJ161" s="233"/>
      <c r="AK161" s="233"/>
      <c r="AL161" s="233"/>
      <c r="AM161" s="233"/>
      <c r="AN161" s="233"/>
      <c r="AO161" s="233"/>
      <c r="AP161" s="233"/>
      <c r="AQ161" s="233"/>
      <c r="AR161" s="233"/>
      <c r="AS161" s="233"/>
      <c r="AT161" s="233"/>
      <c r="AU161" s="233"/>
      <c r="AV161" s="233"/>
      <c r="AW161" s="233"/>
      <c r="AX161" s="233"/>
      <c r="AY161" s="233"/>
      <c r="AZ161" s="233"/>
      <c r="BA161" s="233"/>
      <c r="BB161" s="233"/>
      <c r="BC161" s="233"/>
      <c r="BD161" s="233"/>
      <c r="BE161" s="233"/>
      <c r="BF161" s="233"/>
      <c r="BG161" s="233"/>
      <c r="BH161" s="233"/>
      <c r="BI161" s="233"/>
      <c r="BJ161" s="233"/>
      <c r="BK161" s="233"/>
      <c r="BL161" s="233"/>
      <c r="BM161" s="233"/>
      <c r="BN161" s="233"/>
      <c r="BO161" s="233"/>
      <c r="BP161" s="233"/>
      <c r="BQ161" s="233"/>
      <c r="BR161" s="233"/>
      <c r="BS161" s="233"/>
      <c r="BT161" s="233"/>
      <c r="BU161" s="233"/>
      <c r="BV161" s="233"/>
      <c r="BW161" s="233"/>
      <c r="BX161" s="233"/>
      <c r="BY161" s="233"/>
      <c r="BZ161" s="233"/>
      <c r="CA161" s="233"/>
      <c r="CB161" s="233"/>
      <c r="CC161" s="233"/>
      <c r="CD161" s="233"/>
      <c r="CE161" s="233"/>
      <c r="CF161" s="233"/>
      <c r="CG161" s="233"/>
      <c r="CH161" s="233"/>
      <c r="CI161" s="233"/>
      <c r="CJ161" s="233"/>
      <c r="CK161" s="233"/>
      <c r="CL161" s="233"/>
      <c r="CM161" s="233"/>
      <c r="CN161" s="233"/>
      <c r="CO161" s="233"/>
      <c r="CP161" s="233"/>
      <c r="CQ161" s="233"/>
      <c r="CR161" s="233"/>
      <c r="CS161" s="233"/>
      <c r="CT161" s="233"/>
      <c r="CU161" s="233"/>
      <c r="CV161" s="233"/>
    </row>
    <row r="162" spans="1:100" x14ac:dyDescent="0.25">
      <c r="A162" s="226" t="s">
        <v>0</v>
      </c>
      <c r="B162" s="263">
        <v>141014</v>
      </c>
      <c r="C162" s="263">
        <v>145842</v>
      </c>
      <c r="D162" s="263">
        <v>154566</v>
      </c>
      <c r="E162" s="263">
        <v>162641</v>
      </c>
      <c r="F162" s="8">
        <v>173735</v>
      </c>
      <c r="G162" s="150">
        <f t="shared" si="13"/>
        <v>0.2320407902761428</v>
      </c>
      <c r="H162" s="150">
        <f t="shared" si="14"/>
        <v>6.8211582565281814E-2</v>
      </c>
      <c r="I162" s="220">
        <f t="shared" si="15"/>
        <v>1</v>
      </c>
      <c r="J162" s="221">
        <f t="shared" si="16"/>
        <v>11094</v>
      </c>
      <c r="K162"/>
      <c r="L162"/>
      <c r="M162"/>
      <c r="N162"/>
      <c r="O162"/>
      <c r="P162"/>
      <c r="Q162"/>
      <c r="R162"/>
    </row>
    <row r="163" spans="1:100" x14ac:dyDescent="0.25">
      <c r="A163"/>
      <c r="B163"/>
      <c r="C163"/>
      <c r="D163"/>
      <c r="E163"/>
      <c r="F163"/>
      <c r="G163"/>
      <c r="H163"/>
      <c r="I163"/>
      <c r="J163"/>
      <c r="K163"/>
      <c r="L163"/>
      <c r="M163"/>
      <c r="N163"/>
      <c r="O163"/>
      <c r="P163"/>
      <c r="Q163"/>
      <c r="R163"/>
    </row>
    <row r="164" spans="1:100" ht="15.75" x14ac:dyDescent="0.25">
      <c r="A164" s="259" t="s">
        <v>663</v>
      </c>
      <c r="J164"/>
      <c r="K164"/>
      <c r="L164"/>
      <c r="M164"/>
      <c r="N164"/>
      <c r="O164"/>
      <c r="P164"/>
      <c r="Q164"/>
      <c r="R164"/>
    </row>
    <row r="165" spans="1:100" s="231" customFormat="1" ht="38.25" x14ac:dyDescent="0.25">
      <c r="A165" s="238" t="s">
        <v>608</v>
      </c>
      <c r="B165" s="105">
        <v>2021</v>
      </c>
      <c r="C165" s="105">
        <v>2022</v>
      </c>
      <c r="D165" s="105">
        <v>2023</v>
      </c>
      <c r="E165" s="105">
        <v>2024</v>
      </c>
      <c r="F165" s="105">
        <v>2025</v>
      </c>
      <c r="G165" s="106" t="s">
        <v>547</v>
      </c>
      <c r="H165" s="106" t="s">
        <v>548</v>
      </c>
      <c r="I165" s="106" t="s">
        <v>549</v>
      </c>
      <c r="J165" s="216" t="s">
        <v>563</v>
      </c>
      <c r="S165" s="233"/>
      <c r="T165" s="233"/>
      <c r="U165" s="233"/>
      <c r="V165" s="233"/>
      <c r="W165" s="233"/>
      <c r="X165" s="233"/>
      <c r="Y165" s="233"/>
      <c r="Z165" s="233"/>
      <c r="AA165" s="233"/>
      <c r="AB165" s="233"/>
      <c r="AC165" s="233"/>
      <c r="AD165" s="233"/>
      <c r="AE165" s="233"/>
      <c r="AF165" s="233"/>
      <c r="AG165" s="233"/>
      <c r="AH165" s="233"/>
      <c r="AI165" s="233"/>
      <c r="AJ165" s="233"/>
      <c r="AK165" s="233"/>
      <c r="AL165" s="233"/>
      <c r="AM165" s="233"/>
      <c r="AN165" s="233"/>
      <c r="AO165" s="233"/>
      <c r="AP165" s="233"/>
      <c r="AQ165" s="233"/>
      <c r="AR165" s="233"/>
      <c r="AS165" s="233"/>
      <c r="AT165" s="233"/>
      <c r="AU165" s="233"/>
      <c r="AV165" s="233"/>
      <c r="AW165" s="233"/>
      <c r="AX165" s="233"/>
      <c r="AY165" s="233"/>
      <c r="AZ165" s="233"/>
      <c r="BA165" s="233"/>
      <c r="BB165" s="233"/>
      <c r="BC165" s="233"/>
      <c r="BD165" s="233"/>
      <c r="BE165" s="233"/>
      <c r="BF165" s="233"/>
      <c r="BG165" s="233"/>
      <c r="BH165" s="233"/>
      <c r="BI165" s="233"/>
      <c r="BJ165" s="233"/>
      <c r="BK165" s="233"/>
      <c r="BL165" s="233"/>
      <c r="BM165" s="233"/>
      <c r="BN165" s="233"/>
      <c r="BO165" s="233"/>
      <c r="BP165" s="233"/>
      <c r="BQ165" s="233"/>
      <c r="BR165" s="233"/>
      <c r="BS165" s="233"/>
      <c r="BT165" s="233"/>
      <c r="BU165" s="233"/>
      <c r="BV165" s="233"/>
      <c r="BW165" s="233"/>
      <c r="BX165" s="233"/>
      <c r="BY165" s="233"/>
      <c r="BZ165" s="233"/>
      <c r="CA165" s="233"/>
      <c r="CB165" s="233"/>
      <c r="CC165" s="233"/>
      <c r="CD165" s="233"/>
      <c r="CE165" s="233"/>
      <c r="CF165" s="233"/>
      <c r="CG165" s="233"/>
      <c r="CH165" s="233"/>
      <c r="CI165" s="233"/>
      <c r="CJ165" s="233"/>
      <c r="CK165" s="233"/>
      <c r="CL165" s="233"/>
      <c r="CM165" s="233"/>
      <c r="CN165" s="233"/>
      <c r="CO165" s="233"/>
      <c r="CP165" s="233"/>
      <c r="CQ165" s="233"/>
      <c r="CR165" s="233"/>
      <c r="CS165" s="233"/>
      <c r="CT165" s="233"/>
      <c r="CU165" s="233"/>
      <c r="CV165" s="233"/>
    </row>
    <row r="166" spans="1:100" x14ac:dyDescent="0.25">
      <c r="A166" s="226" t="s">
        <v>68</v>
      </c>
      <c r="B166" s="265">
        <v>136632</v>
      </c>
      <c r="C166" s="265">
        <v>141073</v>
      </c>
      <c r="D166" s="265">
        <v>149460</v>
      </c>
      <c r="E166" s="265">
        <v>156894</v>
      </c>
      <c r="F166" s="265">
        <v>166233</v>
      </c>
      <c r="G166" s="150">
        <f t="shared" ref="G166:G179" si="17">(F166-B166)/B166</f>
        <v>0.21664763744949939</v>
      </c>
      <c r="H166" s="150">
        <f t="shared" ref="H166:H179" si="18">(F166-E166)/E166</f>
        <v>5.9524264790240547E-2</v>
      </c>
      <c r="I166" s="220">
        <f t="shared" ref="I166:I179" si="19">F166/F$148</f>
        <v>0.95681929375197861</v>
      </c>
      <c r="J166" s="221">
        <f t="shared" ref="J166:J179" si="20">F166-E166</f>
        <v>9339</v>
      </c>
    </row>
    <row r="167" spans="1:100" x14ac:dyDescent="0.25">
      <c r="A167" s="232" t="s">
        <v>82</v>
      </c>
      <c r="B167" s="266">
        <v>43130</v>
      </c>
      <c r="C167" s="266">
        <v>43795</v>
      </c>
      <c r="D167" s="266">
        <v>45362</v>
      </c>
      <c r="E167" s="266">
        <v>45866</v>
      </c>
      <c r="F167" s="266">
        <v>46095</v>
      </c>
      <c r="G167" s="149">
        <f t="shared" si="17"/>
        <v>6.8745652677950381E-2</v>
      </c>
      <c r="H167" s="149">
        <f t="shared" si="18"/>
        <v>4.9928051279815111E-3</v>
      </c>
      <c r="I167" s="218">
        <f t="shared" si="19"/>
        <v>0.26531786916856132</v>
      </c>
      <c r="J167" s="219">
        <f t="shared" si="20"/>
        <v>229</v>
      </c>
    </row>
    <row r="168" spans="1:100" x14ac:dyDescent="0.25">
      <c r="A168" s="232" t="s">
        <v>327</v>
      </c>
      <c r="B168" s="266">
        <v>28761</v>
      </c>
      <c r="C168" s="266">
        <v>30175</v>
      </c>
      <c r="D168" s="266">
        <v>32830</v>
      </c>
      <c r="E168" s="266">
        <v>35606</v>
      </c>
      <c r="F168" s="266">
        <v>39180</v>
      </c>
      <c r="G168" s="149">
        <f t="shared" si="17"/>
        <v>0.3622613956399291</v>
      </c>
      <c r="H168" s="149">
        <f t="shared" si="18"/>
        <v>0.10037634106611246</v>
      </c>
      <c r="I168" s="218">
        <f t="shared" si="19"/>
        <v>0.22551587187383085</v>
      </c>
      <c r="J168" s="219">
        <f t="shared" si="20"/>
        <v>3574</v>
      </c>
    </row>
    <row r="169" spans="1:100" x14ac:dyDescent="0.25">
      <c r="A169" s="232" t="s">
        <v>286</v>
      </c>
      <c r="B169" s="266">
        <v>897</v>
      </c>
      <c r="C169" s="266">
        <v>861</v>
      </c>
      <c r="D169" s="266">
        <v>988</v>
      </c>
      <c r="E169" s="266">
        <v>1072</v>
      </c>
      <c r="F169" s="266">
        <v>1266</v>
      </c>
      <c r="G169" s="149">
        <f t="shared" si="17"/>
        <v>0.41137123745819398</v>
      </c>
      <c r="H169" s="149">
        <f t="shared" si="18"/>
        <v>0.18097014925373134</v>
      </c>
      <c r="I169" s="218">
        <f t="shared" si="19"/>
        <v>7.2869600253259274E-3</v>
      </c>
      <c r="J169" s="219">
        <f t="shared" si="20"/>
        <v>194</v>
      </c>
    </row>
    <row r="170" spans="1:100" x14ac:dyDescent="0.25">
      <c r="A170" s="232" t="s">
        <v>83</v>
      </c>
      <c r="B170" s="266">
        <v>974</v>
      </c>
      <c r="C170" s="266">
        <v>1004</v>
      </c>
      <c r="D170" s="266">
        <v>1046</v>
      </c>
      <c r="E170" s="266">
        <v>981</v>
      </c>
      <c r="F170" s="266">
        <v>1163</v>
      </c>
      <c r="G170" s="149">
        <f t="shared" si="17"/>
        <v>0.19404517453798767</v>
      </c>
      <c r="H170" s="149">
        <f t="shared" si="18"/>
        <v>0.18552497451580022</v>
      </c>
      <c r="I170" s="218">
        <f t="shared" si="19"/>
        <v>6.6941030880363775E-3</v>
      </c>
      <c r="J170" s="219">
        <f t="shared" si="20"/>
        <v>182</v>
      </c>
    </row>
    <row r="171" spans="1:100" x14ac:dyDescent="0.25">
      <c r="A171" s="232" t="s">
        <v>328</v>
      </c>
      <c r="B171" s="266">
        <v>62870</v>
      </c>
      <c r="C171" s="266">
        <v>65238</v>
      </c>
      <c r="D171" s="266">
        <v>69234</v>
      </c>
      <c r="E171" s="266">
        <v>73369</v>
      </c>
      <c r="F171" s="266">
        <v>78529</v>
      </c>
      <c r="G171" s="149">
        <f t="shared" si="17"/>
        <v>0.24906950850962303</v>
      </c>
      <c r="H171" s="149">
        <f t="shared" si="18"/>
        <v>7.0329430685984545E-2</v>
      </c>
      <c r="I171" s="218">
        <f t="shared" si="19"/>
        <v>0.45200448959622413</v>
      </c>
      <c r="J171" s="219">
        <f t="shared" si="20"/>
        <v>5160</v>
      </c>
    </row>
    <row r="172" spans="1:100" x14ac:dyDescent="0.25">
      <c r="A172" s="226" t="s">
        <v>35</v>
      </c>
      <c r="B172" s="265">
        <v>2575</v>
      </c>
      <c r="C172" s="265">
        <v>2893</v>
      </c>
      <c r="D172" s="265">
        <v>2947</v>
      </c>
      <c r="E172" s="265">
        <v>2994</v>
      </c>
      <c r="F172" s="265">
        <v>3305</v>
      </c>
      <c r="G172" s="150">
        <f t="shared" si="17"/>
        <v>0.28349514563106798</v>
      </c>
      <c r="H172" s="150">
        <f t="shared" si="18"/>
        <v>0.10387441549766199</v>
      </c>
      <c r="I172" s="220">
        <f t="shared" si="19"/>
        <v>1.9023225026621002E-2</v>
      </c>
      <c r="J172" s="221">
        <f t="shared" si="20"/>
        <v>311</v>
      </c>
    </row>
    <row r="173" spans="1:100" x14ac:dyDescent="0.25">
      <c r="A173" s="232" t="s">
        <v>96</v>
      </c>
      <c r="B173" s="266">
        <v>267</v>
      </c>
      <c r="C173" s="266">
        <v>286</v>
      </c>
      <c r="D173" s="266">
        <v>329</v>
      </c>
      <c r="E173" s="266">
        <v>373</v>
      </c>
      <c r="F173" s="266">
        <v>399</v>
      </c>
      <c r="G173" s="149">
        <f t="shared" si="17"/>
        <v>0.4943820224719101</v>
      </c>
      <c r="H173" s="149">
        <f t="shared" si="18"/>
        <v>6.9705093833780166E-2</v>
      </c>
      <c r="I173" s="218">
        <f t="shared" si="19"/>
        <v>2.2966011454226263E-3</v>
      </c>
      <c r="J173" s="219">
        <f t="shared" si="20"/>
        <v>26</v>
      </c>
    </row>
    <row r="174" spans="1:100" x14ac:dyDescent="0.25">
      <c r="A174" s="232" t="s">
        <v>97</v>
      </c>
      <c r="B174" s="266">
        <v>2308</v>
      </c>
      <c r="C174" s="266">
        <v>2607</v>
      </c>
      <c r="D174" s="266">
        <v>2618</v>
      </c>
      <c r="E174" s="266">
        <v>2621</v>
      </c>
      <c r="F174" s="266">
        <v>2906</v>
      </c>
      <c r="G174" s="149">
        <f t="shared" si="17"/>
        <v>0.25909878682842286</v>
      </c>
      <c r="H174" s="149">
        <f t="shared" si="18"/>
        <v>0.10873712323540634</v>
      </c>
      <c r="I174" s="218">
        <f t="shared" si="19"/>
        <v>1.6726623881198378E-2</v>
      </c>
      <c r="J174" s="219">
        <f t="shared" si="20"/>
        <v>285</v>
      </c>
    </row>
    <row r="175" spans="1:100" x14ac:dyDescent="0.25">
      <c r="A175" s="226" t="s">
        <v>34</v>
      </c>
      <c r="B175" s="265">
        <v>1807</v>
      </c>
      <c r="C175" s="265">
        <v>1876</v>
      </c>
      <c r="D175" s="265">
        <v>2159</v>
      </c>
      <c r="E175" s="265">
        <v>2753</v>
      </c>
      <c r="F175" s="265">
        <v>4197</v>
      </c>
      <c r="G175" s="150">
        <f t="shared" si="17"/>
        <v>1.3226342003320422</v>
      </c>
      <c r="H175" s="150">
        <f t="shared" si="18"/>
        <v>0.52451870686523794</v>
      </c>
      <c r="I175" s="220">
        <f t="shared" si="19"/>
        <v>2.415748122140041E-2</v>
      </c>
      <c r="J175" s="221">
        <f t="shared" si="20"/>
        <v>1444</v>
      </c>
    </row>
    <row r="176" spans="1:100" x14ac:dyDescent="0.25">
      <c r="A176" s="232" t="s">
        <v>102</v>
      </c>
      <c r="B176" s="266">
        <v>84</v>
      </c>
      <c r="C176" s="266">
        <v>126</v>
      </c>
      <c r="D176" s="266">
        <v>162</v>
      </c>
      <c r="E176" s="266">
        <v>200</v>
      </c>
      <c r="F176" s="266">
        <v>246</v>
      </c>
      <c r="G176" s="149">
        <f t="shared" si="17"/>
        <v>1.9285714285714286</v>
      </c>
      <c r="H176" s="149">
        <f t="shared" si="18"/>
        <v>0.23</v>
      </c>
      <c r="I176" s="218">
        <f t="shared" si="19"/>
        <v>1.4159495783808674E-3</v>
      </c>
      <c r="J176" s="219">
        <f t="shared" si="20"/>
        <v>46</v>
      </c>
    </row>
    <row r="177" spans="1:10" x14ac:dyDescent="0.25">
      <c r="A177" s="232" t="s">
        <v>34</v>
      </c>
      <c r="B177" s="266">
        <v>377</v>
      </c>
      <c r="C177" s="266">
        <v>335</v>
      </c>
      <c r="D177" s="266">
        <v>315</v>
      </c>
      <c r="E177" s="266">
        <v>264</v>
      </c>
      <c r="F177" s="266">
        <v>344</v>
      </c>
      <c r="G177" s="149">
        <f t="shared" si="17"/>
        <v>-8.7533156498673742E-2</v>
      </c>
      <c r="H177" s="149">
        <f t="shared" si="18"/>
        <v>0.30303030303030304</v>
      </c>
      <c r="I177" s="218">
        <f t="shared" si="19"/>
        <v>1.9800270526951968E-3</v>
      </c>
      <c r="J177" s="219">
        <f t="shared" si="20"/>
        <v>80</v>
      </c>
    </row>
    <row r="178" spans="1:10" x14ac:dyDescent="0.25">
      <c r="A178" s="232" t="s">
        <v>601</v>
      </c>
      <c r="B178" s="266">
        <v>1346</v>
      </c>
      <c r="C178" s="266">
        <v>1415</v>
      </c>
      <c r="D178" s="266">
        <v>1682</v>
      </c>
      <c r="E178" s="266">
        <v>2289</v>
      </c>
      <c r="F178" s="266">
        <v>3607</v>
      </c>
      <c r="G178" s="149">
        <f t="shared" si="17"/>
        <v>1.6797919762258544</v>
      </c>
      <c r="H178" s="149">
        <f t="shared" si="18"/>
        <v>0.57579729139362168</v>
      </c>
      <c r="I178" s="218">
        <f t="shared" si="19"/>
        <v>2.0761504590324345E-2</v>
      </c>
      <c r="J178" s="219">
        <f t="shared" si="20"/>
        <v>1318</v>
      </c>
    </row>
    <row r="179" spans="1:10" x14ac:dyDescent="0.25">
      <c r="A179" s="226" t="s">
        <v>0</v>
      </c>
      <c r="B179" s="265">
        <v>141014</v>
      </c>
      <c r="C179" s="265">
        <v>145842</v>
      </c>
      <c r="D179" s="265">
        <v>154566</v>
      </c>
      <c r="E179" s="265">
        <v>162641</v>
      </c>
      <c r="F179" s="265">
        <v>173735</v>
      </c>
      <c r="G179" s="150">
        <f t="shared" si="17"/>
        <v>0.2320407902761428</v>
      </c>
      <c r="H179" s="150">
        <f t="shared" si="18"/>
        <v>6.8211582565281814E-2</v>
      </c>
      <c r="I179" s="220">
        <f t="shared" si="19"/>
        <v>1</v>
      </c>
      <c r="J179" s="221">
        <f t="shared" si="20"/>
        <v>11094</v>
      </c>
    </row>
    <row r="181" spans="1:10" ht="15.75" x14ac:dyDescent="0.25">
      <c r="A181" s="259" t="s">
        <v>664</v>
      </c>
    </row>
    <row r="182" spans="1:10" ht="38.25" x14ac:dyDescent="0.25">
      <c r="A182" s="238" t="s">
        <v>372</v>
      </c>
      <c r="B182" s="105">
        <v>2021</v>
      </c>
      <c r="C182" s="105">
        <v>2022</v>
      </c>
      <c r="D182" s="105">
        <v>2023</v>
      </c>
      <c r="E182" s="105">
        <v>2024</v>
      </c>
      <c r="F182" s="105">
        <v>2025</v>
      </c>
      <c r="G182" s="106" t="s">
        <v>547</v>
      </c>
      <c r="H182" s="106" t="s">
        <v>548</v>
      </c>
      <c r="I182" s="106" t="s">
        <v>549</v>
      </c>
      <c r="J182" s="216" t="s">
        <v>563</v>
      </c>
    </row>
    <row r="183" spans="1:10" x14ac:dyDescent="0.25">
      <c r="A183" s="225" t="s">
        <v>138</v>
      </c>
      <c r="B183" s="264">
        <v>83116</v>
      </c>
      <c r="C183" s="264">
        <v>85015</v>
      </c>
      <c r="D183" s="264">
        <v>88791</v>
      </c>
      <c r="E183" s="264">
        <v>92392</v>
      </c>
      <c r="F183" s="98">
        <v>98413</v>
      </c>
      <c r="G183" s="149">
        <f t="shared" ref="G183:G186" si="21">(F183-B183)/B183</f>
        <v>0.18404398671735886</v>
      </c>
      <c r="H183" s="149">
        <f t="shared" ref="H183:H186" si="22">(F183-E183)/E183</f>
        <v>6.5167979911680662E-2</v>
      </c>
      <c r="I183" s="218">
        <f t="shared" ref="I183:I186" si="23">F183/F$148</f>
        <v>0.56645465795608252</v>
      </c>
      <c r="J183" s="219">
        <f t="shared" ref="J183:J186" si="24">F183-E183</f>
        <v>6021</v>
      </c>
    </row>
    <row r="184" spans="1:10" x14ac:dyDescent="0.25">
      <c r="A184" s="225" t="s">
        <v>139</v>
      </c>
      <c r="B184" s="264">
        <v>57898</v>
      </c>
      <c r="C184" s="264">
        <v>60827</v>
      </c>
      <c r="D184" s="264">
        <v>65775</v>
      </c>
      <c r="E184" s="264">
        <v>70248</v>
      </c>
      <c r="F184" s="98">
        <v>75321</v>
      </c>
      <c r="G184" s="149">
        <f t="shared" si="21"/>
        <v>0.30092576600227988</v>
      </c>
      <c r="H184" s="149">
        <f t="shared" si="22"/>
        <v>7.2215579091219673E-2</v>
      </c>
      <c r="I184" s="218">
        <f t="shared" si="23"/>
        <v>0.43353958615132243</v>
      </c>
      <c r="J184" s="219">
        <f t="shared" si="24"/>
        <v>5073</v>
      </c>
    </row>
    <row r="185" spans="1:10" x14ac:dyDescent="0.25">
      <c r="A185" s="225" t="s">
        <v>604</v>
      </c>
      <c r="B185" s="264">
        <v>0</v>
      </c>
      <c r="C185" s="264">
        <v>0</v>
      </c>
      <c r="D185" s="264">
        <v>0</v>
      </c>
      <c r="E185" s="264">
        <v>1</v>
      </c>
      <c r="F185" s="98">
        <v>1</v>
      </c>
      <c r="G185" s="149" t="s">
        <v>130</v>
      </c>
      <c r="H185" s="149">
        <f t="shared" si="22"/>
        <v>0</v>
      </c>
      <c r="I185" s="218">
        <f t="shared" si="23"/>
        <v>5.7558925950441767E-6</v>
      </c>
      <c r="J185" s="219">
        <f t="shared" si="24"/>
        <v>0</v>
      </c>
    </row>
    <row r="186" spans="1:10" x14ac:dyDescent="0.25">
      <c r="A186" s="226" t="s">
        <v>0</v>
      </c>
      <c r="B186" s="263">
        <v>141014</v>
      </c>
      <c r="C186" s="263">
        <v>145842</v>
      </c>
      <c r="D186" s="263">
        <v>154566</v>
      </c>
      <c r="E186" s="263">
        <v>162641</v>
      </c>
      <c r="F186" s="8">
        <v>173735</v>
      </c>
      <c r="G186" s="150">
        <f t="shared" si="21"/>
        <v>0.2320407902761428</v>
      </c>
      <c r="H186" s="150">
        <f t="shared" si="22"/>
        <v>6.8211582565281814E-2</v>
      </c>
      <c r="I186" s="220">
        <f t="shared" si="23"/>
        <v>1</v>
      </c>
      <c r="J186" s="221">
        <f t="shared" si="24"/>
        <v>11094</v>
      </c>
    </row>
    <row r="188" spans="1:10" ht="15.75" x14ac:dyDescent="0.25">
      <c r="A188" s="259" t="s">
        <v>628</v>
      </c>
    </row>
    <row r="189" spans="1:10" ht="38.25" x14ac:dyDescent="0.25">
      <c r="A189" s="238" t="s">
        <v>44</v>
      </c>
      <c r="B189" s="105">
        <v>2021</v>
      </c>
      <c r="C189" s="105">
        <v>2022</v>
      </c>
      <c r="D189" s="105">
        <v>2023</v>
      </c>
      <c r="E189" s="105">
        <v>2024</v>
      </c>
      <c r="F189" s="105">
        <v>2025</v>
      </c>
      <c r="G189" s="106" t="s">
        <v>547</v>
      </c>
      <c r="H189" s="106" t="s">
        <v>548</v>
      </c>
      <c r="I189" s="106" t="s">
        <v>549</v>
      </c>
      <c r="J189" s="216" t="s">
        <v>563</v>
      </c>
    </row>
    <row r="190" spans="1:10" x14ac:dyDescent="0.25">
      <c r="A190" s="225" t="s">
        <v>582</v>
      </c>
      <c r="B190" s="264">
        <v>6701</v>
      </c>
      <c r="C190" s="264">
        <v>6580</v>
      </c>
      <c r="D190" s="264">
        <v>6729</v>
      </c>
      <c r="E190" s="264">
        <v>6842</v>
      </c>
      <c r="F190" s="98">
        <v>6847</v>
      </c>
      <c r="G190" s="149">
        <f t="shared" ref="G190:G206" si="25">(F190-B190)/B190</f>
        <v>2.1787792866736308E-2</v>
      </c>
      <c r="H190" s="149">
        <f t="shared" ref="H190:H206" si="26">(F190-E190)/E190</f>
        <v>7.3078047354574688E-4</v>
      </c>
      <c r="I190" s="218">
        <f t="shared" ref="I190:I206" si="27">F190/F$148</f>
        <v>3.9410596598267476E-2</v>
      </c>
      <c r="J190" s="219">
        <f t="shared" ref="J190:J206" si="28">F190-E190</f>
        <v>5</v>
      </c>
    </row>
    <row r="191" spans="1:10" x14ac:dyDescent="0.25">
      <c r="A191" s="225" t="s">
        <v>583</v>
      </c>
      <c r="B191" s="264">
        <v>5606</v>
      </c>
      <c r="C191" s="264">
        <v>5448</v>
      </c>
      <c r="D191" s="264">
        <v>5661</v>
      </c>
      <c r="E191" s="264">
        <v>5677</v>
      </c>
      <c r="F191" s="98">
        <v>6010</v>
      </c>
      <c r="G191" s="149">
        <f t="shared" si="25"/>
        <v>7.2065643952907599E-2</v>
      </c>
      <c r="H191" s="149">
        <f t="shared" si="26"/>
        <v>5.8657741765016737E-2</v>
      </c>
      <c r="I191" s="218">
        <f t="shared" si="27"/>
        <v>3.4592914496215502E-2</v>
      </c>
      <c r="J191" s="219">
        <f t="shared" si="28"/>
        <v>333</v>
      </c>
    </row>
    <row r="192" spans="1:10" x14ac:dyDescent="0.25">
      <c r="A192" s="225" t="s">
        <v>584</v>
      </c>
      <c r="B192" s="264">
        <v>5972</v>
      </c>
      <c r="C192" s="264">
        <v>5938</v>
      </c>
      <c r="D192" s="264">
        <v>5876</v>
      </c>
      <c r="E192" s="264">
        <v>5815</v>
      </c>
      <c r="F192" s="98">
        <v>5896</v>
      </c>
      <c r="G192" s="149">
        <f t="shared" si="25"/>
        <v>-1.2726054922973878E-2</v>
      </c>
      <c r="H192" s="149">
        <f t="shared" si="26"/>
        <v>1.3929492691315564E-2</v>
      </c>
      <c r="I192" s="218">
        <f t="shared" si="27"/>
        <v>3.3936742740380464E-2</v>
      </c>
      <c r="J192" s="219">
        <f t="shared" si="28"/>
        <v>81</v>
      </c>
    </row>
    <row r="193" spans="1:10" x14ac:dyDescent="0.25">
      <c r="A193" s="225" t="s">
        <v>585</v>
      </c>
      <c r="B193" s="264">
        <v>3947</v>
      </c>
      <c r="C193" s="264">
        <v>3839</v>
      </c>
      <c r="D193" s="264">
        <v>3928</v>
      </c>
      <c r="E193" s="264">
        <v>4109</v>
      </c>
      <c r="F193" s="98">
        <v>4347</v>
      </c>
      <c r="G193" s="149">
        <f t="shared" si="25"/>
        <v>0.10134279199391943</v>
      </c>
      <c r="H193" s="149">
        <f t="shared" si="26"/>
        <v>5.7921635434412269E-2</v>
      </c>
      <c r="I193" s="218">
        <f t="shared" si="27"/>
        <v>2.5020865110657035E-2</v>
      </c>
      <c r="J193" s="219">
        <f t="shared" si="28"/>
        <v>238</v>
      </c>
    </row>
    <row r="194" spans="1:10" x14ac:dyDescent="0.25">
      <c r="A194" s="225" t="s">
        <v>586</v>
      </c>
      <c r="B194" s="264">
        <v>5960</v>
      </c>
      <c r="C194" s="264">
        <v>6093</v>
      </c>
      <c r="D194" s="264">
        <v>6329</v>
      </c>
      <c r="E194" s="264">
        <v>6711</v>
      </c>
      <c r="F194" s="98">
        <v>7112</v>
      </c>
      <c r="G194" s="149">
        <f t="shared" si="25"/>
        <v>0.19328859060402684</v>
      </c>
      <c r="H194" s="149">
        <f t="shared" si="26"/>
        <v>5.9752644911339595E-2</v>
      </c>
      <c r="I194" s="218">
        <f t="shared" si="27"/>
        <v>4.0935908135954185E-2</v>
      </c>
      <c r="J194" s="219">
        <f t="shared" si="28"/>
        <v>401</v>
      </c>
    </row>
    <row r="195" spans="1:10" x14ac:dyDescent="0.25">
      <c r="A195" s="225" t="s">
        <v>587</v>
      </c>
      <c r="B195" s="264">
        <v>7604</v>
      </c>
      <c r="C195" s="264">
        <v>7731</v>
      </c>
      <c r="D195" s="264">
        <v>7952</v>
      </c>
      <c r="E195" s="264">
        <v>8274</v>
      </c>
      <c r="F195" s="98">
        <v>8752</v>
      </c>
      <c r="G195" s="149">
        <f t="shared" si="25"/>
        <v>0.1509731720147291</v>
      </c>
      <c r="H195" s="149">
        <f t="shared" si="26"/>
        <v>5.777133188300701E-2</v>
      </c>
      <c r="I195" s="218">
        <f t="shared" si="27"/>
        <v>5.0375571991826636E-2</v>
      </c>
      <c r="J195" s="219">
        <f t="shared" si="28"/>
        <v>478</v>
      </c>
    </row>
    <row r="196" spans="1:10" x14ac:dyDescent="0.25">
      <c r="A196" s="225" t="s">
        <v>588</v>
      </c>
      <c r="B196" s="264">
        <v>46415</v>
      </c>
      <c r="C196" s="264">
        <v>50246</v>
      </c>
      <c r="D196" s="264">
        <v>54818</v>
      </c>
      <c r="E196" s="264">
        <v>58726</v>
      </c>
      <c r="F196" s="98">
        <v>64410</v>
      </c>
      <c r="G196" s="149">
        <f t="shared" si="25"/>
        <v>0.38769794247549283</v>
      </c>
      <c r="H196" s="149">
        <f t="shared" si="26"/>
        <v>9.6788475292034187E-2</v>
      </c>
      <c r="I196" s="218">
        <f t="shared" si="27"/>
        <v>0.37073704204679542</v>
      </c>
      <c r="J196" s="219">
        <f t="shared" si="28"/>
        <v>5684</v>
      </c>
    </row>
    <row r="197" spans="1:10" x14ac:dyDescent="0.25">
      <c r="A197" s="225" t="s">
        <v>589</v>
      </c>
      <c r="B197" s="264">
        <v>1484</v>
      </c>
      <c r="C197" s="264">
        <v>1597</v>
      </c>
      <c r="D197" s="264">
        <v>1739</v>
      </c>
      <c r="E197" s="264">
        <v>1774</v>
      </c>
      <c r="F197" s="98">
        <v>1839</v>
      </c>
      <c r="G197" s="149">
        <f t="shared" si="25"/>
        <v>0.23921832884097036</v>
      </c>
      <c r="H197" s="149">
        <f t="shared" si="26"/>
        <v>3.6640360766629083E-2</v>
      </c>
      <c r="I197" s="218">
        <f t="shared" si="27"/>
        <v>1.0585086482286241E-2</v>
      </c>
      <c r="J197" s="219">
        <f t="shared" si="28"/>
        <v>65</v>
      </c>
    </row>
    <row r="198" spans="1:10" x14ac:dyDescent="0.25">
      <c r="A198" s="225" t="s">
        <v>590</v>
      </c>
      <c r="B198" s="264">
        <v>2661</v>
      </c>
      <c r="C198" s="264">
        <v>2701</v>
      </c>
      <c r="D198" s="264">
        <v>2794</v>
      </c>
      <c r="E198" s="264">
        <v>2970</v>
      </c>
      <c r="F198" s="98">
        <v>3116</v>
      </c>
      <c r="G198" s="149">
        <f t="shared" si="25"/>
        <v>0.17098835024426906</v>
      </c>
      <c r="H198" s="149">
        <f t="shared" si="26"/>
        <v>4.9158249158249158E-2</v>
      </c>
      <c r="I198" s="218">
        <f t="shared" si="27"/>
        <v>1.7935361326157653E-2</v>
      </c>
      <c r="J198" s="219">
        <f t="shared" si="28"/>
        <v>146</v>
      </c>
    </row>
    <row r="199" spans="1:10" x14ac:dyDescent="0.25">
      <c r="A199" s="225" t="s">
        <v>591</v>
      </c>
      <c r="B199" s="264">
        <v>1010</v>
      </c>
      <c r="C199" s="264">
        <v>1033</v>
      </c>
      <c r="D199" s="264">
        <v>1070</v>
      </c>
      <c r="E199" s="264">
        <v>1106</v>
      </c>
      <c r="F199" s="98">
        <v>1104</v>
      </c>
      <c r="G199" s="149">
        <f t="shared" si="25"/>
        <v>9.3069306930693069E-2</v>
      </c>
      <c r="H199" s="149">
        <f t="shared" si="26"/>
        <v>-1.8083182640144665E-3</v>
      </c>
      <c r="I199" s="218">
        <f t="shared" si="27"/>
        <v>6.3545054249287709E-3</v>
      </c>
      <c r="J199" s="219">
        <f t="shared" si="28"/>
        <v>-2</v>
      </c>
    </row>
    <row r="200" spans="1:10" x14ac:dyDescent="0.25">
      <c r="A200" s="225" t="s">
        <v>592</v>
      </c>
      <c r="B200" s="264">
        <v>10658</v>
      </c>
      <c r="C200" s="264">
        <v>10978</v>
      </c>
      <c r="D200" s="264">
        <v>11551</v>
      </c>
      <c r="E200" s="264">
        <v>12414</v>
      </c>
      <c r="F200" s="98">
        <v>12877</v>
      </c>
      <c r="G200" s="149">
        <f t="shared" si="25"/>
        <v>0.20820041283542878</v>
      </c>
      <c r="H200" s="149">
        <f t="shared" si="26"/>
        <v>3.7296600612212016E-2</v>
      </c>
      <c r="I200" s="218">
        <f t="shared" si="27"/>
        <v>7.4118628946383866E-2</v>
      </c>
      <c r="J200" s="219">
        <f t="shared" si="28"/>
        <v>463</v>
      </c>
    </row>
    <row r="201" spans="1:10" x14ac:dyDescent="0.25">
      <c r="A201" s="225" t="s">
        <v>593</v>
      </c>
      <c r="B201" s="264">
        <v>19198</v>
      </c>
      <c r="C201" s="264">
        <v>19509</v>
      </c>
      <c r="D201" s="264">
        <v>20546</v>
      </c>
      <c r="E201" s="264">
        <v>21579</v>
      </c>
      <c r="F201" s="98">
        <v>23135</v>
      </c>
      <c r="G201" s="149">
        <f t="shared" si="25"/>
        <v>0.20507344515053652</v>
      </c>
      <c r="H201" s="149">
        <f t="shared" si="26"/>
        <v>7.2107141202094632E-2</v>
      </c>
      <c r="I201" s="218">
        <f t="shared" si="27"/>
        <v>0.13316257518634703</v>
      </c>
      <c r="J201" s="219">
        <f t="shared" si="28"/>
        <v>1556</v>
      </c>
    </row>
    <row r="202" spans="1:10" x14ac:dyDescent="0.25">
      <c r="A202" s="225" t="s">
        <v>594</v>
      </c>
      <c r="B202" s="264">
        <v>6220</v>
      </c>
      <c r="C202" s="264">
        <v>6402</v>
      </c>
      <c r="D202" s="264">
        <v>6809</v>
      </c>
      <c r="E202" s="264">
        <v>7223</v>
      </c>
      <c r="F202" s="98">
        <v>7543</v>
      </c>
      <c r="G202" s="149">
        <f t="shared" si="25"/>
        <v>0.21270096463022509</v>
      </c>
      <c r="H202" s="149">
        <f t="shared" si="26"/>
        <v>4.4302921223868197E-2</v>
      </c>
      <c r="I202" s="218">
        <f t="shared" si="27"/>
        <v>4.341669784441822E-2</v>
      </c>
      <c r="J202" s="219">
        <f t="shared" si="28"/>
        <v>320</v>
      </c>
    </row>
    <row r="203" spans="1:10" x14ac:dyDescent="0.25">
      <c r="A203" s="225" t="s">
        <v>595</v>
      </c>
      <c r="B203" s="264">
        <v>14051</v>
      </c>
      <c r="C203" s="264">
        <v>14455</v>
      </c>
      <c r="D203" s="264">
        <v>15284</v>
      </c>
      <c r="E203" s="264">
        <v>15954</v>
      </c>
      <c r="F203" s="98">
        <v>16795</v>
      </c>
      <c r="G203" s="149">
        <f t="shared" si="25"/>
        <v>0.19528859155931963</v>
      </c>
      <c r="H203" s="149">
        <f t="shared" si="26"/>
        <v>5.2714052902093522E-2</v>
      </c>
      <c r="I203" s="218">
        <f t="shared" si="27"/>
        <v>9.6670216133766945E-2</v>
      </c>
      <c r="J203" s="219">
        <f t="shared" si="28"/>
        <v>841</v>
      </c>
    </row>
    <row r="204" spans="1:10" x14ac:dyDescent="0.25">
      <c r="A204" s="225" t="s">
        <v>596</v>
      </c>
      <c r="B204" s="264">
        <v>1200</v>
      </c>
      <c r="C204" s="264">
        <v>1061</v>
      </c>
      <c r="D204" s="264">
        <v>1071</v>
      </c>
      <c r="E204" s="264">
        <v>1000</v>
      </c>
      <c r="F204" s="98">
        <v>1266</v>
      </c>
      <c r="G204" s="149">
        <f t="shared" si="25"/>
        <v>5.5E-2</v>
      </c>
      <c r="H204" s="149">
        <f t="shared" si="26"/>
        <v>0.26600000000000001</v>
      </c>
      <c r="I204" s="218">
        <f t="shared" si="27"/>
        <v>7.2869600253259274E-3</v>
      </c>
      <c r="J204" s="219">
        <f t="shared" si="28"/>
        <v>266</v>
      </c>
    </row>
    <row r="205" spans="1:10" x14ac:dyDescent="0.25">
      <c r="A205" s="225" t="s">
        <v>597</v>
      </c>
      <c r="B205" s="264">
        <v>2327</v>
      </c>
      <c r="C205" s="264">
        <v>2231</v>
      </c>
      <c r="D205" s="264">
        <v>2409</v>
      </c>
      <c r="E205" s="264">
        <v>2467</v>
      </c>
      <c r="F205" s="98">
        <v>2686</v>
      </c>
      <c r="G205" s="149">
        <f t="shared" si="25"/>
        <v>0.15427589170605929</v>
      </c>
      <c r="H205" s="149">
        <f t="shared" si="26"/>
        <v>8.8771787596270774E-2</v>
      </c>
      <c r="I205" s="218">
        <f t="shared" si="27"/>
        <v>1.5460327510288658E-2</v>
      </c>
      <c r="J205" s="219">
        <f t="shared" si="28"/>
        <v>219</v>
      </c>
    </row>
    <row r="206" spans="1:10" x14ac:dyDescent="0.25">
      <c r="A206" s="226" t="s">
        <v>598</v>
      </c>
      <c r="B206" s="263">
        <v>141014</v>
      </c>
      <c r="C206" s="263">
        <v>145842</v>
      </c>
      <c r="D206" s="263">
        <v>154566</v>
      </c>
      <c r="E206" s="263">
        <v>162641</v>
      </c>
      <c r="F206" s="8">
        <v>173735</v>
      </c>
      <c r="G206" s="150">
        <f t="shared" si="25"/>
        <v>0.2320407902761428</v>
      </c>
      <c r="H206" s="150">
        <f t="shared" si="26"/>
        <v>6.8211582565281814E-2</v>
      </c>
      <c r="I206" s="220">
        <f t="shared" si="27"/>
        <v>1</v>
      </c>
      <c r="J206" s="221">
        <f t="shared" si="28"/>
        <v>11094</v>
      </c>
    </row>
    <row r="207" spans="1:10" x14ac:dyDescent="0.25">
      <c r="D207" s="15"/>
      <c r="E207" s="15"/>
    </row>
    <row r="208" spans="1:10" ht="15.75" x14ac:dyDescent="0.25">
      <c r="A208" s="259" t="s">
        <v>623</v>
      </c>
      <c r="B208"/>
      <c r="C208"/>
      <c r="D208"/>
      <c r="E208"/>
      <c r="F208"/>
      <c r="G208"/>
    </row>
    <row r="209" spans="1:10" ht="38.25" x14ac:dyDescent="0.25">
      <c r="A209" s="238" t="s">
        <v>390</v>
      </c>
      <c r="B209" s="105">
        <v>2021</v>
      </c>
      <c r="C209" s="105">
        <v>2022</v>
      </c>
      <c r="D209" s="105">
        <v>2023</v>
      </c>
      <c r="E209" s="105">
        <v>2024</v>
      </c>
      <c r="F209" s="105">
        <v>2025</v>
      </c>
      <c r="G209" s="106" t="s">
        <v>547</v>
      </c>
      <c r="H209" s="106" t="s">
        <v>548</v>
      </c>
      <c r="I209" s="106" t="s">
        <v>549</v>
      </c>
      <c r="J209" s="216" t="s">
        <v>563</v>
      </c>
    </row>
    <row r="210" spans="1:10" x14ac:dyDescent="0.25">
      <c r="A210" s="249" t="s">
        <v>380</v>
      </c>
      <c r="B210" s="264">
        <v>3707</v>
      </c>
      <c r="C210" s="264">
        <v>3817</v>
      </c>
      <c r="D210" s="264">
        <v>4031</v>
      </c>
      <c r="E210" s="264">
        <v>4157</v>
      </c>
      <c r="F210" s="98">
        <v>4474</v>
      </c>
      <c r="G210" s="149">
        <f t="shared" ref="G210:G220" si="29">(F210-B210)/B210</f>
        <v>0.2069058537901268</v>
      </c>
      <c r="H210" s="149">
        <f t="shared" ref="H210:H220" si="30">(F210-E210)/E210</f>
        <v>7.6256916045224915E-2</v>
      </c>
      <c r="I210" s="218">
        <f t="shared" ref="I210:I220" si="31">F210/F$271</f>
        <v>2.6914030306858447E-2</v>
      </c>
      <c r="J210" s="219">
        <f t="shared" ref="J210:J220" si="32">F210-E210</f>
        <v>317</v>
      </c>
    </row>
    <row r="211" spans="1:10" x14ac:dyDescent="0.25">
      <c r="A211" s="249" t="s">
        <v>381</v>
      </c>
      <c r="B211" s="264">
        <v>13431</v>
      </c>
      <c r="C211" s="264">
        <v>13687</v>
      </c>
      <c r="D211" s="264">
        <v>14382</v>
      </c>
      <c r="E211" s="264">
        <v>14876</v>
      </c>
      <c r="F211" s="98">
        <v>15633</v>
      </c>
      <c r="G211" s="149">
        <f t="shared" si="29"/>
        <v>0.16394907303998213</v>
      </c>
      <c r="H211" s="149">
        <f t="shared" si="30"/>
        <v>5.0887335305189567E-2</v>
      </c>
      <c r="I211" s="218">
        <f t="shared" si="31"/>
        <v>9.4042699103066174E-2</v>
      </c>
      <c r="J211" s="219">
        <f t="shared" si="32"/>
        <v>757</v>
      </c>
    </row>
    <row r="212" spans="1:10" x14ac:dyDescent="0.25">
      <c r="A212" s="249" t="s">
        <v>382</v>
      </c>
      <c r="B212" s="264">
        <v>262</v>
      </c>
      <c r="C212" s="264">
        <v>285</v>
      </c>
      <c r="D212" s="264">
        <v>290</v>
      </c>
      <c r="E212" s="264">
        <v>323</v>
      </c>
      <c r="F212" s="98">
        <v>376</v>
      </c>
      <c r="G212" s="149">
        <f t="shared" si="29"/>
        <v>0.4351145038167939</v>
      </c>
      <c r="H212" s="149">
        <f t="shared" si="30"/>
        <v>0.16408668730650156</v>
      </c>
      <c r="I212" s="218">
        <f t="shared" si="31"/>
        <v>2.2618854258781348E-3</v>
      </c>
      <c r="J212" s="219">
        <f t="shared" si="32"/>
        <v>53</v>
      </c>
    </row>
    <row r="213" spans="1:10" x14ac:dyDescent="0.25">
      <c r="A213" s="249" t="s">
        <v>383</v>
      </c>
      <c r="B213" s="264">
        <v>1677</v>
      </c>
      <c r="C213" s="264">
        <v>1782</v>
      </c>
      <c r="D213" s="264">
        <v>1863</v>
      </c>
      <c r="E213" s="264">
        <v>2002</v>
      </c>
      <c r="F213" s="98">
        <v>2116</v>
      </c>
      <c r="G213" s="149">
        <f t="shared" si="29"/>
        <v>0.26177698270721528</v>
      </c>
      <c r="H213" s="149">
        <f t="shared" si="30"/>
        <v>5.6943056943056944E-2</v>
      </c>
      <c r="I213" s="218">
        <f t="shared" si="31"/>
        <v>1.2729121173292907E-2</v>
      </c>
      <c r="J213" s="219">
        <f t="shared" si="32"/>
        <v>114</v>
      </c>
    </row>
    <row r="214" spans="1:10" x14ac:dyDescent="0.25">
      <c r="A214" s="249" t="s">
        <v>384</v>
      </c>
      <c r="B214" s="264">
        <v>13214</v>
      </c>
      <c r="C214" s="264">
        <v>13730</v>
      </c>
      <c r="D214" s="264">
        <v>14630</v>
      </c>
      <c r="E214" s="264">
        <v>15375</v>
      </c>
      <c r="F214" s="98">
        <v>16592</v>
      </c>
      <c r="G214" s="149">
        <f t="shared" si="29"/>
        <v>0.25563795973967007</v>
      </c>
      <c r="H214" s="149">
        <f t="shared" si="30"/>
        <v>7.9154471544715443E-2</v>
      </c>
      <c r="I214" s="218">
        <f t="shared" si="31"/>
        <v>9.9811710069601101E-2</v>
      </c>
      <c r="J214" s="219">
        <f t="shared" si="32"/>
        <v>1217</v>
      </c>
    </row>
    <row r="215" spans="1:10" x14ac:dyDescent="0.25">
      <c r="A215" s="249" t="s">
        <v>385</v>
      </c>
      <c r="B215" s="264">
        <v>57</v>
      </c>
      <c r="C215" s="264">
        <v>55</v>
      </c>
      <c r="D215" s="264">
        <v>61</v>
      </c>
      <c r="E215" s="264">
        <v>66</v>
      </c>
      <c r="F215" s="98">
        <v>57</v>
      </c>
      <c r="G215" s="149">
        <f t="shared" si="29"/>
        <v>0</v>
      </c>
      <c r="H215" s="149">
        <f t="shared" si="30"/>
        <v>-0.13636363636363635</v>
      </c>
      <c r="I215" s="218">
        <f t="shared" si="31"/>
        <v>3.428922055187598E-4</v>
      </c>
      <c r="J215" s="219">
        <f t="shared" si="32"/>
        <v>-9</v>
      </c>
    </row>
    <row r="216" spans="1:10" x14ac:dyDescent="0.25">
      <c r="A216" s="249" t="s">
        <v>386</v>
      </c>
      <c r="B216" s="264">
        <v>102426</v>
      </c>
      <c r="C216" s="264">
        <v>105714</v>
      </c>
      <c r="D216" s="264">
        <v>112121</v>
      </c>
      <c r="E216" s="264">
        <v>117956</v>
      </c>
      <c r="F216" s="98">
        <v>124717</v>
      </c>
      <c r="G216" s="149">
        <f t="shared" si="29"/>
        <v>0.21763028918438679</v>
      </c>
      <c r="H216" s="149">
        <f t="shared" si="30"/>
        <v>5.731798297670318E-2</v>
      </c>
      <c r="I216" s="218">
        <f t="shared" si="31"/>
        <v>0.75025416132777489</v>
      </c>
      <c r="J216" s="219">
        <f t="shared" si="32"/>
        <v>6761</v>
      </c>
    </row>
    <row r="217" spans="1:10" x14ac:dyDescent="0.25">
      <c r="A217" s="249" t="s">
        <v>387</v>
      </c>
      <c r="B217" s="264">
        <v>1500</v>
      </c>
      <c r="C217" s="264">
        <v>1588</v>
      </c>
      <c r="D217" s="264">
        <v>1624</v>
      </c>
      <c r="E217" s="264">
        <v>1673</v>
      </c>
      <c r="F217" s="98">
        <v>1801</v>
      </c>
      <c r="G217" s="149">
        <f t="shared" si="29"/>
        <v>0.20066666666666666</v>
      </c>
      <c r="H217" s="149">
        <f t="shared" si="30"/>
        <v>7.6509264793783616E-2</v>
      </c>
      <c r="I217" s="218">
        <f t="shared" si="31"/>
        <v>1.0834190563847131E-2</v>
      </c>
      <c r="J217" s="219">
        <f t="shared" si="32"/>
        <v>128</v>
      </c>
    </row>
    <row r="218" spans="1:10" x14ac:dyDescent="0.25">
      <c r="A218" s="249" t="s">
        <v>388</v>
      </c>
      <c r="B218" s="264">
        <v>342</v>
      </c>
      <c r="C218" s="264">
        <v>400</v>
      </c>
      <c r="D218" s="264">
        <v>442</v>
      </c>
      <c r="E218" s="264">
        <v>448</v>
      </c>
      <c r="F218" s="98">
        <v>443</v>
      </c>
      <c r="G218" s="149">
        <f t="shared" si="29"/>
        <v>0.2953216374269006</v>
      </c>
      <c r="H218" s="149">
        <f t="shared" si="30"/>
        <v>-1.1160714285714286E-2</v>
      </c>
      <c r="I218" s="218">
        <f t="shared" si="31"/>
        <v>2.6649341586808878E-3</v>
      </c>
      <c r="J218" s="219">
        <f t="shared" si="32"/>
        <v>-5</v>
      </c>
    </row>
    <row r="219" spans="1:10" x14ac:dyDescent="0.25">
      <c r="A219" s="249" t="s">
        <v>389</v>
      </c>
      <c r="B219" s="264">
        <v>16</v>
      </c>
      <c r="C219" s="264">
        <v>15</v>
      </c>
      <c r="D219" s="264">
        <v>16</v>
      </c>
      <c r="E219" s="264">
        <v>18</v>
      </c>
      <c r="F219" s="98">
        <v>24</v>
      </c>
      <c r="G219" s="149">
        <f t="shared" ref="G219" si="33">(F219-B219)/B219</f>
        <v>0.5</v>
      </c>
      <c r="H219" s="149">
        <f t="shared" ref="H219" si="34">(F219-E219)/E219</f>
        <v>0.33333333333333331</v>
      </c>
      <c r="I219" s="218">
        <f t="shared" ref="I219" si="35">F219/F$271</f>
        <v>1.4437566548158309E-4</v>
      </c>
      <c r="J219" s="219">
        <f t="shared" ref="J219" si="36">F219-E219</f>
        <v>6</v>
      </c>
    </row>
    <row r="220" spans="1:10" x14ac:dyDescent="0.25">
      <c r="A220" s="252" t="s">
        <v>0</v>
      </c>
      <c r="B220" s="263">
        <v>136632</v>
      </c>
      <c r="C220" s="263">
        <v>141073</v>
      </c>
      <c r="D220" s="263">
        <v>149460</v>
      </c>
      <c r="E220" s="263">
        <v>156894</v>
      </c>
      <c r="F220" s="8">
        <v>166233</v>
      </c>
      <c r="G220" s="150">
        <f t="shared" si="29"/>
        <v>0.21664763744949939</v>
      </c>
      <c r="H220" s="150">
        <f t="shared" si="30"/>
        <v>5.9524264790240547E-2</v>
      </c>
      <c r="I220" s="220">
        <f t="shared" si="31"/>
        <v>1</v>
      </c>
      <c r="J220" s="221">
        <f t="shared" si="32"/>
        <v>9339</v>
      </c>
    </row>
    <row r="221" spans="1:10" x14ac:dyDescent="0.25">
      <c r="D221" s="15"/>
      <c r="E221" s="15"/>
    </row>
    <row r="222" spans="1:10" ht="15.75" x14ac:dyDescent="0.25">
      <c r="A222" s="259" t="s">
        <v>629</v>
      </c>
    </row>
    <row r="223" spans="1:10" ht="38.25" x14ac:dyDescent="0.25">
      <c r="A223" s="238" t="s">
        <v>607</v>
      </c>
      <c r="B223" s="105">
        <v>2021</v>
      </c>
      <c r="C223" s="105">
        <v>2022</v>
      </c>
      <c r="D223" s="105">
        <v>2023</v>
      </c>
      <c r="E223" s="105">
        <v>2024</v>
      </c>
      <c r="F223" s="105">
        <v>2025</v>
      </c>
      <c r="G223" s="106" t="s">
        <v>547</v>
      </c>
      <c r="H223" s="106" t="s">
        <v>548</v>
      </c>
      <c r="I223" s="106" t="s">
        <v>549</v>
      </c>
      <c r="J223" s="216" t="s">
        <v>563</v>
      </c>
    </row>
    <row r="224" spans="1:10" x14ac:dyDescent="0.25">
      <c r="A224" s="226" t="s">
        <v>2</v>
      </c>
      <c r="B224" s="263">
        <v>20338</v>
      </c>
      <c r="C224" s="263">
        <v>20307</v>
      </c>
      <c r="D224" s="263">
        <v>21530</v>
      </c>
      <c r="E224" s="263">
        <v>23384</v>
      </c>
      <c r="F224" s="8">
        <v>24274</v>
      </c>
      <c r="G224" s="150">
        <f t="shared" ref="G224:G235" si="37">(F224-B224)/B224</f>
        <v>0.19352935391877274</v>
      </c>
      <c r="H224" s="150">
        <f t="shared" ref="H224:H235" si="38">(F224-E224)/E224</f>
        <v>3.8060212110845024E-2</v>
      </c>
      <c r="I224" s="220">
        <f t="shared" ref="I224:I235" si="39">F224/F$271</f>
        <v>0.14602395432916448</v>
      </c>
      <c r="J224" s="221">
        <f t="shared" ref="J224:J235" si="40">F224-E224</f>
        <v>890</v>
      </c>
    </row>
    <row r="225" spans="1:10" x14ac:dyDescent="0.25">
      <c r="A225" s="232" t="s">
        <v>82</v>
      </c>
      <c r="B225" s="264">
        <v>20338</v>
      </c>
      <c r="C225" s="264">
        <v>20307</v>
      </c>
      <c r="D225" s="264">
        <v>21530</v>
      </c>
      <c r="E225" s="264">
        <v>23384</v>
      </c>
      <c r="F225" s="98">
        <v>24274</v>
      </c>
      <c r="G225" s="149">
        <f t="shared" si="37"/>
        <v>0.19352935391877274</v>
      </c>
      <c r="H225" s="149">
        <f t="shared" si="38"/>
        <v>3.8060212110845024E-2</v>
      </c>
      <c r="I225" s="218">
        <f t="shared" si="39"/>
        <v>0.14602395432916448</v>
      </c>
      <c r="J225" s="219">
        <f t="shared" si="40"/>
        <v>890</v>
      </c>
    </row>
    <row r="226" spans="1:10" x14ac:dyDescent="0.25">
      <c r="A226" s="226" t="s">
        <v>245</v>
      </c>
      <c r="B226" s="263">
        <v>44385</v>
      </c>
      <c r="C226" s="263">
        <v>47267</v>
      </c>
      <c r="D226" s="263">
        <v>50607</v>
      </c>
      <c r="E226" s="263">
        <v>52248</v>
      </c>
      <c r="F226" s="8">
        <v>54997</v>
      </c>
      <c r="G226" s="150">
        <f t="shared" si="37"/>
        <v>0.23908978258420638</v>
      </c>
      <c r="H226" s="150">
        <f t="shared" si="38"/>
        <v>5.2614454141785331E-2</v>
      </c>
      <c r="I226" s="220">
        <f t="shared" si="39"/>
        <v>0.33084285310377604</v>
      </c>
      <c r="J226" s="221">
        <f t="shared" si="40"/>
        <v>2749</v>
      </c>
    </row>
    <row r="227" spans="1:10" x14ac:dyDescent="0.25">
      <c r="A227" s="232" t="s">
        <v>82</v>
      </c>
      <c r="B227" s="264">
        <v>18218</v>
      </c>
      <c r="C227" s="264">
        <v>19239</v>
      </c>
      <c r="D227" s="264">
        <v>19659</v>
      </c>
      <c r="E227" s="264">
        <v>18307</v>
      </c>
      <c r="F227" s="98">
        <v>17653</v>
      </c>
      <c r="G227" s="149">
        <f t="shared" si="37"/>
        <v>-3.101328356570425E-2</v>
      </c>
      <c r="H227" s="149">
        <f t="shared" si="38"/>
        <v>-3.5724039984705303E-2</v>
      </c>
      <c r="I227" s="218">
        <f t="shared" si="39"/>
        <v>0.10619431761443275</v>
      </c>
      <c r="J227" s="219">
        <f t="shared" si="40"/>
        <v>-654</v>
      </c>
    </row>
    <row r="228" spans="1:10" x14ac:dyDescent="0.25">
      <c r="A228" s="232" t="s">
        <v>327</v>
      </c>
      <c r="B228" s="264">
        <v>26167</v>
      </c>
      <c r="C228" s="264">
        <v>28028</v>
      </c>
      <c r="D228" s="264">
        <v>30948</v>
      </c>
      <c r="E228" s="264">
        <v>33941</v>
      </c>
      <c r="F228" s="98">
        <v>37344</v>
      </c>
      <c r="G228" s="149">
        <f t="shared" si="37"/>
        <v>0.42714105552795506</v>
      </c>
      <c r="H228" s="149">
        <f t="shared" si="38"/>
        <v>0.10026221973424472</v>
      </c>
      <c r="I228" s="218">
        <f t="shared" si="39"/>
        <v>0.22464853548934327</v>
      </c>
      <c r="J228" s="219">
        <f t="shared" si="40"/>
        <v>3403</v>
      </c>
    </row>
    <row r="229" spans="1:10" x14ac:dyDescent="0.25">
      <c r="A229" s="226" t="s">
        <v>245</v>
      </c>
      <c r="B229" s="263">
        <v>71909</v>
      </c>
      <c r="C229" s="263">
        <v>73499</v>
      </c>
      <c r="D229" s="263">
        <v>77323</v>
      </c>
      <c r="E229" s="263">
        <v>81262</v>
      </c>
      <c r="F229" s="8">
        <v>86962</v>
      </c>
      <c r="G229" s="150">
        <f t="shared" si="37"/>
        <v>0.20933401938561236</v>
      </c>
      <c r="H229" s="150">
        <f t="shared" si="38"/>
        <v>7.0143486500455321E-2</v>
      </c>
      <c r="I229" s="220">
        <f t="shared" si="39"/>
        <v>0.52313319256705948</v>
      </c>
      <c r="J229" s="221">
        <f t="shared" si="40"/>
        <v>5700</v>
      </c>
    </row>
    <row r="230" spans="1:10" x14ac:dyDescent="0.25">
      <c r="A230" s="232" t="s">
        <v>82</v>
      </c>
      <c r="B230" s="264">
        <v>4574</v>
      </c>
      <c r="C230" s="264">
        <v>4249</v>
      </c>
      <c r="D230" s="264">
        <v>4173</v>
      </c>
      <c r="E230" s="264">
        <v>4175</v>
      </c>
      <c r="F230" s="98">
        <v>4168</v>
      </c>
      <c r="G230" s="149">
        <f t="shared" si="37"/>
        <v>-8.8762571053782241E-2</v>
      </c>
      <c r="H230" s="149">
        <f t="shared" si="38"/>
        <v>-1.6766467065868263E-3</v>
      </c>
      <c r="I230" s="218">
        <f t="shared" si="39"/>
        <v>2.5073240571968261E-2</v>
      </c>
      <c r="J230" s="219">
        <f t="shared" si="40"/>
        <v>-7</v>
      </c>
    </row>
    <row r="231" spans="1:10" x14ac:dyDescent="0.25">
      <c r="A231" s="232" t="s">
        <v>327</v>
      </c>
      <c r="B231" s="264">
        <v>2594</v>
      </c>
      <c r="C231" s="264">
        <v>2147</v>
      </c>
      <c r="D231" s="264">
        <v>1882</v>
      </c>
      <c r="E231" s="264">
        <v>1665</v>
      </c>
      <c r="F231" s="98">
        <v>1836</v>
      </c>
      <c r="G231" s="149">
        <f t="shared" si="37"/>
        <v>-0.29221279876638395</v>
      </c>
      <c r="H231" s="149">
        <f t="shared" si="38"/>
        <v>0.10270270270270271</v>
      </c>
      <c r="I231" s="218">
        <f t="shared" si="39"/>
        <v>1.1044738409341106E-2</v>
      </c>
      <c r="J231" s="219">
        <f t="shared" si="40"/>
        <v>171</v>
      </c>
    </row>
    <row r="232" spans="1:10" x14ac:dyDescent="0.25">
      <c r="A232" s="232" t="s">
        <v>286</v>
      </c>
      <c r="B232" s="264">
        <v>897</v>
      </c>
      <c r="C232" s="264">
        <v>861</v>
      </c>
      <c r="D232" s="264">
        <v>988</v>
      </c>
      <c r="E232" s="264">
        <v>1072</v>
      </c>
      <c r="F232" s="98">
        <v>1266</v>
      </c>
      <c r="G232" s="149">
        <f t="shared" si="37"/>
        <v>0.41137123745819398</v>
      </c>
      <c r="H232" s="149">
        <f t="shared" si="38"/>
        <v>0.18097014925373134</v>
      </c>
      <c r="I232" s="218">
        <f t="shared" si="39"/>
        <v>7.6158163541535078E-3</v>
      </c>
      <c r="J232" s="219">
        <f t="shared" si="40"/>
        <v>194</v>
      </c>
    </row>
    <row r="233" spans="1:10" x14ac:dyDescent="0.25">
      <c r="A233" s="232" t="s">
        <v>83</v>
      </c>
      <c r="B233" s="264">
        <v>974</v>
      </c>
      <c r="C233" s="264">
        <v>1004</v>
      </c>
      <c r="D233" s="264">
        <v>1046</v>
      </c>
      <c r="E233" s="264">
        <v>981</v>
      </c>
      <c r="F233" s="98">
        <v>1163</v>
      </c>
      <c r="G233" s="149">
        <f t="shared" si="37"/>
        <v>0.19404517453798767</v>
      </c>
      <c r="H233" s="149">
        <f t="shared" si="38"/>
        <v>0.18552497451580022</v>
      </c>
      <c r="I233" s="218">
        <f t="shared" si="39"/>
        <v>6.9962041231283797E-3</v>
      </c>
      <c r="J233" s="219">
        <f t="shared" si="40"/>
        <v>182</v>
      </c>
    </row>
    <row r="234" spans="1:10" x14ac:dyDescent="0.25">
      <c r="A234" s="232" t="s">
        <v>328</v>
      </c>
      <c r="B234" s="264">
        <v>62870</v>
      </c>
      <c r="C234" s="264">
        <v>65238</v>
      </c>
      <c r="D234" s="264">
        <v>69234</v>
      </c>
      <c r="E234" s="264">
        <v>73369</v>
      </c>
      <c r="F234" s="98">
        <v>78529</v>
      </c>
      <c r="G234" s="149">
        <f t="shared" si="37"/>
        <v>0.24906950850962303</v>
      </c>
      <c r="H234" s="149">
        <f t="shared" si="38"/>
        <v>7.0329430685984545E-2</v>
      </c>
      <c r="I234" s="218">
        <f t="shared" si="39"/>
        <v>0.47240319310846823</v>
      </c>
      <c r="J234" s="219">
        <f t="shared" si="40"/>
        <v>5160</v>
      </c>
    </row>
    <row r="235" spans="1:10" x14ac:dyDescent="0.25">
      <c r="A235" s="226" t="s">
        <v>0</v>
      </c>
      <c r="B235" s="263">
        <v>136632</v>
      </c>
      <c r="C235" s="263">
        <v>141073</v>
      </c>
      <c r="D235" s="263">
        <v>149460</v>
      </c>
      <c r="E235" s="263">
        <v>156894</v>
      </c>
      <c r="F235" s="8">
        <v>166233</v>
      </c>
      <c r="G235" s="150">
        <f t="shared" si="37"/>
        <v>0.21664763744949939</v>
      </c>
      <c r="H235" s="150">
        <f t="shared" si="38"/>
        <v>5.9524264790240547E-2</v>
      </c>
      <c r="I235" s="220">
        <f t="shared" si="39"/>
        <v>1</v>
      </c>
      <c r="J235" s="221">
        <f t="shared" si="40"/>
        <v>9339</v>
      </c>
    </row>
    <row r="236" spans="1:10" x14ac:dyDescent="0.25">
      <c r="D236" s="15"/>
      <c r="E236" s="15"/>
    </row>
    <row r="237" spans="1:10" ht="15.75" x14ac:dyDescent="0.25">
      <c r="A237" s="259" t="s">
        <v>630</v>
      </c>
    </row>
    <row r="238" spans="1:10" ht="38.25" x14ac:dyDescent="0.25">
      <c r="A238" s="238" t="s">
        <v>372</v>
      </c>
      <c r="B238" s="105">
        <v>2021</v>
      </c>
      <c r="C238" s="105">
        <v>2022</v>
      </c>
      <c r="D238" s="105">
        <v>2023</v>
      </c>
      <c r="E238" s="105">
        <v>2024</v>
      </c>
      <c r="F238" s="105">
        <v>2025</v>
      </c>
      <c r="G238" s="106" t="s">
        <v>547</v>
      </c>
      <c r="H238" s="106" t="s">
        <v>548</v>
      </c>
      <c r="I238" s="106" t="s">
        <v>549</v>
      </c>
      <c r="J238" s="216" t="s">
        <v>563</v>
      </c>
    </row>
    <row r="239" spans="1:10" x14ac:dyDescent="0.25">
      <c r="A239" s="226" t="s">
        <v>2</v>
      </c>
      <c r="B239" s="263">
        <v>20338</v>
      </c>
      <c r="C239" s="263">
        <v>20307</v>
      </c>
      <c r="D239" s="263">
        <v>21530</v>
      </c>
      <c r="E239" s="263">
        <v>23384</v>
      </c>
      <c r="F239" s="8">
        <v>24274</v>
      </c>
      <c r="G239" s="150">
        <f t="shared" ref="G239:G251" si="41">(F239-B239)/B239</f>
        <v>0.19352935391877274</v>
      </c>
      <c r="H239" s="150">
        <f t="shared" ref="H239:H251" si="42">(F239-E239)/E239</f>
        <v>3.8060212110845024E-2</v>
      </c>
      <c r="I239" s="220">
        <f t="shared" ref="I239:I251" si="43">F239/F$271</f>
        <v>0.14602395432916448</v>
      </c>
      <c r="J239" s="221">
        <f t="shared" ref="J239:J251" si="44">F239-E239</f>
        <v>890</v>
      </c>
    </row>
    <row r="240" spans="1:10" x14ac:dyDescent="0.25">
      <c r="A240" s="232" t="s">
        <v>138</v>
      </c>
      <c r="B240" s="264">
        <v>12343</v>
      </c>
      <c r="C240" s="264">
        <v>12160</v>
      </c>
      <c r="D240" s="264">
        <v>12756</v>
      </c>
      <c r="E240" s="264">
        <v>13716</v>
      </c>
      <c r="F240" s="98">
        <v>14396</v>
      </c>
      <c r="G240" s="149">
        <f t="shared" si="41"/>
        <v>0.16632909341327068</v>
      </c>
      <c r="H240" s="149">
        <f t="shared" si="42"/>
        <v>4.9577136191309421E-2</v>
      </c>
      <c r="I240" s="218">
        <f t="shared" si="43"/>
        <v>8.6601336678036253E-2</v>
      </c>
      <c r="J240" s="219">
        <f t="shared" si="44"/>
        <v>680</v>
      </c>
    </row>
    <row r="241" spans="1:10" x14ac:dyDescent="0.25">
      <c r="A241" s="232" t="s">
        <v>139</v>
      </c>
      <c r="B241" s="264">
        <v>7995</v>
      </c>
      <c r="C241" s="264">
        <v>8147</v>
      </c>
      <c r="D241" s="264">
        <v>8774</v>
      </c>
      <c r="E241" s="264">
        <v>9668</v>
      </c>
      <c r="F241" s="98">
        <v>9878</v>
      </c>
      <c r="G241" s="149">
        <f t="shared" si="41"/>
        <v>0.23552220137585991</v>
      </c>
      <c r="H241" s="149">
        <f t="shared" si="42"/>
        <v>2.172114191146049E-2</v>
      </c>
      <c r="I241" s="218">
        <f t="shared" si="43"/>
        <v>5.9422617651128239E-2</v>
      </c>
      <c r="J241" s="219">
        <f t="shared" si="44"/>
        <v>210</v>
      </c>
    </row>
    <row r="242" spans="1:10" x14ac:dyDescent="0.25">
      <c r="A242" s="232" t="s">
        <v>604</v>
      </c>
      <c r="B242" s="264">
        <v>0</v>
      </c>
      <c r="C242" s="264">
        <v>0</v>
      </c>
      <c r="D242" s="264">
        <v>0</v>
      </c>
      <c r="E242" s="264">
        <v>0</v>
      </c>
      <c r="F242" s="98">
        <v>0</v>
      </c>
      <c r="G242" s="149" t="s">
        <v>130</v>
      </c>
      <c r="H242" s="149" t="s">
        <v>130</v>
      </c>
      <c r="I242" s="218">
        <f t="shared" si="43"/>
        <v>0</v>
      </c>
      <c r="J242" s="219">
        <f t="shared" si="44"/>
        <v>0</v>
      </c>
    </row>
    <row r="243" spans="1:10" x14ac:dyDescent="0.25">
      <c r="A243" s="226" t="s">
        <v>245</v>
      </c>
      <c r="B243" s="263">
        <v>44385</v>
      </c>
      <c r="C243" s="263">
        <v>47267</v>
      </c>
      <c r="D243" s="263">
        <v>50607</v>
      </c>
      <c r="E243" s="263">
        <v>52248</v>
      </c>
      <c r="F243" s="8">
        <v>54997</v>
      </c>
      <c r="G243" s="150">
        <f t="shared" si="41"/>
        <v>0.23908978258420638</v>
      </c>
      <c r="H243" s="150">
        <f t="shared" si="42"/>
        <v>5.2614454141785331E-2</v>
      </c>
      <c r="I243" s="220">
        <f t="shared" si="43"/>
        <v>0.33084285310377604</v>
      </c>
      <c r="J243" s="221">
        <f t="shared" si="44"/>
        <v>2749</v>
      </c>
    </row>
    <row r="244" spans="1:10" x14ac:dyDescent="0.25">
      <c r="A244" s="232" t="s">
        <v>138</v>
      </c>
      <c r="B244" s="264">
        <v>24974</v>
      </c>
      <c r="C244" s="264">
        <v>26002</v>
      </c>
      <c r="D244" s="264">
        <v>26855</v>
      </c>
      <c r="E244" s="264">
        <v>26770</v>
      </c>
      <c r="F244" s="98">
        <v>27332</v>
      </c>
      <c r="G244" s="149">
        <f t="shared" si="41"/>
        <v>9.4418194922719634E-2</v>
      </c>
      <c r="H244" s="149">
        <f t="shared" si="42"/>
        <v>2.0993649607769893E-2</v>
      </c>
      <c r="I244" s="218">
        <f t="shared" si="43"/>
        <v>0.16441982037260952</v>
      </c>
      <c r="J244" s="219">
        <f t="shared" si="44"/>
        <v>562</v>
      </c>
    </row>
    <row r="245" spans="1:10" x14ac:dyDescent="0.25">
      <c r="A245" s="232" t="s">
        <v>139</v>
      </c>
      <c r="B245" s="264">
        <v>19411</v>
      </c>
      <c r="C245" s="264">
        <v>21265</v>
      </c>
      <c r="D245" s="264">
        <v>23752</v>
      </c>
      <c r="E245" s="264">
        <v>25478</v>
      </c>
      <c r="F245" s="98">
        <v>27665</v>
      </c>
      <c r="G245" s="149">
        <f t="shared" si="41"/>
        <v>0.42522281180773785</v>
      </c>
      <c r="H245" s="149">
        <f t="shared" si="42"/>
        <v>8.5838762854227174E-2</v>
      </c>
      <c r="I245" s="218">
        <f t="shared" si="43"/>
        <v>0.16642303273116649</v>
      </c>
      <c r="J245" s="219">
        <f t="shared" si="44"/>
        <v>2187</v>
      </c>
    </row>
    <row r="246" spans="1:10" x14ac:dyDescent="0.25">
      <c r="A246" s="232" t="s">
        <v>604</v>
      </c>
      <c r="B246" s="264">
        <v>0</v>
      </c>
      <c r="C246" s="264">
        <v>0</v>
      </c>
      <c r="D246" s="264">
        <v>0</v>
      </c>
      <c r="E246" s="264">
        <v>0</v>
      </c>
      <c r="F246" s="98">
        <v>0</v>
      </c>
      <c r="G246" s="149" t="s">
        <v>130</v>
      </c>
      <c r="H246" s="149" t="s">
        <v>130</v>
      </c>
      <c r="I246" s="218">
        <f t="shared" si="43"/>
        <v>0</v>
      </c>
      <c r="J246" s="219">
        <f t="shared" si="44"/>
        <v>0</v>
      </c>
    </row>
    <row r="247" spans="1:10" x14ac:dyDescent="0.25">
      <c r="A247" s="226" t="s">
        <v>4</v>
      </c>
      <c r="B247" s="263">
        <v>71909</v>
      </c>
      <c r="C247" s="263">
        <v>73499</v>
      </c>
      <c r="D247" s="263">
        <v>77323</v>
      </c>
      <c r="E247" s="263">
        <v>81262</v>
      </c>
      <c r="F247" s="8">
        <v>86962</v>
      </c>
      <c r="G247" s="150">
        <f t="shared" si="41"/>
        <v>0.20933401938561236</v>
      </c>
      <c r="H247" s="150">
        <f t="shared" si="42"/>
        <v>7.0143486500455321E-2</v>
      </c>
      <c r="I247" s="220">
        <f t="shared" si="43"/>
        <v>0.52313319256705948</v>
      </c>
      <c r="J247" s="221">
        <f t="shared" si="44"/>
        <v>5700</v>
      </c>
    </row>
    <row r="248" spans="1:10" x14ac:dyDescent="0.25">
      <c r="A248" s="232" t="s">
        <v>138</v>
      </c>
      <c r="B248" s="264">
        <v>43088</v>
      </c>
      <c r="C248" s="264">
        <v>43921</v>
      </c>
      <c r="D248" s="264">
        <v>46107</v>
      </c>
      <c r="E248" s="264">
        <v>48516</v>
      </c>
      <c r="F248" s="98">
        <v>52215</v>
      </c>
      <c r="G248" s="149">
        <f t="shared" si="41"/>
        <v>0.21182231711845526</v>
      </c>
      <c r="H248" s="149">
        <f t="shared" si="42"/>
        <v>7.6242888943853573E-2</v>
      </c>
      <c r="I248" s="218">
        <f t="shared" si="43"/>
        <v>0.31410730721336921</v>
      </c>
      <c r="J248" s="219">
        <f t="shared" si="44"/>
        <v>3699</v>
      </c>
    </row>
    <row r="249" spans="1:10" x14ac:dyDescent="0.25">
      <c r="A249" s="232" t="s">
        <v>139</v>
      </c>
      <c r="B249" s="264">
        <v>28821</v>
      </c>
      <c r="C249" s="264">
        <v>29578</v>
      </c>
      <c r="D249" s="264">
        <v>31216</v>
      </c>
      <c r="E249" s="264">
        <v>32745</v>
      </c>
      <c r="F249" s="98">
        <v>34746</v>
      </c>
      <c r="G249" s="149">
        <f t="shared" si="41"/>
        <v>0.20557926511918392</v>
      </c>
      <c r="H249" s="149">
        <f t="shared" si="42"/>
        <v>6.1108566193311953E-2</v>
      </c>
      <c r="I249" s="218">
        <f t="shared" si="43"/>
        <v>0.2090198697009619</v>
      </c>
      <c r="J249" s="219">
        <f t="shared" si="44"/>
        <v>2001</v>
      </c>
    </row>
    <row r="250" spans="1:10" x14ac:dyDescent="0.25">
      <c r="A250" s="232" t="s">
        <v>604</v>
      </c>
      <c r="B250" s="264">
        <v>0</v>
      </c>
      <c r="C250" s="264">
        <v>0</v>
      </c>
      <c r="D250" s="264">
        <v>0</v>
      </c>
      <c r="E250" s="264">
        <v>1</v>
      </c>
      <c r="F250" s="98">
        <v>1</v>
      </c>
      <c r="G250" s="149" t="s">
        <v>130</v>
      </c>
      <c r="H250" s="149">
        <f t="shared" si="42"/>
        <v>0</v>
      </c>
      <c r="I250" s="218">
        <f t="shared" si="43"/>
        <v>6.015652728399295E-6</v>
      </c>
      <c r="J250" s="219">
        <f t="shared" si="44"/>
        <v>0</v>
      </c>
    </row>
    <row r="251" spans="1:10" x14ac:dyDescent="0.25">
      <c r="A251" s="226" t="s">
        <v>0</v>
      </c>
      <c r="B251" s="263">
        <v>136632</v>
      </c>
      <c r="C251" s="263">
        <v>141073</v>
      </c>
      <c r="D251" s="263">
        <v>149460</v>
      </c>
      <c r="E251" s="263">
        <v>156894</v>
      </c>
      <c r="F251" s="8">
        <v>166233</v>
      </c>
      <c r="G251" s="150">
        <f t="shared" si="41"/>
        <v>0.21664763744949939</v>
      </c>
      <c r="H251" s="150">
        <f t="shared" si="42"/>
        <v>5.9524264790240547E-2</v>
      </c>
      <c r="I251" s="220">
        <f t="shared" si="43"/>
        <v>1</v>
      </c>
      <c r="J251" s="221">
        <f t="shared" si="44"/>
        <v>9339</v>
      </c>
    </row>
    <row r="252" spans="1:10" x14ac:dyDescent="0.25">
      <c r="D252" s="15"/>
      <c r="E252" s="15"/>
    </row>
    <row r="253" spans="1:10" ht="15.75" x14ac:dyDescent="0.25">
      <c r="A253" s="259" t="s">
        <v>631</v>
      </c>
    </row>
    <row r="254" spans="1:10" ht="38.25" x14ac:dyDescent="0.25">
      <c r="A254" s="238" t="s">
        <v>44</v>
      </c>
      <c r="B254" s="105">
        <v>2021</v>
      </c>
      <c r="C254" s="105">
        <v>2022</v>
      </c>
      <c r="D254" s="105">
        <v>2023</v>
      </c>
      <c r="E254" s="105">
        <v>2024</v>
      </c>
      <c r="F254" s="105">
        <v>2025</v>
      </c>
      <c r="G254" s="106" t="s">
        <v>547</v>
      </c>
      <c r="H254" s="106" t="s">
        <v>548</v>
      </c>
      <c r="I254" s="106" t="s">
        <v>549</v>
      </c>
      <c r="J254" s="216" t="s">
        <v>563</v>
      </c>
    </row>
    <row r="255" spans="1:10" x14ac:dyDescent="0.25">
      <c r="A255" s="225" t="s">
        <v>582</v>
      </c>
      <c r="B255" s="264">
        <v>6660</v>
      </c>
      <c r="C255" s="264">
        <v>6554</v>
      </c>
      <c r="D255" s="264">
        <v>6675</v>
      </c>
      <c r="E255" s="264">
        <v>6770</v>
      </c>
      <c r="F255" s="98">
        <v>6785</v>
      </c>
      <c r="G255" s="149">
        <f t="shared" ref="G255:G271" si="45">(F255-B255)/B255</f>
        <v>1.8768768768768769E-2</v>
      </c>
      <c r="H255" s="149">
        <f t="shared" ref="H255:H271" si="46">(F255-E255)/E255</f>
        <v>2.2156573116691287E-3</v>
      </c>
      <c r="I255" s="218">
        <f>F255/F$271</f>
        <v>4.0816203762189217E-2</v>
      </c>
      <c r="J255" s="219">
        <f t="shared" ref="J255:J271" si="47">F255-E255</f>
        <v>15</v>
      </c>
    </row>
    <row r="256" spans="1:10" x14ac:dyDescent="0.25">
      <c r="A256" s="225" t="s">
        <v>583</v>
      </c>
      <c r="B256" s="264">
        <v>5580</v>
      </c>
      <c r="C256" s="264">
        <v>5435</v>
      </c>
      <c r="D256" s="264">
        <v>5648</v>
      </c>
      <c r="E256" s="264">
        <v>5670</v>
      </c>
      <c r="F256" s="98">
        <v>6005</v>
      </c>
      <c r="G256" s="149">
        <f t="shared" si="45"/>
        <v>7.6164874551971323E-2</v>
      </c>
      <c r="H256" s="149">
        <f t="shared" si="46"/>
        <v>5.9082892416225746E-2</v>
      </c>
      <c r="I256" s="218">
        <f t="shared" ref="I256:I271" si="48">F256/F$271</f>
        <v>3.6123994634037766E-2</v>
      </c>
      <c r="J256" s="219">
        <f t="shared" si="47"/>
        <v>335</v>
      </c>
    </row>
    <row r="257" spans="1:10" x14ac:dyDescent="0.25">
      <c r="A257" s="225" t="s">
        <v>584</v>
      </c>
      <c r="B257" s="264">
        <v>5917</v>
      </c>
      <c r="C257" s="264">
        <v>5875</v>
      </c>
      <c r="D257" s="264">
        <v>5776</v>
      </c>
      <c r="E257" s="264">
        <v>5759</v>
      </c>
      <c r="F257" s="98">
        <v>5806</v>
      </c>
      <c r="G257" s="149">
        <f t="shared" si="45"/>
        <v>-1.8759506506675679E-2</v>
      </c>
      <c r="H257" s="149">
        <f t="shared" si="46"/>
        <v>8.1611390866469877E-3</v>
      </c>
      <c r="I257" s="218">
        <f t="shared" si="48"/>
        <v>3.4926879741086304E-2</v>
      </c>
      <c r="J257" s="219">
        <f t="shared" si="47"/>
        <v>47</v>
      </c>
    </row>
    <row r="258" spans="1:10" x14ac:dyDescent="0.25">
      <c r="A258" s="225" t="s">
        <v>585</v>
      </c>
      <c r="B258" s="264">
        <v>3935</v>
      </c>
      <c r="C258" s="264">
        <v>3828</v>
      </c>
      <c r="D258" s="264">
        <v>3921</v>
      </c>
      <c r="E258" s="264">
        <v>4101</v>
      </c>
      <c r="F258" s="98">
        <v>4333</v>
      </c>
      <c r="G258" s="149">
        <f t="shared" si="45"/>
        <v>0.101143583227446</v>
      </c>
      <c r="H258" s="149">
        <f t="shared" si="46"/>
        <v>5.657156791026579E-2</v>
      </c>
      <c r="I258" s="218">
        <f t="shared" si="48"/>
        <v>2.6065823272154145E-2</v>
      </c>
      <c r="J258" s="219">
        <f t="shared" si="47"/>
        <v>232</v>
      </c>
    </row>
    <row r="259" spans="1:10" x14ac:dyDescent="0.25">
      <c r="A259" s="225" t="s">
        <v>586</v>
      </c>
      <c r="B259" s="264">
        <v>5906</v>
      </c>
      <c r="C259" s="264">
        <v>6048</v>
      </c>
      <c r="D259" s="264">
        <v>6271</v>
      </c>
      <c r="E259" s="264">
        <v>6661</v>
      </c>
      <c r="F259" s="98">
        <v>7060</v>
      </c>
      <c r="G259" s="149">
        <f t="shared" si="45"/>
        <v>0.19539451405350491</v>
      </c>
      <c r="H259" s="149">
        <f t="shared" si="46"/>
        <v>5.9900915778411647E-2</v>
      </c>
      <c r="I259" s="218">
        <f t="shared" si="48"/>
        <v>4.247050826249902E-2</v>
      </c>
      <c r="J259" s="219">
        <f t="shared" si="47"/>
        <v>399</v>
      </c>
    </row>
    <row r="260" spans="1:10" x14ac:dyDescent="0.25">
      <c r="A260" s="225" t="s">
        <v>587</v>
      </c>
      <c r="B260" s="264">
        <v>7389</v>
      </c>
      <c r="C260" s="264">
        <v>7493</v>
      </c>
      <c r="D260" s="264">
        <v>7658</v>
      </c>
      <c r="E260" s="264">
        <v>7955</v>
      </c>
      <c r="F260" s="98">
        <v>8401</v>
      </c>
      <c r="G260" s="149">
        <f t="shared" si="45"/>
        <v>0.13696034646095548</v>
      </c>
      <c r="H260" s="149">
        <f t="shared" si="46"/>
        <v>5.6065367693274672E-2</v>
      </c>
      <c r="I260" s="218">
        <f t="shared" si="48"/>
        <v>5.053749857128248E-2</v>
      </c>
      <c r="J260" s="219">
        <f t="shared" si="47"/>
        <v>446</v>
      </c>
    </row>
    <row r="261" spans="1:10" x14ac:dyDescent="0.25">
      <c r="A261" s="225" t="s">
        <v>588</v>
      </c>
      <c r="B261" s="264">
        <v>43555</v>
      </c>
      <c r="C261" s="264">
        <v>47194</v>
      </c>
      <c r="D261" s="264">
        <v>51688</v>
      </c>
      <c r="E261" s="264">
        <v>54728</v>
      </c>
      <c r="F261" s="98">
        <v>59422</v>
      </c>
      <c r="G261" s="149">
        <f t="shared" si="45"/>
        <v>0.36429801400528067</v>
      </c>
      <c r="H261" s="149">
        <f t="shared" si="46"/>
        <v>8.5769624323929247E-2</v>
      </c>
      <c r="I261" s="218">
        <f t="shared" si="48"/>
        <v>0.35746211642694292</v>
      </c>
      <c r="J261" s="219">
        <f t="shared" si="47"/>
        <v>4694</v>
      </c>
    </row>
    <row r="262" spans="1:10" x14ac:dyDescent="0.25">
      <c r="A262" s="225" t="s">
        <v>589</v>
      </c>
      <c r="B262" s="264">
        <v>1484</v>
      </c>
      <c r="C262" s="264">
        <v>1597</v>
      </c>
      <c r="D262" s="264">
        <v>1737</v>
      </c>
      <c r="E262" s="264">
        <v>1770</v>
      </c>
      <c r="F262" s="98">
        <v>1835</v>
      </c>
      <c r="G262" s="149">
        <f t="shared" si="45"/>
        <v>0.23652291105121293</v>
      </c>
      <c r="H262" s="149">
        <f t="shared" si="46"/>
        <v>3.6723163841807911E-2</v>
      </c>
      <c r="I262" s="218">
        <f t="shared" si="48"/>
        <v>1.1038722756612706E-2</v>
      </c>
      <c r="J262" s="219">
        <f t="shared" si="47"/>
        <v>65</v>
      </c>
    </row>
    <row r="263" spans="1:10" x14ac:dyDescent="0.25">
      <c r="A263" s="225" t="s">
        <v>590</v>
      </c>
      <c r="B263" s="264">
        <v>2616</v>
      </c>
      <c r="C263" s="264">
        <v>2652</v>
      </c>
      <c r="D263" s="264">
        <v>2752</v>
      </c>
      <c r="E263" s="264">
        <v>2912</v>
      </c>
      <c r="F263" s="98">
        <v>3052</v>
      </c>
      <c r="G263" s="149">
        <f t="shared" si="45"/>
        <v>0.16666666666666666</v>
      </c>
      <c r="H263" s="149">
        <f t="shared" si="46"/>
        <v>4.807692307692308E-2</v>
      </c>
      <c r="I263" s="218">
        <f t="shared" si="48"/>
        <v>1.8359772127074649E-2</v>
      </c>
      <c r="J263" s="219">
        <f t="shared" si="47"/>
        <v>140</v>
      </c>
    </row>
    <row r="264" spans="1:10" x14ac:dyDescent="0.25">
      <c r="A264" s="225" t="s">
        <v>591</v>
      </c>
      <c r="B264" s="264">
        <v>998</v>
      </c>
      <c r="C264" s="264">
        <v>1009</v>
      </c>
      <c r="D264" s="264">
        <v>1047</v>
      </c>
      <c r="E264" s="264">
        <v>1079</v>
      </c>
      <c r="F264" s="98">
        <v>1078</v>
      </c>
      <c r="G264" s="149">
        <f t="shared" si="45"/>
        <v>8.0160320641282562E-2</v>
      </c>
      <c r="H264" s="149">
        <f t="shared" si="46"/>
        <v>-9.2678405931417981E-4</v>
      </c>
      <c r="I264" s="218">
        <f t="shared" si="48"/>
        <v>6.4848736412144396E-3</v>
      </c>
      <c r="J264" s="219">
        <f t="shared" si="47"/>
        <v>-1</v>
      </c>
    </row>
    <row r="265" spans="1:10" x14ac:dyDescent="0.25">
      <c r="A265" s="225" t="s">
        <v>592</v>
      </c>
      <c r="B265" s="264">
        <v>10380</v>
      </c>
      <c r="C265" s="264">
        <v>10646</v>
      </c>
      <c r="D265" s="264">
        <v>11195</v>
      </c>
      <c r="E265" s="264">
        <v>12095</v>
      </c>
      <c r="F265" s="98">
        <v>12547</v>
      </c>
      <c r="G265" s="149">
        <f t="shared" si="45"/>
        <v>0.20876685934489403</v>
      </c>
      <c r="H265" s="149">
        <f t="shared" si="46"/>
        <v>3.7370814386109966E-2</v>
      </c>
      <c r="I265" s="218">
        <f t="shared" si="48"/>
        <v>7.5478394783225961E-2</v>
      </c>
      <c r="J265" s="219">
        <f t="shared" si="47"/>
        <v>452</v>
      </c>
    </row>
    <row r="266" spans="1:10" x14ac:dyDescent="0.25">
      <c r="A266" s="225" t="s">
        <v>593</v>
      </c>
      <c r="B266" s="264">
        <v>18710</v>
      </c>
      <c r="C266" s="264">
        <v>18916</v>
      </c>
      <c r="D266" s="264">
        <v>19874</v>
      </c>
      <c r="E266" s="264">
        <v>21020</v>
      </c>
      <c r="F266" s="98">
        <v>21931</v>
      </c>
      <c r="G266" s="149">
        <f t="shared" si="45"/>
        <v>0.17215392838054516</v>
      </c>
      <c r="H266" s="149">
        <f t="shared" si="46"/>
        <v>4.3339676498572788E-2</v>
      </c>
      <c r="I266" s="218">
        <f t="shared" si="48"/>
        <v>0.13192927998652493</v>
      </c>
      <c r="J266" s="219">
        <f t="shared" si="47"/>
        <v>911</v>
      </c>
    </row>
    <row r="267" spans="1:10" x14ac:dyDescent="0.25">
      <c r="A267" s="225" t="s">
        <v>594</v>
      </c>
      <c r="B267" s="264">
        <v>6076</v>
      </c>
      <c r="C267" s="264">
        <v>6263</v>
      </c>
      <c r="D267" s="264">
        <v>6667</v>
      </c>
      <c r="E267" s="264">
        <v>7101</v>
      </c>
      <c r="F267" s="98">
        <v>7403</v>
      </c>
      <c r="G267" s="149">
        <f t="shared" si="45"/>
        <v>0.21840026333113891</v>
      </c>
      <c r="H267" s="149">
        <f t="shared" si="46"/>
        <v>4.252922123644557E-2</v>
      </c>
      <c r="I267" s="218">
        <f t="shared" si="48"/>
        <v>4.4533877148339979E-2</v>
      </c>
      <c r="J267" s="219">
        <f t="shared" si="47"/>
        <v>302</v>
      </c>
    </row>
    <row r="268" spans="1:10" x14ac:dyDescent="0.25">
      <c r="A268" s="225" t="s">
        <v>595</v>
      </c>
      <c r="B268" s="264">
        <v>13908</v>
      </c>
      <c r="C268" s="264">
        <v>14278</v>
      </c>
      <c r="D268" s="264">
        <v>15081</v>
      </c>
      <c r="E268" s="264">
        <v>15826</v>
      </c>
      <c r="F268" s="98">
        <v>16645</v>
      </c>
      <c r="G268" s="149">
        <f t="shared" si="45"/>
        <v>0.1967932125395456</v>
      </c>
      <c r="H268" s="149">
        <f t="shared" si="46"/>
        <v>5.1750284342221661E-2</v>
      </c>
      <c r="I268" s="218">
        <f t="shared" si="48"/>
        <v>0.10013053966420626</v>
      </c>
      <c r="J268" s="219">
        <f t="shared" si="47"/>
        <v>819</v>
      </c>
    </row>
    <row r="269" spans="1:10" x14ac:dyDescent="0.25">
      <c r="A269" s="225" t="s">
        <v>596</v>
      </c>
      <c r="B269" s="264">
        <v>1200</v>
      </c>
      <c r="C269" s="264">
        <v>1061</v>
      </c>
      <c r="D269" s="264">
        <v>1071</v>
      </c>
      <c r="E269" s="264">
        <v>1000</v>
      </c>
      <c r="F269" s="98">
        <v>1266</v>
      </c>
      <c r="G269" s="149">
        <f t="shared" si="45"/>
        <v>5.5E-2</v>
      </c>
      <c r="H269" s="149">
        <f t="shared" si="46"/>
        <v>0.26600000000000001</v>
      </c>
      <c r="I269" s="218">
        <f t="shared" si="48"/>
        <v>7.6158163541535078E-3</v>
      </c>
      <c r="J269" s="219">
        <f t="shared" si="47"/>
        <v>266</v>
      </c>
    </row>
    <row r="270" spans="1:10" x14ac:dyDescent="0.25">
      <c r="A270" s="225" t="s">
        <v>597</v>
      </c>
      <c r="B270" s="264">
        <v>2318</v>
      </c>
      <c r="C270" s="264">
        <v>2224</v>
      </c>
      <c r="D270" s="264">
        <v>2399</v>
      </c>
      <c r="E270" s="264">
        <v>2447</v>
      </c>
      <c r="F270" s="98">
        <v>2664</v>
      </c>
      <c r="G270" s="149">
        <f t="shared" si="45"/>
        <v>0.14926660914581535</v>
      </c>
      <c r="H270" s="149">
        <f t="shared" si="46"/>
        <v>8.8680016346546792E-2</v>
      </c>
      <c r="I270" s="218">
        <f t="shared" si="48"/>
        <v>1.6025698868455722E-2</v>
      </c>
      <c r="J270" s="219">
        <f t="shared" si="47"/>
        <v>217</v>
      </c>
    </row>
    <row r="271" spans="1:10" x14ac:dyDescent="0.25">
      <c r="A271" s="226" t="s">
        <v>598</v>
      </c>
      <c r="B271" s="263">
        <v>136632</v>
      </c>
      <c r="C271" s="263">
        <v>141073</v>
      </c>
      <c r="D271" s="263">
        <v>149460</v>
      </c>
      <c r="E271" s="263">
        <v>156894</v>
      </c>
      <c r="F271" s="8">
        <v>166233</v>
      </c>
      <c r="G271" s="150">
        <f t="shared" si="45"/>
        <v>0.21664763744949939</v>
      </c>
      <c r="H271" s="150">
        <f t="shared" si="46"/>
        <v>5.9524264790240547E-2</v>
      </c>
      <c r="I271" s="220">
        <f t="shared" si="48"/>
        <v>1</v>
      </c>
      <c r="J271" s="221">
        <f t="shared" si="47"/>
        <v>9339</v>
      </c>
    </row>
    <row r="272" spans="1:10" x14ac:dyDescent="0.25">
      <c r="D272" s="15"/>
      <c r="E272" s="15"/>
    </row>
    <row r="273" spans="1:10" ht="15.75" x14ac:dyDescent="0.25">
      <c r="A273" s="259" t="s">
        <v>624</v>
      </c>
      <c r="B273"/>
      <c r="C273"/>
      <c r="D273"/>
      <c r="E273"/>
      <c r="F273"/>
      <c r="G273"/>
    </row>
    <row r="274" spans="1:10" ht="38.25" x14ac:dyDescent="0.25">
      <c r="A274" s="238" t="s">
        <v>390</v>
      </c>
      <c r="B274" s="105">
        <v>2021</v>
      </c>
      <c r="C274" s="105">
        <v>2022</v>
      </c>
      <c r="D274" s="105">
        <v>2023</v>
      </c>
      <c r="E274" s="105">
        <v>2024</v>
      </c>
      <c r="F274" s="105">
        <v>2025</v>
      </c>
      <c r="G274" s="106" t="s">
        <v>547</v>
      </c>
      <c r="H274" s="106" t="s">
        <v>548</v>
      </c>
      <c r="I274" s="106" t="s">
        <v>549</v>
      </c>
      <c r="J274" s="216" t="s">
        <v>563</v>
      </c>
    </row>
    <row r="275" spans="1:10" x14ac:dyDescent="0.25">
      <c r="A275" s="249" t="s">
        <v>380</v>
      </c>
      <c r="B275" s="268">
        <v>78</v>
      </c>
      <c r="C275" s="268">
        <v>81</v>
      </c>
      <c r="D275" s="268">
        <v>78</v>
      </c>
      <c r="E275" s="268">
        <v>90</v>
      </c>
      <c r="F275" s="269">
        <v>110</v>
      </c>
      <c r="G275" s="149">
        <f t="shared" ref="G275:G284" si="49">(F275-B275)/B275</f>
        <v>0.41025641025641024</v>
      </c>
      <c r="H275" s="149">
        <f t="shared" ref="H275:H284" si="50">(F275-E275)/E275</f>
        <v>0.22222222222222221</v>
      </c>
      <c r="I275" s="218">
        <f t="shared" ref="I275:I284" si="51">F275/F$320</f>
        <v>3.3282904689863842E-2</v>
      </c>
      <c r="J275" s="219">
        <f t="shared" ref="J275:J284" si="52">F275-E275</f>
        <v>20</v>
      </c>
    </row>
    <row r="276" spans="1:10" x14ac:dyDescent="0.25">
      <c r="A276" s="249" t="s">
        <v>381</v>
      </c>
      <c r="B276" s="267">
        <v>323</v>
      </c>
      <c r="C276" s="267">
        <v>312</v>
      </c>
      <c r="D276" s="267">
        <v>326</v>
      </c>
      <c r="E276" s="267">
        <v>360</v>
      </c>
      <c r="F276" s="270">
        <v>364</v>
      </c>
      <c r="G276" s="149">
        <f t="shared" si="49"/>
        <v>0.12693498452012383</v>
      </c>
      <c r="H276" s="149">
        <f t="shared" si="50"/>
        <v>1.1111111111111112E-2</v>
      </c>
      <c r="I276" s="218">
        <f t="shared" si="51"/>
        <v>0.11013615733736762</v>
      </c>
      <c r="J276" s="219">
        <f t="shared" si="52"/>
        <v>4</v>
      </c>
    </row>
    <row r="277" spans="1:10" x14ac:dyDescent="0.25">
      <c r="A277" s="249" t="s">
        <v>382</v>
      </c>
      <c r="B277" s="267">
        <v>4</v>
      </c>
      <c r="C277" s="267">
        <v>3</v>
      </c>
      <c r="D277" s="267">
        <v>0</v>
      </c>
      <c r="E277" s="267">
        <v>4</v>
      </c>
      <c r="F277" s="270">
        <v>5</v>
      </c>
      <c r="G277" s="149">
        <f t="shared" si="49"/>
        <v>0.25</v>
      </c>
      <c r="H277" s="149">
        <f t="shared" si="50"/>
        <v>0.25</v>
      </c>
      <c r="I277" s="218">
        <f t="shared" si="51"/>
        <v>1.5128593040847202E-3</v>
      </c>
      <c r="J277" s="219">
        <f t="shared" si="52"/>
        <v>1</v>
      </c>
    </row>
    <row r="278" spans="1:10" x14ac:dyDescent="0.25">
      <c r="A278" s="249" t="s">
        <v>383</v>
      </c>
      <c r="B278" s="267">
        <v>17</v>
      </c>
      <c r="C278" s="267">
        <v>21</v>
      </c>
      <c r="D278" s="267">
        <v>23</v>
      </c>
      <c r="E278" s="267">
        <v>21</v>
      </c>
      <c r="F278" s="270">
        <v>39</v>
      </c>
      <c r="G278" s="149">
        <f t="shared" si="49"/>
        <v>1.2941176470588236</v>
      </c>
      <c r="H278" s="149">
        <f t="shared" si="50"/>
        <v>0.8571428571428571</v>
      </c>
      <c r="I278" s="218">
        <f t="shared" si="51"/>
        <v>1.1800302571860818E-2</v>
      </c>
      <c r="J278" s="219">
        <f t="shared" si="52"/>
        <v>18</v>
      </c>
    </row>
    <row r="279" spans="1:10" x14ac:dyDescent="0.25">
      <c r="A279" s="249" t="s">
        <v>384</v>
      </c>
      <c r="B279" s="267">
        <v>231</v>
      </c>
      <c r="C279" s="267">
        <v>244</v>
      </c>
      <c r="D279" s="267">
        <v>263</v>
      </c>
      <c r="E279" s="267">
        <v>259</v>
      </c>
      <c r="F279" s="270">
        <v>277</v>
      </c>
      <c r="G279" s="149">
        <f t="shared" si="49"/>
        <v>0.19913419913419914</v>
      </c>
      <c r="H279" s="149">
        <f t="shared" si="50"/>
        <v>6.9498069498069498E-2</v>
      </c>
      <c r="I279" s="218">
        <f t="shared" si="51"/>
        <v>8.3812405446293495E-2</v>
      </c>
      <c r="J279" s="219">
        <f t="shared" si="52"/>
        <v>18</v>
      </c>
    </row>
    <row r="280" spans="1:10" x14ac:dyDescent="0.25">
      <c r="A280" s="249" t="s">
        <v>385</v>
      </c>
      <c r="B280" s="267">
        <v>0</v>
      </c>
      <c r="C280" s="267">
        <v>0</v>
      </c>
      <c r="D280" s="267">
        <v>1</v>
      </c>
      <c r="E280" s="267">
        <v>1</v>
      </c>
      <c r="F280" s="270">
        <v>3</v>
      </c>
      <c r="G280" s="149" t="s">
        <v>130</v>
      </c>
      <c r="H280" s="149">
        <f t="shared" si="50"/>
        <v>2</v>
      </c>
      <c r="I280" s="218">
        <f t="shared" si="51"/>
        <v>9.0771558245083205E-4</v>
      </c>
      <c r="J280" s="219">
        <f t="shared" si="52"/>
        <v>2</v>
      </c>
    </row>
    <row r="281" spans="1:10" x14ac:dyDescent="0.25">
      <c r="A281" s="249" t="s">
        <v>386</v>
      </c>
      <c r="B281" s="268">
        <v>1893</v>
      </c>
      <c r="C281" s="268">
        <v>2191</v>
      </c>
      <c r="D281" s="268">
        <v>2214</v>
      </c>
      <c r="E281" s="268">
        <v>2218</v>
      </c>
      <c r="F281" s="269">
        <v>2453</v>
      </c>
      <c r="G281" s="149">
        <f t="shared" si="49"/>
        <v>0.29582673005810883</v>
      </c>
      <c r="H281" s="149">
        <f t="shared" si="50"/>
        <v>0.10595130748422002</v>
      </c>
      <c r="I281" s="218">
        <f t="shared" si="51"/>
        <v>0.74220877458396373</v>
      </c>
      <c r="J281" s="219">
        <f t="shared" si="52"/>
        <v>235</v>
      </c>
    </row>
    <row r="282" spans="1:10" x14ac:dyDescent="0.25">
      <c r="A282" s="249" t="s">
        <v>387</v>
      </c>
      <c r="B282" s="267">
        <v>27</v>
      </c>
      <c r="C282" s="267">
        <v>37</v>
      </c>
      <c r="D282" s="267">
        <v>34</v>
      </c>
      <c r="E282" s="267">
        <v>34</v>
      </c>
      <c r="F282" s="270">
        <v>42</v>
      </c>
      <c r="G282" s="149">
        <f t="shared" si="49"/>
        <v>0.55555555555555558</v>
      </c>
      <c r="H282" s="149">
        <f t="shared" si="50"/>
        <v>0.23529411764705882</v>
      </c>
      <c r="I282" s="218">
        <f t="shared" si="51"/>
        <v>1.2708018154311648E-2</v>
      </c>
      <c r="J282" s="219">
        <f t="shared" si="52"/>
        <v>8</v>
      </c>
    </row>
    <row r="283" spans="1:10" x14ac:dyDescent="0.25">
      <c r="A283" s="249" t="s">
        <v>388</v>
      </c>
      <c r="B283" s="267">
        <v>2</v>
      </c>
      <c r="C283" s="267">
        <v>4</v>
      </c>
      <c r="D283" s="267">
        <v>8</v>
      </c>
      <c r="E283" s="267">
        <v>7</v>
      </c>
      <c r="F283" s="270">
        <v>12</v>
      </c>
      <c r="G283" s="149">
        <f t="shared" si="49"/>
        <v>5</v>
      </c>
      <c r="H283" s="149">
        <f t="shared" si="50"/>
        <v>0.7142857142857143</v>
      </c>
      <c r="I283" s="218">
        <f t="shared" si="51"/>
        <v>3.6308623298033282E-3</v>
      </c>
      <c r="J283" s="219">
        <f t="shared" si="52"/>
        <v>5</v>
      </c>
    </row>
    <row r="284" spans="1:10" x14ac:dyDescent="0.25">
      <c r="A284" s="252" t="s">
        <v>0</v>
      </c>
      <c r="B284" s="268">
        <v>2575</v>
      </c>
      <c r="C284" s="268">
        <v>2893</v>
      </c>
      <c r="D284" s="268">
        <v>2947</v>
      </c>
      <c r="E284" s="268">
        <v>2994</v>
      </c>
      <c r="F284" s="269">
        <v>3305</v>
      </c>
      <c r="G284" s="150">
        <f t="shared" si="49"/>
        <v>0.28349514563106798</v>
      </c>
      <c r="H284" s="150">
        <f t="shared" si="50"/>
        <v>0.10387441549766199</v>
      </c>
      <c r="I284" s="220">
        <f t="shared" si="51"/>
        <v>1</v>
      </c>
      <c r="J284" s="221">
        <f t="shared" si="52"/>
        <v>311</v>
      </c>
    </row>
    <row r="285" spans="1:10" x14ac:dyDescent="0.25">
      <c r="D285" s="15"/>
      <c r="E285" s="15"/>
    </row>
    <row r="286" spans="1:10" ht="15.75" x14ac:dyDescent="0.25">
      <c r="A286" s="259" t="s">
        <v>633</v>
      </c>
    </row>
    <row r="287" spans="1:10" ht="38.25" x14ac:dyDescent="0.25">
      <c r="A287" s="238" t="s">
        <v>632</v>
      </c>
      <c r="B287" s="105">
        <v>2021</v>
      </c>
      <c r="C287" s="105">
        <v>2022</v>
      </c>
      <c r="D287" s="105">
        <v>2023</v>
      </c>
      <c r="E287" s="105">
        <v>2024</v>
      </c>
      <c r="F287" s="105">
        <v>2025</v>
      </c>
      <c r="G287" s="106" t="s">
        <v>547</v>
      </c>
      <c r="H287" s="106" t="s">
        <v>548</v>
      </c>
      <c r="I287" s="106" t="s">
        <v>549</v>
      </c>
      <c r="J287" s="216" t="s">
        <v>563</v>
      </c>
    </row>
    <row r="288" spans="1:10" x14ac:dyDescent="0.25">
      <c r="A288" s="74" t="s">
        <v>96</v>
      </c>
      <c r="B288" s="267">
        <v>267</v>
      </c>
      <c r="C288" s="267">
        <v>286</v>
      </c>
      <c r="D288" s="267">
        <v>329</v>
      </c>
      <c r="E288" s="267">
        <v>373</v>
      </c>
      <c r="F288" s="270">
        <v>399</v>
      </c>
      <c r="G288" s="149">
        <f t="shared" ref="G288:G290" si="53">(F288-B288)/B288</f>
        <v>0.4943820224719101</v>
      </c>
      <c r="H288" s="149">
        <f t="shared" ref="H288:H290" si="54">(F288-E288)/E288</f>
        <v>6.9705093833780166E-2</v>
      </c>
      <c r="I288" s="218">
        <f>F288/F$320</f>
        <v>0.12072617246596067</v>
      </c>
      <c r="J288" s="219">
        <f t="shared" ref="J288:J290" si="55">F288-E288</f>
        <v>26</v>
      </c>
    </row>
    <row r="289" spans="1:10" x14ac:dyDescent="0.25">
      <c r="A289" s="74" t="s">
        <v>97</v>
      </c>
      <c r="B289" s="267">
        <v>2308</v>
      </c>
      <c r="C289" s="267">
        <v>2607</v>
      </c>
      <c r="D289" s="267">
        <v>2618</v>
      </c>
      <c r="E289" s="267">
        <v>2621</v>
      </c>
      <c r="F289" s="270">
        <v>2906</v>
      </c>
      <c r="G289" s="149">
        <f t="shared" si="53"/>
        <v>0.25909878682842286</v>
      </c>
      <c r="H289" s="149">
        <f t="shared" si="54"/>
        <v>0.10873712323540634</v>
      </c>
      <c r="I289" s="218">
        <f>F289/F$320</f>
        <v>0.87927382753403938</v>
      </c>
      <c r="J289" s="219">
        <f t="shared" si="55"/>
        <v>285</v>
      </c>
    </row>
    <row r="290" spans="1:10" x14ac:dyDescent="0.25">
      <c r="A290" s="92" t="s">
        <v>0</v>
      </c>
      <c r="B290" s="268">
        <v>2575</v>
      </c>
      <c r="C290" s="268">
        <v>2893</v>
      </c>
      <c r="D290" s="268">
        <v>2947</v>
      </c>
      <c r="E290" s="268">
        <v>2994</v>
      </c>
      <c r="F290" s="269">
        <v>3305</v>
      </c>
      <c r="G290" s="150">
        <f t="shared" si="53"/>
        <v>0.28349514563106798</v>
      </c>
      <c r="H290" s="150">
        <f t="shared" si="54"/>
        <v>0.10387441549766199</v>
      </c>
      <c r="I290" s="220">
        <f>F290/F$320</f>
        <v>1</v>
      </c>
      <c r="J290" s="221">
        <f t="shared" si="55"/>
        <v>311</v>
      </c>
    </row>
    <row r="291" spans="1:10" x14ac:dyDescent="0.25">
      <c r="A291"/>
      <c r="B291"/>
      <c r="C291"/>
      <c r="D291"/>
      <c r="E291"/>
      <c r="F291"/>
      <c r="G291"/>
      <c r="H291"/>
      <c r="I291"/>
      <c r="J291"/>
    </row>
    <row r="292" spans="1:10" ht="15.75" x14ac:dyDescent="0.25">
      <c r="A292" s="259" t="s">
        <v>636</v>
      </c>
    </row>
    <row r="293" spans="1:10" ht="38.25" x14ac:dyDescent="0.25">
      <c r="A293" s="238" t="s">
        <v>372</v>
      </c>
      <c r="B293" s="105">
        <v>2021</v>
      </c>
      <c r="C293" s="105">
        <v>2022</v>
      </c>
      <c r="D293" s="105">
        <v>2023</v>
      </c>
      <c r="E293" s="105">
        <v>2024</v>
      </c>
      <c r="F293" s="105">
        <v>2025</v>
      </c>
      <c r="G293" s="106" t="s">
        <v>547</v>
      </c>
      <c r="H293" s="106" t="s">
        <v>548</v>
      </c>
      <c r="I293" s="106" t="s">
        <v>549</v>
      </c>
      <c r="J293" s="216" t="s">
        <v>563</v>
      </c>
    </row>
    <row r="294" spans="1:10" x14ac:dyDescent="0.25">
      <c r="A294" s="226" t="s">
        <v>96</v>
      </c>
      <c r="B294" s="268">
        <v>267</v>
      </c>
      <c r="C294" s="268">
        <v>286</v>
      </c>
      <c r="D294" s="268">
        <v>329</v>
      </c>
      <c r="E294" s="268">
        <v>373</v>
      </c>
      <c r="F294" s="269">
        <v>399</v>
      </c>
      <c r="G294" s="150">
        <f t="shared" ref="G294:G296" si="56">(F294-B294)/B294</f>
        <v>0.4943820224719101</v>
      </c>
      <c r="H294" s="150">
        <f t="shared" ref="H294:H296" si="57">(F294-E294)/E294</f>
        <v>6.9705093833780166E-2</v>
      </c>
      <c r="I294" s="220">
        <f t="shared" ref="I294:I300" si="58">F294/F$320</f>
        <v>0.12072617246596067</v>
      </c>
      <c r="J294" s="221">
        <f t="shared" ref="J294:J296" si="59">F294-E294</f>
        <v>26</v>
      </c>
    </row>
    <row r="295" spans="1:10" x14ac:dyDescent="0.25">
      <c r="A295" s="232" t="s">
        <v>138</v>
      </c>
      <c r="B295" s="267">
        <v>114</v>
      </c>
      <c r="C295" s="267">
        <v>131</v>
      </c>
      <c r="D295" s="267">
        <v>135</v>
      </c>
      <c r="E295" s="267">
        <v>156</v>
      </c>
      <c r="F295" s="270">
        <v>177</v>
      </c>
      <c r="G295" s="149">
        <f t="shared" si="56"/>
        <v>0.55263157894736847</v>
      </c>
      <c r="H295" s="149">
        <f t="shared" si="57"/>
        <v>0.13461538461538461</v>
      </c>
      <c r="I295" s="218">
        <f t="shared" si="58"/>
        <v>5.3555219364599095E-2</v>
      </c>
      <c r="J295" s="219">
        <f t="shared" si="59"/>
        <v>21</v>
      </c>
    </row>
    <row r="296" spans="1:10" x14ac:dyDescent="0.25">
      <c r="A296" s="232" t="s">
        <v>139</v>
      </c>
      <c r="B296" s="267">
        <v>153</v>
      </c>
      <c r="C296" s="267">
        <v>155</v>
      </c>
      <c r="D296" s="267">
        <v>194</v>
      </c>
      <c r="E296" s="267">
        <v>217</v>
      </c>
      <c r="F296" s="270">
        <v>222</v>
      </c>
      <c r="G296" s="149">
        <f t="shared" si="56"/>
        <v>0.45098039215686275</v>
      </c>
      <c r="H296" s="149">
        <f t="shared" si="57"/>
        <v>2.3041474654377881E-2</v>
      </c>
      <c r="I296" s="218">
        <f t="shared" si="58"/>
        <v>6.7170953101361577E-2</v>
      </c>
      <c r="J296" s="219">
        <f t="shared" si="59"/>
        <v>5</v>
      </c>
    </row>
    <row r="297" spans="1:10" x14ac:dyDescent="0.25">
      <c r="A297" s="226" t="s">
        <v>97</v>
      </c>
      <c r="B297" s="268">
        <v>2308</v>
      </c>
      <c r="C297" s="268">
        <v>2607</v>
      </c>
      <c r="D297" s="268">
        <v>2618</v>
      </c>
      <c r="E297" s="268">
        <v>2621</v>
      </c>
      <c r="F297" s="269">
        <v>2906</v>
      </c>
      <c r="G297" s="150">
        <f>(F297-B297)/B297</f>
        <v>0.25909878682842286</v>
      </c>
      <c r="H297" s="150">
        <f>(F297-E297)/E297</f>
        <v>0.10873712323540634</v>
      </c>
      <c r="I297" s="220">
        <f t="shared" si="58"/>
        <v>0.87927382753403938</v>
      </c>
      <c r="J297" s="221">
        <f>F297-E297</f>
        <v>285</v>
      </c>
    </row>
    <row r="298" spans="1:10" x14ac:dyDescent="0.25">
      <c r="A298" s="232" t="s">
        <v>138</v>
      </c>
      <c r="B298" s="267">
        <v>1357</v>
      </c>
      <c r="C298" s="267">
        <v>1546</v>
      </c>
      <c r="D298" s="267">
        <v>1469</v>
      </c>
      <c r="E298" s="267">
        <v>1461</v>
      </c>
      <c r="F298" s="270">
        <v>1562</v>
      </c>
      <c r="G298" s="149">
        <f>(F298-B298)/B298</f>
        <v>0.15106853352984526</v>
      </c>
      <c r="H298" s="149">
        <f>(F298-E298)/E298</f>
        <v>6.913073237508556E-2</v>
      </c>
      <c r="I298" s="218">
        <f t="shared" si="58"/>
        <v>0.47261724659606658</v>
      </c>
      <c r="J298" s="219">
        <f>F298-E298</f>
        <v>101</v>
      </c>
    </row>
    <row r="299" spans="1:10" x14ac:dyDescent="0.25">
      <c r="A299" s="232" t="s">
        <v>139</v>
      </c>
      <c r="B299" s="267">
        <v>951</v>
      </c>
      <c r="C299" s="267">
        <v>1061</v>
      </c>
      <c r="D299" s="267">
        <v>1149</v>
      </c>
      <c r="E299" s="267">
        <v>1160</v>
      </c>
      <c r="F299" s="270">
        <v>1344</v>
      </c>
      <c r="G299" s="149">
        <f>(F299-B299)/B299</f>
        <v>0.41324921135646686</v>
      </c>
      <c r="H299" s="149">
        <f>(F299-E299)/E299</f>
        <v>0.15862068965517243</v>
      </c>
      <c r="I299" s="218">
        <f t="shared" si="58"/>
        <v>0.40665658093797274</v>
      </c>
      <c r="J299" s="219">
        <f>F299-E299</f>
        <v>184</v>
      </c>
    </row>
    <row r="300" spans="1:10" x14ac:dyDescent="0.25">
      <c r="A300" s="226" t="s">
        <v>0</v>
      </c>
      <c r="B300" s="268">
        <v>2575</v>
      </c>
      <c r="C300" s="268">
        <v>2893</v>
      </c>
      <c r="D300" s="268">
        <v>2947</v>
      </c>
      <c r="E300" s="268">
        <v>2994</v>
      </c>
      <c r="F300" s="269">
        <v>3305</v>
      </c>
      <c r="G300" s="150">
        <f>(F300-B300)/B300</f>
        <v>0.28349514563106798</v>
      </c>
      <c r="H300" s="150">
        <f>(F300-E300)/E300</f>
        <v>0.10387441549766199</v>
      </c>
      <c r="I300" s="220">
        <f t="shared" si="58"/>
        <v>1</v>
      </c>
      <c r="J300" s="221">
        <f>F300-E300</f>
        <v>311</v>
      </c>
    </row>
    <row r="301" spans="1:10" x14ac:dyDescent="0.25">
      <c r="A301"/>
      <c r="B301"/>
      <c r="C301"/>
      <c r="D301"/>
      <c r="E301"/>
      <c r="F301"/>
      <c r="G301"/>
      <c r="H301"/>
      <c r="I301"/>
      <c r="J301"/>
    </row>
    <row r="302" spans="1:10" ht="15.75" x14ac:dyDescent="0.25">
      <c r="A302" s="259" t="s">
        <v>634</v>
      </c>
    </row>
    <row r="303" spans="1:10" ht="38.25" x14ac:dyDescent="0.25">
      <c r="A303" s="238" t="s">
        <v>44</v>
      </c>
      <c r="B303" s="105">
        <v>2021</v>
      </c>
      <c r="C303" s="105">
        <v>2022</v>
      </c>
      <c r="D303" s="105">
        <v>2023</v>
      </c>
      <c r="E303" s="105">
        <v>2024</v>
      </c>
      <c r="F303" s="105">
        <v>2025</v>
      </c>
      <c r="G303" s="106" t="s">
        <v>547</v>
      </c>
      <c r="H303" s="106" t="s">
        <v>548</v>
      </c>
      <c r="I303" s="106" t="s">
        <v>549</v>
      </c>
      <c r="J303" s="216" t="s">
        <v>563</v>
      </c>
    </row>
    <row r="304" spans="1:10" x14ac:dyDescent="0.25">
      <c r="A304" s="225" t="s">
        <v>582</v>
      </c>
      <c r="B304" s="264">
        <v>41</v>
      </c>
      <c r="C304" s="264">
        <v>26</v>
      </c>
      <c r="D304" s="264">
        <v>54</v>
      </c>
      <c r="E304" s="264">
        <v>72</v>
      </c>
      <c r="F304" s="98">
        <v>62</v>
      </c>
      <c r="G304" s="149">
        <f t="shared" ref="G304:G320" si="60">(F304-B304)/B304</f>
        <v>0.51219512195121952</v>
      </c>
      <c r="H304" s="149">
        <f t="shared" ref="H304:H320" si="61">(F304-E304)/E304</f>
        <v>-0.1388888888888889</v>
      </c>
      <c r="I304" s="218">
        <f>F304/F$320</f>
        <v>1.8759455370650529E-2</v>
      </c>
      <c r="J304" s="219">
        <f t="shared" ref="J304:J320" si="62">F304-E304</f>
        <v>-10</v>
      </c>
    </row>
    <row r="305" spans="1:10" x14ac:dyDescent="0.25">
      <c r="A305" s="225" t="s">
        <v>583</v>
      </c>
      <c r="B305" s="264">
        <v>24</v>
      </c>
      <c r="C305" s="264">
        <v>13</v>
      </c>
      <c r="D305" s="264">
        <v>9</v>
      </c>
      <c r="E305" s="264">
        <v>7</v>
      </c>
      <c r="F305" s="98">
        <v>5</v>
      </c>
      <c r="G305" s="149">
        <f t="shared" si="60"/>
        <v>-0.79166666666666663</v>
      </c>
      <c r="H305" s="149">
        <f t="shared" si="61"/>
        <v>-0.2857142857142857</v>
      </c>
      <c r="I305" s="218">
        <f t="shared" ref="I305:I320" si="63">F305/F$320</f>
        <v>1.5128593040847202E-3</v>
      </c>
      <c r="J305" s="219">
        <f t="shared" si="62"/>
        <v>-2</v>
      </c>
    </row>
    <row r="306" spans="1:10" x14ac:dyDescent="0.25">
      <c r="A306" s="225" t="s">
        <v>584</v>
      </c>
      <c r="B306" s="264">
        <v>33</v>
      </c>
      <c r="C306" s="264">
        <v>46</v>
      </c>
      <c r="D306" s="264">
        <v>60</v>
      </c>
      <c r="E306" s="264">
        <v>42</v>
      </c>
      <c r="F306" s="98">
        <v>50</v>
      </c>
      <c r="G306" s="149">
        <f t="shared" si="60"/>
        <v>0.51515151515151514</v>
      </c>
      <c r="H306" s="149">
        <f t="shared" si="61"/>
        <v>0.19047619047619047</v>
      </c>
      <c r="I306" s="218">
        <f t="shared" si="63"/>
        <v>1.5128593040847202E-2</v>
      </c>
      <c r="J306" s="219">
        <f t="shared" si="62"/>
        <v>8</v>
      </c>
    </row>
    <row r="307" spans="1:10" x14ac:dyDescent="0.25">
      <c r="A307" s="225" t="s">
        <v>585</v>
      </c>
      <c r="B307" s="264">
        <v>2</v>
      </c>
      <c r="C307" s="264">
        <v>6</v>
      </c>
      <c r="D307" s="264">
        <v>7</v>
      </c>
      <c r="E307" s="264">
        <v>8</v>
      </c>
      <c r="F307" s="98">
        <v>9</v>
      </c>
      <c r="G307" s="149">
        <f t="shared" si="60"/>
        <v>3.5</v>
      </c>
      <c r="H307" s="149">
        <f t="shared" si="61"/>
        <v>0.125</v>
      </c>
      <c r="I307" s="218">
        <f t="shared" si="63"/>
        <v>2.7231467473524964E-3</v>
      </c>
      <c r="J307" s="219">
        <f t="shared" si="62"/>
        <v>1</v>
      </c>
    </row>
    <row r="308" spans="1:10" x14ac:dyDescent="0.25">
      <c r="A308" s="225" t="s">
        <v>586</v>
      </c>
      <c r="B308" s="264">
        <v>40</v>
      </c>
      <c r="C308" s="264">
        <v>40</v>
      </c>
      <c r="D308" s="264">
        <v>49</v>
      </c>
      <c r="E308" s="264">
        <v>42</v>
      </c>
      <c r="F308" s="98">
        <v>43</v>
      </c>
      <c r="G308" s="149">
        <f t="shared" si="60"/>
        <v>7.4999999999999997E-2</v>
      </c>
      <c r="H308" s="149">
        <f t="shared" si="61"/>
        <v>2.3809523809523808E-2</v>
      </c>
      <c r="I308" s="218">
        <f t="shared" si="63"/>
        <v>1.3010590015128594E-2</v>
      </c>
      <c r="J308" s="219">
        <f t="shared" si="62"/>
        <v>1</v>
      </c>
    </row>
    <row r="309" spans="1:10" x14ac:dyDescent="0.25">
      <c r="A309" s="225" t="s">
        <v>587</v>
      </c>
      <c r="B309" s="264">
        <v>159</v>
      </c>
      <c r="C309" s="264">
        <v>179</v>
      </c>
      <c r="D309" s="264">
        <v>220</v>
      </c>
      <c r="E309" s="264">
        <v>229</v>
      </c>
      <c r="F309" s="98">
        <v>244</v>
      </c>
      <c r="G309" s="149">
        <f t="shared" si="60"/>
        <v>0.53459119496855345</v>
      </c>
      <c r="H309" s="149">
        <f t="shared" si="61"/>
        <v>6.5502183406113537E-2</v>
      </c>
      <c r="I309" s="218">
        <f t="shared" si="63"/>
        <v>7.3827534039334342E-2</v>
      </c>
      <c r="J309" s="219">
        <f t="shared" si="62"/>
        <v>15</v>
      </c>
    </row>
    <row r="310" spans="1:10" x14ac:dyDescent="0.25">
      <c r="A310" s="225" t="s">
        <v>588</v>
      </c>
      <c r="B310" s="264">
        <v>1519</v>
      </c>
      <c r="C310" s="264">
        <v>1725</v>
      </c>
      <c r="D310" s="264">
        <v>1683</v>
      </c>
      <c r="E310" s="264">
        <v>1787</v>
      </c>
      <c r="F310" s="98">
        <v>1974</v>
      </c>
      <c r="G310" s="149">
        <f t="shared" si="60"/>
        <v>0.29953917050691242</v>
      </c>
      <c r="H310" s="149">
        <f t="shared" si="61"/>
        <v>0.10464465584778959</v>
      </c>
      <c r="I310" s="218">
        <f t="shared" si="63"/>
        <v>0.59727685325264745</v>
      </c>
      <c r="J310" s="219">
        <f t="shared" si="62"/>
        <v>187</v>
      </c>
    </row>
    <row r="311" spans="1:10" x14ac:dyDescent="0.25">
      <c r="A311" s="225" t="s">
        <v>589</v>
      </c>
      <c r="B311" s="264">
        <v>0</v>
      </c>
      <c r="C311" s="264">
        <v>0</v>
      </c>
      <c r="D311" s="264">
        <v>2</v>
      </c>
      <c r="E311" s="264">
        <v>4</v>
      </c>
      <c r="F311" s="98">
        <v>4</v>
      </c>
      <c r="G311" s="149" t="s">
        <v>130</v>
      </c>
      <c r="H311" s="149">
        <f t="shared" si="61"/>
        <v>0</v>
      </c>
      <c r="I311" s="218">
        <f t="shared" si="63"/>
        <v>1.210287443267776E-3</v>
      </c>
      <c r="J311" s="219">
        <f t="shared" si="62"/>
        <v>0</v>
      </c>
    </row>
    <row r="312" spans="1:10" x14ac:dyDescent="0.25">
      <c r="A312" s="225" t="s">
        <v>590</v>
      </c>
      <c r="B312" s="264">
        <v>36</v>
      </c>
      <c r="C312" s="264">
        <v>35</v>
      </c>
      <c r="D312" s="264">
        <v>30</v>
      </c>
      <c r="E312" s="264">
        <v>41</v>
      </c>
      <c r="F312" s="98">
        <v>45</v>
      </c>
      <c r="G312" s="149">
        <f t="shared" si="60"/>
        <v>0.25</v>
      </c>
      <c r="H312" s="149">
        <f t="shared" si="61"/>
        <v>9.7560975609756101E-2</v>
      </c>
      <c r="I312" s="218">
        <f t="shared" si="63"/>
        <v>1.3615733736762481E-2</v>
      </c>
      <c r="J312" s="219">
        <f t="shared" si="62"/>
        <v>4</v>
      </c>
    </row>
    <row r="313" spans="1:10" x14ac:dyDescent="0.25">
      <c r="A313" s="225" t="s">
        <v>591</v>
      </c>
      <c r="B313" s="264">
        <v>12</v>
      </c>
      <c r="C313" s="264">
        <v>14</v>
      </c>
      <c r="D313" s="264">
        <v>20</v>
      </c>
      <c r="E313" s="264">
        <v>18</v>
      </c>
      <c r="F313" s="98">
        <v>15</v>
      </c>
      <c r="G313" s="149">
        <f t="shared" si="60"/>
        <v>0.25</v>
      </c>
      <c r="H313" s="149">
        <f t="shared" si="61"/>
        <v>-0.16666666666666666</v>
      </c>
      <c r="I313" s="218">
        <f t="shared" si="63"/>
        <v>4.5385779122541605E-3</v>
      </c>
      <c r="J313" s="219">
        <f t="shared" si="62"/>
        <v>-3</v>
      </c>
    </row>
    <row r="314" spans="1:10" x14ac:dyDescent="0.25">
      <c r="A314" s="225" t="s">
        <v>592</v>
      </c>
      <c r="B314" s="264">
        <v>194</v>
      </c>
      <c r="C314" s="264">
        <v>205</v>
      </c>
      <c r="D314" s="264">
        <v>230</v>
      </c>
      <c r="E314" s="264">
        <v>206</v>
      </c>
      <c r="F314" s="98">
        <v>201</v>
      </c>
      <c r="G314" s="149">
        <f t="shared" si="60"/>
        <v>3.608247422680412E-2</v>
      </c>
      <c r="H314" s="149">
        <f t="shared" si="61"/>
        <v>-2.4271844660194174E-2</v>
      </c>
      <c r="I314" s="218">
        <f t="shared" si="63"/>
        <v>6.0816944024205746E-2</v>
      </c>
      <c r="J314" s="219">
        <f t="shared" si="62"/>
        <v>-5</v>
      </c>
    </row>
    <row r="315" spans="1:10" x14ac:dyDescent="0.25">
      <c r="A315" s="225" t="s">
        <v>593</v>
      </c>
      <c r="B315" s="264">
        <v>291</v>
      </c>
      <c r="C315" s="264">
        <v>361</v>
      </c>
      <c r="D315" s="264">
        <v>318</v>
      </c>
      <c r="E315" s="264">
        <v>310</v>
      </c>
      <c r="F315" s="98">
        <v>391</v>
      </c>
      <c r="G315" s="149">
        <f t="shared" si="60"/>
        <v>0.3436426116838488</v>
      </c>
      <c r="H315" s="149">
        <f t="shared" si="61"/>
        <v>0.26129032258064516</v>
      </c>
      <c r="I315" s="218">
        <f t="shared" si="63"/>
        <v>0.11830559757942512</v>
      </c>
      <c r="J315" s="219">
        <f t="shared" si="62"/>
        <v>81</v>
      </c>
    </row>
    <row r="316" spans="1:10" x14ac:dyDescent="0.25">
      <c r="A316" s="225" t="s">
        <v>594</v>
      </c>
      <c r="B316" s="264">
        <v>112</v>
      </c>
      <c r="C316" s="264">
        <v>109</v>
      </c>
      <c r="D316" s="264">
        <v>108</v>
      </c>
      <c r="E316" s="264">
        <v>100</v>
      </c>
      <c r="F316" s="98">
        <v>121</v>
      </c>
      <c r="G316" s="149">
        <f t="shared" si="60"/>
        <v>8.0357142857142863E-2</v>
      </c>
      <c r="H316" s="149">
        <f t="shared" si="61"/>
        <v>0.21</v>
      </c>
      <c r="I316" s="218">
        <f t="shared" si="63"/>
        <v>3.6611195158850224E-2</v>
      </c>
      <c r="J316" s="219">
        <f t="shared" si="62"/>
        <v>21</v>
      </c>
    </row>
    <row r="317" spans="1:10" x14ac:dyDescent="0.25">
      <c r="A317" s="225" t="s">
        <v>595</v>
      </c>
      <c r="B317" s="264">
        <v>104</v>
      </c>
      <c r="C317" s="264">
        <v>127</v>
      </c>
      <c r="D317" s="264">
        <v>147</v>
      </c>
      <c r="E317" s="264">
        <v>112</v>
      </c>
      <c r="F317" s="98">
        <v>119</v>
      </c>
      <c r="G317" s="149">
        <f t="shared" si="60"/>
        <v>0.14423076923076922</v>
      </c>
      <c r="H317" s="149">
        <f t="shared" si="61"/>
        <v>6.25E-2</v>
      </c>
      <c r="I317" s="218">
        <f t="shared" si="63"/>
        <v>3.6006051437216337E-2</v>
      </c>
      <c r="J317" s="219">
        <f t="shared" si="62"/>
        <v>7</v>
      </c>
    </row>
    <row r="318" spans="1:10" x14ac:dyDescent="0.25">
      <c r="A318" s="225" t="s">
        <v>596</v>
      </c>
      <c r="B318" s="264">
        <v>8</v>
      </c>
      <c r="C318" s="264">
        <v>7</v>
      </c>
      <c r="D318" s="264">
        <v>10</v>
      </c>
      <c r="E318" s="264">
        <v>16</v>
      </c>
      <c r="F318" s="98">
        <v>22</v>
      </c>
      <c r="G318" s="149">
        <f t="shared" si="60"/>
        <v>1.75</v>
      </c>
      <c r="H318" s="149">
        <f t="shared" si="61"/>
        <v>0.375</v>
      </c>
      <c r="I318" s="218">
        <f t="shared" si="63"/>
        <v>6.6565809379727685E-3</v>
      </c>
      <c r="J318" s="219">
        <f t="shared" si="62"/>
        <v>6</v>
      </c>
    </row>
    <row r="319" spans="1:10" x14ac:dyDescent="0.25">
      <c r="A319" s="225" t="s">
        <v>597</v>
      </c>
      <c r="B319" s="264">
        <v>0</v>
      </c>
      <c r="C319" s="264">
        <v>0</v>
      </c>
      <c r="D319" s="264">
        <v>0</v>
      </c>
      <c r="E319" s="264">
        <v>0</v>
      </c>
      <c r="F319" s="98">
        <v>0</v>
      </c>
      <c r="G319" s="149" t="s">
        <v>130</v>
      </c>
      <c r="H319" s="149" t="s">
        <v>130</v>
      </c>
      <c r="I319" s="218">
        <f t="shared" si="63"/>
        <v>0</v>
      </c>
      <c r="J319" s="219">
        <f t="shared" si="62"/>
        <v>0</v>
      </c>
    </row>
    <row r="320" spans="1:10" x14ac:dyDescent="0.25">
      <c r="A320" s="226" t="s">
        <v>598</v>
      </c>
      <c r="B320" s="263">
        <v>2575</v>
      </c>
      <c r="C320" s="263">
        <v>2893</v>
      </c>
      <c r="D320" s="263">
        <v>2947</v>
      </c>
      <c r="E320" s="263">
        <v>2994</v>
      </c>
      <c r="F320" s="8">
        <v>3305</v>
      </c>
      <c r="G320" s="150">
        <f t="shared" si="60"/>
        <v>0.28349514563106798</v>
      </c>
      <c r="H320" s="150">
        <f t="shared" si="61"/>
        <v>0.10387441549766199</v>
      </c>
      <c r="I320" s="220">
        <f t="shared" si="63"/>
        <v>1</v>
      </c>
      <c r="J320" s="221">
        <f t="shared" si="62"/>
        <v>311</v>
      </c>
    </row>
    <row r="321" spans="1:10" x14ac:dyDescent="0.25">
      <c r="D321" s="15"/>
      <c r="E321" s="15"/>
    </row>
    <row r="322" spans="1:10" ht="15.75" x14ac:dyDescent="0.25">
      <c r="A322" s="259" t="s">
        <v>625</v>
      </c>
      <c r="B322"/>
      <c r="C322"/>
      <c r="D322"/>
      <c r="E322"/>
      <c r="F322"/>
      <c r="G322"/>
    </row>
    <row r="323" spans="1:10" ht="38.25" x14ac:dyDescent="0.25">
      <c r="A323" s="238" t="s">
        <v>390</v>
      </c>
      <c r="B323" s="105">
        <v>2021</v>
      </c>
      <c r="C323" s="105">
        <v>2022</v>
      </c>
      <c r="D323" s="105">
        <v>2023</v>
      </c>
      <c r="E323" s="105">
        <v>2024</v>
      </c>
      <c r="F323" s="105">
        <v>2025</v>
      </c>
      <c r="G323" s="106" t="s">
        <v>547</v>
      </c>
      <c r="H323" s="106" t="s">
        <v>548</v>
      </c>
      <c r="I323" s="106" t="s">
        <v>549</v>
      </c>
      <c r="J323" s="216" t="s">
        <v>563</v>
      </c>
    </row>
    <row r="324" spans="1:10" x14ac:dyDescent="0.25">
      <c r="A324" s="249" t="s">
        <v>380</v>
      </c>
      <c r="B324" s="264">
        <v>62</v>
      </c>
      <c r="C324" s="264">
        <v>60</v>
      </c>
      <c r="D324" s="264">
        <v>61</v>
      </c>
      <c r="E324" s="264">
        <v>91</v>
      </c>
      <c r="F324" s="98">
        <v>163</v>
      </c>
      <c r="G324" s="149">
        <f t="shared" ref="G324:G332" si="64">(F324-B324)/B324</f>
        <v>1.6290322580645162</v>
      </c>
      <c r="H324" s="149">
        <f t="shared" ref="H324:H332" si="65">(F324-E324)/E324</f>
        <v>0.79120879120879117</v>
      </c>
      <c r="I324" s="218">
        <f t="shared" ref="I324:I334" si="66">F324/F$374</f>
        <v>3.883726471289016E-2</v>
      </c>
      <c r="J324" s="219">
        <f t="shared" ref="J324:J333" si="67">F324-E324</f>
        <v>72</v>
      </c>
    </row>
    <row r="325" spans="1:10" x14ac:dyDescent="0.25">
      <c r="A325" s="249" t="s">
        <v>381</v>
      </c>
      <c r="B325" s="264">
        <v>210</v>
      </c>
      <c r="C325" s="264">
        <v>211</v>
      </c>
      <c r="D325" s="264">
        <v>239</v>
      </c>
      <c r="E325" s="264">
        <v>352</v>
      </c>
      <c r="F325" s="98">
        <v>452</v>
      </c>
      <c r="G325" s="149">
        <f t="shared" si="64"/>
        <v>1.1523809523809523</v>
      </c>
      <c r="H325" s="149">
        <f t="shared" si="65"/>
        <v>0.28409090909090912</v>
      </c>
      <c r="I325" s="218">
        <f t="shared" si="66"/>
        <v>0.10769597331427209</v>
      </c>
      <c r="J325" s="219">
        <f t="shared" si="67"/>
        <v>100</v>
      </c>
    </row>
    <row r="326" spans="1:10" x14ac:dyDescent="0.25">
      <c r="A326" s="249" t="s">
        <v>382</v>
      </c>
      <c r="B326" s="264">
        <v>5</v>
      </c>
      <c r="C326" s="264">
        <v>2</v>
      </c>
      <c r="D326" s="264">
        <v>4</v>
      </c>
      <c r="E326" s="264">
        <v>6</v>
      </c>
      <c r="F326" s="98">
        <v>5</v>
      </c>
      <c r="G326" s="149">
        <f t="shared" si="64"/>
        <v>0</v>
      </c>
      <c r="H326" s="149">
        <f t="shared" si="65"/>
        <v>-0.16666666666666666</v>
      </c>
      <c r="I326" s="218">
        <f t="shared" si="66"/>
        <v>1.1913271384322134E-3</v>
      </c>
      <c r="J326" s="219">
        <f t="shared" si="67"/>
        <v>-1</v>
      </c>
    </row>
    <row r="327" spans="1:10" x14ac:dyDescent="0.25">
      <c r="A327" s="249" t="s">
        <v>383</v>
      </c>
      <c r="B327" s="264">
        <v>19</v>
      </c>
      <c r="C327" s="264">
        <v>17</v>
      </c>
      <c r="D327" s="264">
        <v>23</v>
      </c>
      <c r="E327" s="264">
        <v>24</v>
      </c>
      <c r="F327" s="98">
        <v>55</v>
      </c>
      <c r="G327" s="149">
        <f t="shared" si="64"/>
        <v>1.8947368421052631</v>
      </c>
      <c r="H327" s="149">
        <f t="shared" si="65"/>
        <v>1.2916666666666667</v>
      </c>
      <c r="I327" s="218">
        <f t="shared" si="66"/>
        <v>1.3104598522754349E-2</v>
      </c>
      <c r="J327" s="219">
        <f t="shared" si="67"/>
        <v>31</v>
      </c>
    </row>
    <row r="328" spans="1:10" x14ac:dyDescent="0.25">
      <c r="A328" s="249" t="s">
        <v>384</v>
      </c>
      <c r="B328" s="264">
        <v>164</v>
      </c>
      <c r="C328" s="264">
        <v>170</v>
      </c>
      <c r="D328" s="264">
        <v>194</v>
      </c>
      <c r="E328" s="264">
        <v>264</v>
      </c>
      <c r="F328" s="98">
        <v>388</v>
      </c>
      <c r="G328" s="149">
        <f t="shared" si="64"/>
        <v>1.3658536585365855</v>
      </c>
      <c r="H328" s="149">
        <f t="shared" si="65"/>
        <v>0.46969696969696972</v>
      </c>
      <c r="I328" s="218">
        <f t="shared" si="66"/>
        <v>9.2446985942339771E-2</v>
      </c>
      <c r="J328" s="219">
        <f t="shared" si="67"/>
        <v>124</v>
      </c>
    </row>
    <row r="329" spans="1:10" x14ac:dyDescent="0.25">
      <c r="A329" s="249" t="s">
        <v>385</v>
      </c>
      <c r="B329" s="264">
        <v>0</v>
      </c>
      <c r="C329" s="264">
        <v>0</v>
      </c>
      <c r="D329" s="264">
        <v>0</v>
      </c>
      <c r="E329" s="264">
        <v>0</v>
      </c>
      <c r="F329" s="98">
        <v>1</v>
      </c>
      <c r="G329" s="149" t="s">
        <v>130</v>
      </c>
      <c r="H329" s="149" t="s">
        <v>130</v>
      </c>
      <c r="I329" s="218">
        <f t="shared" si="66"/>
        <v>2.3826542768644269E-4</v>
      </c>
      <c r="J329" s="219">
        <f t="shared" si="67"/>
        <v>1</v>
      </c>
    </row>
    <row r="330" spans="1:10" x14ac:dyDescent="0.25">
      <c r="A330" s="249" t="s">
        <v>386</v>
      </c>
      <c r="B330" s="264">
        <v>1315</v>
      </c>
      <c r="C330" s="264">
        <v>1369</v>
      </c>
      <c r="D330" s="264">
        <v>1594</v>
      </c>
      <c r="E330" s="264">
        <v>1967</v>
      </c>
      <c r="F330" s="98">
        <v>3058</v>
      </c>
      <c r="G330" s="149">
        <f t="shared" si="64"/>
        <v>1.3254752851711027</v>
      </c>
      <c r="H330" s="149">
        <f t="shared" si="65"/>
        <v>0.55465175394001021</v>
      </c>
      <c r="I330" s="218">
        <f t="shared" si="66"/>
        <v>0.72861567786514181</v>
      </c>
      <c r="J330" s="219">
        <f t="shared" si="67"/>
        <v>1091</v>
      </c>
    </row>
    <row r="331" spans="1:10" x14ac:dyDescent="0.25">
      <c r="A331" s="249" t="s">
        <v>387</v>
      </c>
      <c r="B331" s="264">
        <v>25</v>
      </c>
      <c r="C331" s="264">
        <v>34</v>
      </c>
      <c r="D331" s="264">
        <v>33</v>
      </c>
      <c r="E331" s="264">
        <v>35</v>
      </c>
      <c r="F331" s="98">
        <v>57</v>
      </c>
      <c r="G331" s="149">
        <f t="shared" si="64"/>
        <v>1.28</v>
      </c>
      <c r="H331" s="149">
        <f t="shared" si="65"/>
        <v>0.62857142857142856</v>
      </c>
      <c r="I331" s="218">
        <f t="shared" si="66"/>
        <v>1.3581129378127233E-2</v>
      </c>
      <c r="J331" s="219">
        <f t="shared" si="67"/>
        <v>22</v>
      </c>
    </row>
    <row r="332" spans="1:10" x14ac:dyDescent="0.25">
      <c r="A332" s="249" t="s">
        <v>388</v>
      </c>
      <c r="B332" s="264">
        <v>7</v>
      </c>
      <c r="C332" s="264">
        <v>13</v>
      </c>
      <c r="D332" s="264">
        <v>10</v>
      </c>
      <c r="E332" s="264">
        <v>12</v>
      </c>
      <c r="F332" s="98">
        <v>16</v>
      </c>
      <c r="G332" s="149">
        <f t="shared" si="64"/>
        <v>1.2857142857142858</v>
      </c>
      <c r="H332" s="149">
        <f t="shared" si="65"/>
        <v>0.33333333333333331</v>
      </c>
      <c r="I332" s="218">
        <f t="shared" si="66"/>
        <v>3.8122468429830831E-3</v>
      </c>
      <c r="J332" s="219">
        <f t="shared" si="67"/>
        <v>4</v>
      </c>
    </row>
    <row r="333" spans="1:10" x14ac:dyDescent="0.25">
      <c r="A333" t="s">
        <v>389</v>
      </c>
      <c r="B333" s="264">
        <v>0</v>
      </c>
      <c r="C333" s="264">
        <v>0</v>
      </c>
      <c r="D333" s="264">
        <v>1</v>
      </c>
      <c r="E333" s="264">
        <v>2</v>
      </c>
      <c r="F333" s="98">
        <v>2</v>
      </c>
      <c r="G333" s="149" t="s">
        <v>130</v>
      </c>
      <c r="H333" s="149" t="s">
        <v>130</v>
      </c>
      <c r="I333" s="218">
        <f t="shared" si="66"/>
        <v>4.7653085537288539E-4</v>
      </c>
      <c r="J333" s="219">
        <f t="shared" si="67"/>
        <v>0</v>
      </c>
    </row>
    <row r="334" spans="1:10" x14ac:dyDescent="0.25">
      <c r="A334" s="252" t="s">
        <v>0</v>
      </c>
      <c r="B334" s="263">
        <v>1807</v>
      </c>
      <c r="C334" s="263">
        <v>1876</v>
      </c>
      <c r="D334" s="263">
        <v>2159</v>
      </c>
      <c r="E334" s="263">
        <v>2753</v>
      </c>
      <c r="F334" s="8">
        <v>4197</v>
      </c>
      <c r="G334" s="150">
        <f>(F334-B334)/B334</f>
        <v>1.3226342003320422</v>
      </c>
      <c r="H334" s="150">
        <f>(F334-E334)/E334</f>
        <v>0.52451870686523794</v>
      </c>
      <c r="I334" s="220">
        <f t="shared" si="66"/>
        <v>1</v>
      </c>
      <c r="J334" s="221">
        <f>F334-E334</f>
        <v>1444</v>
      </c>
    </row>
    <row r="335" spans="1:10" x14ac:dyDescent="0.25">
      <c r="A335" s="246"/>
      <c r="B335" s="230"/>
      <c r="C335" s="230"/>
      <c r="D335" s="229"/>
      <c r="E335" s="229"/>
      <c r="F335" s="231"/>
      <c r="G335" s="198"/>
      <c r="H335" s="198"/>
      <c r="I335" s="271"/>
      <c r="J335" s="272"/>
    </row>
    <row r="336" spans="1:10" ht="15.75" x14ac:dyDescent="0.25">
      <c r="A336" s="259" t="s">
        <v>635</v>
      </c>
    </row>
    <row r="337" spans="1:10" ht="38.25" x14ac:dyDescent="0.25">
      <c r="A337" s="238" t="s">
        <v>632</v>
      </c>
      <c r="B337" s="105">
        <v>2021</v>
      </c>
      <c r="C337" s="105">
        <v>2022</v>
      </c>
      <c r="D337" s="105">
        <v>2023</v>
      </c>
      <c r="E337" s="105">
        <v>2024</v>
      </c>
      <c r="F337" s="105">
        <v>2025</v>
      </c>
      <c r="G337" s="106" t="s">
        <v>547</v>
      </c>
      <c r="H337" s="106" t="s">
        <v>548</v>
      </c>
      <c r="I337" s="106" t="s">
        <v>549</v>
      </c>
      <c r="J337" s="216" t="s">
        <v>563</v>
      </c>
    </row>
    <row r="338" spans="1:10" x14ac:dyDescent="0.25">
      <c r="A338" s="74" t="s">
        <v>102</v>
      </c>
      <c r="B338" s="264">
        <v>84</v>
      </c>
      <c r="C338" s="264">
        <v>126</v>
      </c>
      <c r="D338" s="264">
        <v>162</v>
      </c>
      <c r="E338" s="264">
        <v>200</v>
      </c>
      <c r="F338" s="98">
        <v>246</v>
      </c>
      <c r="G338" s="149">
        <f t="shared" ref="G338:G341" si="68">(F338-B338)/B338</f>
        <v>1.9285714285714286</v>
      </c>
      <c r="H338" s="149">
        <f t="shared" ref="H338:H341" si="69">(F338-E338)/E338</f>
        <v>0.23</v>
      </c>
      <c r="I338" s="218">
        <f>F338/F$374</f>
        <v>5.8613295210864905E-2</v>
      </c>
      <c r="J338" s="219">
        <f t="shared" ref="J338:J341" si="70">F338-E338</f>
        <v>46</v>
      </c>
    </row>
    <row r="339" spans="1:10" x14ac:dyDescent="0.25">
      <c r="A339" s="74" t="s">
        <v>34</v>
      </c>
      <c r="B339" s="264">
        <v>377</v>
      </c>
      <c r="C339" s="264">
        <v>335</v>
      </c>
      <c r="D339" s="264">
        <v>315</v>
      </c>
      <c r="E339" s="264">
        <v>264</v>
      </c>
      <c r="F339" s="98">
        <v>344</v>
      </c>
      <c r="G339" s="149">
        <f t="shared" si="68"/>
        <v>-8.7533156498673742E-2</v>
      </c>
      <c r="H339" s="149">
        <f t="shared" si="69"/>
        <v>0.30303030303030304</v>
      </c>
      <c r="I339" s="218">
        <f>F339/F$374</f>
        <v>8.1963307124136284E-2</v>
      </c>
      <c r="J339" s="219">
        <f t="shared" si="70"/>
        <v>80</v>
      </c>
    </row>
    <row r="340" spans="1:10" x14ac:dyDescent="0.25">
      <c r="A340" s="74" t="s">
        <v>601</v>
      </c>
      <c r="B340" s="264">
        <v>1346</v>
      </c>
      <c r="C340" s="264">
        <v>1415</v>
      </c>
      <c r="D340" s="264">
        <v>1682</v>
      </c>
      <c r="E340" s="264">
        <v>2289</v>
      </c>
      <c r="F340" s="98">
        <v>3607</v>
      </c>
      <c r="G340" s="149">
        <f t="shared" si="68"/>
        <v>1.6797919762258544</v>
      </c>
      <c r="H340" s="149">
        <f t="shared" si="69"/>
        <v>0.57579729139362168</v>
      </c>
      <c r="I340" s="218">
        <f>F340/F$374</f>
        <v>0.85942339766499876</v>
      </c>
      <c r="J340" s="219">
        <f t="shared" si="70"/>
        <v>1318</v>
      </c>
    </row>
    <row r="341" spans="1:10" x14ac:dyDescent="0.25">
      <c r="A341" s="92" t="s">
        <v>0</v>
      </c>
      <c r="B341" s="263">
        <v>1807</v>
      </c>
      <c r="C341" s="263">
        <v>1876</v>
      </c>
      <c r="D341" s="263">
        <v>2159</v>
      </c>
      <c r="E341" s="263">
        <v>2753</v>
      </c>
      <c r="F341" s="8">
        <v>4197</v>
      </c>
      <c r="G341" s="150">
        <f t="shared" si="68"/>
        <v>1.3226342003320422</v>
      </c>
      <c r="H341" s="150">
        <f t="shared" si="69"/>
        <v>0.52451870686523794</v>
      </c>
      <c r="I341" s="220">
        <f>F341/F$374</f>
        <v>1</v>
      </c>
      <c r="J341" s="221">
        <f t="shared" si="70"/>
        <v>1444</v>
      </c>
    </row>
    <row r="342" spans="1:10" x14ac:dyDescent="0.25">
      <c r="A342"/>
      <c r="B342"/>
      <c r="C342"/>
      <c r="D342"/>
      <c r="E342"/>
      <c r="F342"/>
      <c r="G342"/>
      <c r="H342"/>
      <c r="I342"/>
      <c r="J342"/>
    </row>
    <row r="343" spans="1:10" ht="15.75" x14ac:dyDescent="0.25">
      <c r="A343" s="259" t="s">
        <v>665</v>
      </c>
    </row>
    <row r="344" spans="1:10" ht="38.25" x14ac:dyDescent="0.25">
      <c r="A344" s="238" t="s">
        <v>372</v>
      </c>
      <c r="B344" s="105">
        <v>2021</v>
      </c>
      <c r="C344" s="105">
        <v>2022</v>
      </c>
      <c r="D344" s="105">
        <v>2023</v>
      </c>
      <c r="E344" s="105">
        <v>2024</v>
      </c>
      <c r="F344" s="105">
        <v>2025</v>
      </c>
      <c r="G344" s="106" t="s">
        <v>547</v>
      </c>
      <c r="H344" s="106" t="s">
        <v>548</v>
      </c>
      <c r="I344" s="106" t="s">
        <v>549</v>
      </c>
      <c r="J344" s="216" t="s">
        <v>563</v>
      </c>
    </row>
    <row r="345" spans="1:10" x14ac:dyDescent="0.25">
      <c r="A345" s="226" t="s">
        <v>102</v>
      </c>
      <c r="B345" s="263">
        <v>84</v>
      </c>
      <c r="C345" s="263">
        <v>126</v>
      </c>
      <c r="D345" s="263">
        <v>162</v>
      </c>
      <c r="E345" s="263">
        <v>200</v>
      </c>
      <c r="F345" s="8">
        <v>246</v>
      </c>
      <c r="G345" s="150">
        <f t="shared" ref="G345:G347" si="71">(F345-B345)/B345</f>
        <v>1.9285714285714286</v>
      </c>
      <c r="H345" s="150">
        <f t="shared" ref="H345:H347" si="72">(F345-E345)/E345</f>
        <v>0.23</v>
      </c>
      <c r="I345" s="220">
        <f t="shared" ref="I345:I354" si="73">F345/F$374</f>
        <v>5.8613295210864905E-2</v>
      </c>
      <c r="J345" s="221">
        <f t="shared" ref="J345:J347" si="74">F345-E345</f>
        <v>46</v>
      </c>
    </row>
    <row r="346" spans="1:10" x14ac:dyDescent="0.25">
      <c r="A346" s="232" t="s">
        <v>138</v>
      </c>
      <c r="B346" s="264">
        <v>42</v>
      </c>
      <c r="C346" s="264">
        <v>63</v>
      </c>
      <c r="D346" s="264">
        <v>84</v>
      </c>
      <c r="E346" s="264">
        <v>100</v>
      </c>
      <c r="F346" s="98">
        <v>125</v>
      </c>
      <c r="G346" s="149">
        <f t="shared" si="71"/>
        <v>1.9761904761904763</v>
      </c>
      <c r="H346" s="149">
        <f t="shared" si="72"/>
        <v>0.25</v>
      </c>
      <c r="I346" s="218">
        <f t="shared" si="73"/>
        <v>2.9783178460805339E-2</v>
      </c>
      <c r="J346" s="219">
        <f t="shared" si="74"/>
        <v>25</v>
      </c>
    </row>
    <row r="347" spans="1:10" x14ac:dyDescent="0.25">
      <c r="A347" s="232" t="s">
        <v>139</v>
      </c>
      <c r="B347" s="264">
        <v>42</v>
      </c>
      <c r="C347" s="264">
        <v>63</v>
      </c>
      <c r="D347" s="264">
        <v>78</v>
      </c>
      <c r="E347" s="264">
        <v>100</v>
      </c>
      <c r="F347" s="98">
        <v>121</v>
      </c>
      <c r="G347" s="149">
        <f t="shared" si="71"/>
        <v>1.8809523809523809</v>
      </c>
      <c r="H347" s="149">
        <f t="shared" si="72"/>
        <v>0.21</v>
      </c>
      <c r="I347" s="218">
        <f t="shared" si="73"/>
        <v>2.8830116750059566E-2</v>
      </c>
      <c r="J347" s="219">
        <f t="shared" si="74"/>
        <v>21</v>
      </c>
    </row>
    <row r="348" spans="1:10" x14ac:dyDescent="0.25">
      <c r="A348" s="226" t="s">
        <v>34</v>
      </c>
      <c r="B348" s="263">
        <v>377</v>
      </c>
      <c r="C348" s="263">
        <v>335</v>
      </c>
      <c r="D348" s="263">
        <v>315</v>
      </c>
      <c r="E348" s="263">
        <v>264</v>
      </c>
      <c r="F348" s="8">
        <v>344</v>
      </c>
      <c r="G348" s="150">
        <f t="shared" ref="G348:G354" si="75">(F348-B348)/B348</f>
        <v>-8.7533156498673742E-2</v>
      </c>
      <c r="H348" s="150">
        <f t="shared" ref="H348:H354" si="76">(F348-E348)/E348</f>
        <v>0.30303030303030304</v>
      </c>
      <c r="I348" s="220">
        <f t="shared" si="73"/>
        <v>8.1963307124136284E-2</v>
      </c>
      <c r="J348" s="221">
        <f t="shared" ref="J348:J354" si="77">F348-E348</f>
        <v>80</v>
      </c>
    </row>
    <row r="349" spans="1:10" x14ac:dyDescent="0.25">
      <c r="A349" s="232" t="s">
        <v>138</v>
      </c>
      <c r="B349" s="264">
        <v>308</v>
      </c>
      <c r="C349" s="264">
        <v>274</v>
      </c>
      <c r="D349" s="264">
        <v>249</v>
      </c>
      <c r="E349" s="264">
        <v>216</v>
      </c>
      <c r="F349" s="98">
        <v>303</v>
      </c>
      <c r="G349" s="149">
        <f t="shared" si="75"/>
        <v>-1.6233766233766232E-2</v>
      </c>
      <c r="H349" s="149">
        <f t="shared" si="76"/>
        <v>0.40277777777777779</v>
      </c>
      <c r="I349" s="218">
        <f t="shared" si="73"/>
        <v>7.219442458899214E-2</v>
      </c>
      <c r="J349" s="219">
        <f t="shared" si="77"/>
        <v>87</v>
      </c>
    </row>
    <row r="350" spans="1:10" x14ac:dyDescent="0.25">
      <c r="A350" s="232" t="s">
        <v>139</v>
      </c>
      <c r="B350" s="264">
        <v>69</v>
      </c>
      <c r="C350" s="264">
        <v>61</v>
      </c>
      <c r="D350" s="264">
        <v>66</v>
      </c>
      <c r="E350" s="264">
        <v>48</v>
      </c>
      <c r="F350" s="98">
        <v>41</v>
      </c>
      <c r="G350" s="149">
        <f t="shared" si="75"/>
        <v>-0.40579710144927539</v>
      </c>
      <c r="H350" s="149">
        <f t="shared" si="76"/>
        <v>-0.14583333333333334</v>
      </c>
      <c r="I350" s="218">
        <f t="shared" si="73"/>
        <v>9.7688825351441508E-3</v>
      </c>
      <c r="J350" s="219">
        <f t="shared" si="77"/>
        <v>-7</v>
      </c>
    </row>
    <row r="351" spans="1:10" x14ac:dyDescent="0.25">
      <c r="A351" s="226" t="s">
        <v>601</v>
      </c>
      <c r="B351" s="263">
        <v>1346</v>
      </c>
      <c r="C351" s="263">
        <v>1415</v>
      </c>
      <c r="D351" s="263">
        <v>1682</v>
      </c>
      <c r="E351" s="263">
        <v>2289</v>
      </c>
      <c r="F351" s="8">
        <v>3607</v>
      </c>
      <c r="G351" s="150">
        <f t="shared" si="75"/>
        <v>1.6797919762258544</v>
      </c>
      <c r="H351" s="150">
        <f t="shared" si="76"/>
        <v>0.57579729139362168</v>
      </c>
      <c r="I351" s="220">
        <f t="shared" si="73"/>
        <v>0.85942339766499876</v>
      </c>
      <c r="J351" s="221">
        <f t="shared" si="77"/>
        <v>1318</v>
      </c>
    </row>
    <row r="352" spans="1:10" x14ac:dyDescent="0.25">
      <c r="A352" s="232" t="s">
        <v>138</v>
      </c>
      <c r="B352" s="264">
        <v>890</v>
      </c>
      <c r="C352" s="264">
        <v>918</v>
      </c>
      <c r="D352" s="264">
        <v>1136</v>
      </c>
      <c r="E352" s="264">
        <v>1457</v>
      </c>
      <c r="F352" s="98">
        <v>2303</v>
      </c>
      <c r="G352" s="149">
        <f t="shared" si="75"/>
        <v>1.5876404494382022</v>
      </c>
      <c r="H352" s="149">
        <f t="shared" si="76"/>
        <v>0.58064516129032262</v>
      </c>
      <c r="I352" s="218">
        <f t="shared" si="73"/>
        <v>0.54872527996187748</v>
      </c>
      <c r="J352" s="219">
        <f t="shared" si="77"/>
        <v>846</v>
      </c>
    </row>
    <row r="353" spans="1:10" x14ac:dyDescent="0.25">
      <c r="A353" s="232" t="s">
        <v>139</v>
      </c>
      <c r="B353" s="264">
        <v>456</v>
      </c>
      <c r="C353" s="264">
        <v>497</v>
      </c>
      <c r="D353" s="264">
        <v>546</v>
      </c>
      <c r="E353" s="264">
        <v>832</v>
      </c>
      <c r="F353" s="98">
        <v>1304</v>
      </c>
      <c r="G353" s="149">
        <f t="shared" si="75"/>
        <v>1.8596491228070176</v>
      </c>
      <c r="H353" s="149">
        <f t="shared" si="76"/>
        <v>0.56730769230769229</v>
      </c>
      <c r="I353" s="218">
        <f t="shared" si="73"/>
        <v>0.31069811770312128</v>
      </c>
      <c r="J353" s="219">
        <f t="shared" si="77"/>
        <v>472</v>
      </c>
    </row>
    <row r="354" spans="1:10" x14ac:dyDescent="0.25">
      <c r="A354" s="226" t="s">
        <v>0</v>
      </c>
      <c r="B354" s="263">
        <v>1807</v>
      </c>
      <c r="C354" s="263">
        <v>1876</v>
      </c>
      <c r="D354" s="263">
        <v>2159</v>
      </c>
      <c r="E354" s="263">
        <v>2753</v>
      </c>
      <c r="F354" s="8">
        <v>4197</v>
      </c>
      <c r="G354" s="150">
        <f t="shared" si="75"/>
        <v>1.3226342003320422</v>
      </c>
      <c r="H354" s="150">
        <f t="shared" si="76"/>
        <v>0.52451870686523794</v>
      </c>
      <c r="I354" s="220">
        <f t="shared" si="73"/>
        <v>1</v>
      </c>
      <c r="J354" s="221">
        <f t="shared" si="77"/>
        <v>1444</v>
      </c>
    </row>
    <row r="355" spans="1:10" x14ac:dyDescent="0.25">
      <c r="A355"/>
      <c r="B355"/>
      <c r="C355"/>
      <c r="D355"/>
      <c r="E355"/>
      <c r="F355"/>
      <c r="G355"/>
      <c r="H355"/>
      <c r="I355"/>
      <c r="J355"/>
    </row>
    <row r="356" spans="1:10" ht="15.75" x14ac:dyDescent="0.25">
      <c r="A356" s="259" t="s">
        <v>637</v>
      </c>
    </row>
    <row r="357" spans="1:10" ht="38.25" x14ac:dyDescent="0.25">
      <c r="A357" s="238" t="s">
        <v>44</v>
      </c>
      <c r="B357" s="105">
        <v>2021</v>
      </c>
      <c r="C357" s="105">
        <v>2022</v>
      </c>
      <c r="D357" s="105">
        <v>2023</v>
      </c>
      <c r="E357" s="105">
        <v>2024</v>
      </c>
      <c r="F357" s="105">
        <v>2025</v>
      </c>
      <c r="G357" s="106" t="s">
        <v>547</v>
      </c>
      <c r="H357" s="106" t="s">
        <v>548</v>
      </c>
      <c r="I357" s="106" t="s">
        <v>549</v>
      </c>
      <c r="J357" s="216" t="s">
        <v>563</v>
      </c>
    </row>
    <row r="358" spans="1:10" x14ac:dyDescent="0.25">
      <c r="A358" s="225" t="s">
        <v>582</v>
      </c>
      <c r="B358" s="264">
        <v>0</v>
      </c>
      <c r="C358" s="264">
        <v>0</v>
      </c>
      <c r="D358" s="264">
        <v>0</v>
      </c>
      <c r="E358" s="264">
        <v>0</v>
      </c>
      <c r="F358" s="98">
        <v>0</v>
      </c>
      <c r="G358" s="149" t="s">
        <v>130</v>
      </c>
      <c r="H358" s="149" t="s">
        <v>130</v>
      </c>
      <c r="I358" s="218">
        <f>F358/F$374</f>
        <v>0</v>
      </c>
      <c r="J358" s="219">
        <f t="shared" ref="J358:J374" si="78">F358-E358</f>
        <v>0</v>
      </c>
    </row>
    <row r="359" spans="1:10" x14ac:dyDescent="0.25">
      <c r="A359" s="225" t="s">
        <v>583</v>
      </c>
      <c r="B359" s="264">
        <v>2</v>
      </c>
      <c r="C359" s="264">
        <v>0</v>
      </c>
      <c r="D359" s="264">
        <v>4</v>
      </c>
      <c r="E359" s="264">
        <v>0</v>
      </c>
      <c r="F359" s="98">
        <v>0</v>
      </c>
      <c r="G359" s="149">
        <f t="shared" ref="G359:G374" si="79">(F359-B359)/B359</f>
        <v>-1</v>
      </c>
      <c r="H359" s="149" t="s">
        <v>130</v>
      </c>
      <c r="I359" s="218">
        <f t="shared" ref="I359:I374" si="80">F359/F$374</f>
        <v>0</v>
      </c>
      <c r="J359" s="219">
        <f t="shared" si="78"/>
        <v>0</v>
      </c>
    </row>
    <row r="360" spans="1:10" x14ac:dyDescent="0.25">
      <c r="A360" s="225" t="s">
        <v>584</v>
      </c>
      <c r="B360" s="264">
        <v>22</v>
      </c>
      <c r="C360" s="264">
        <v>17</v>
      </c>
      <c r="D360" s="264">
        <v>40</v>
      </c>
      <c r="E360" s="264">
        <v>14</v>
      </c>
      <c r="F360" s="98">
        <v>40</v>
      </c>
      <c r="G360" s="149">
        <f t="shared" si="79"/>
        <v>0.81818181818181823</v>
      </c>
      <c r="H360" s="149">
        <f t="shared" ref="H360:H374" si="81">(F360-E360)/E360</f>
        <v>1.8571428571428572</v>
      </c>
      <c r="I360" s="218">
        <f t="shared" si="80"/>
        <v>9.5306171074577076E-3</v>
      </c>
      <c r="J360" s="219">
        <f t="shared" si="78"/>
        <v>26</v>
      </c>
    </row>
    <row r="361" spans="1:10" x14ac:dyDescent="0.25">
      <c r="A361" s="225" t="s">
        <v>585</v>
      </c>
      <c r="B361" s="264">
        <v>10</v>
      </c>
      <c r="C361" s="264">
        <v>5</v>
      </c>
      <c r="D361" s="264">
        <v>0</v>
      </c>
      <c r="E361" s="264">
        <v>0</v>
      </c>
      <c r="F361" s="98">
        <v>5</v>
      </c>
      <c r="G361" s="149">
        <f t="shared" si="79"/>
        <v>-0.5</v>
      </c>
      <c r="H361" s="149" t="s">
        <v>130</v>
      </c>
      <c r="I361" s="218">
        <f t="shared" si="80"/>
        <v>1.1913271384322134E-3</v>
      </c>
      <c r="J361" s="219">
        <f t="shared" si="78"/>
        <v>5</v>
      </c>
    </row>
    <row r="362" spans="1:10" x14ac:dyDescent="0.25">
      <c r="A362" s="225" t="s">
        <v>586</v>
      </c>
      <c r="B362" s="264">
        <v>14</v>
      </c>
      <c r="C362" s="264">
        <v>5</v>
      </c>
      <c r="D362" s="264">
        <v>9</v>
      </c>
      <c r="E362" s="264">
        <v>8</v>
      </c>
      <c r="F362" s="98">
        <v>9</v>
      </c>
      <c r="G362" s="149">
        <f t="shared" si="79"/>
        <v>-0.35714285714285715</v>
      </c>
      <c r="H362" s="149">
        <f t="shared" si="81"/>
        <v>0.125</v>
      </c>
      <c r="I362" s="218">
        <f t="shared" si="80"/>
        <v>2.1443888491779841E-3</v>
      </c>
      <c r="J362" s="219">
        <f t="shared" si="78"/>
        <v>1</v>
      </c>
    </row>
    <row r="363" spans="1:10" x14ac:dyDescent="0.25">
      <c r="A363" s="225" t="s">
        <v>587</v>
      </c>
      <c r="B363" s="264">
        <v>56</v>
      </c>
      <c r="C363" s="264">
        <v>59</v>
      </c>
      <c r="D363" s="264">
        <v>74</v>
      </c>
      <c r="E363" s="264">
        <v>90</v>
      </c>
      <c r="F363" s="98">
        <v>107</v>
      </c>
      <c r="G363" s="149">
        <f t="shared" si="79"/>
        <v>0.9107142857142857</v>
      </c>
      <c r="H363" s="149">
        <f t="shared" si="81"/>
        <v>0.18888888888888888</v>
      </c>
      <c r="I363" s="218">
        <f t="shared" si="80"/>
        <v>2.5494400762449368E-2</v>
      </c>
      <c r="J363" s="219">
        <f t="shared" si="78"/>
        <v>17</v>
      </c>
    </row>
    <row r="364" spans="1:10" x14ac:dyDescent="0.25">
      <c r="A364" s="225" t="s">
        <v>588</v>
      </c>
      <c r="B364" s="264">
        <v>1341</v>
      </c>
      <c r="C364" s="264">
        <v>1327</v>
      </c>
      <c r="D364" s="264">
        <v>1447</v>
      </c>
      <c r="E364" s="264">
        <v>2211</v>
      </c>
      <c r="F364" s="98">
        <v>3014</v>
      </c>
      <c r="G364" s="149">
        <f t="shared" si="79"/>
        <v>1.2475764354958985</v>
      </c>
      <c r="H364" s="149">
        <f t="shared" si="81"/>
        <v>0.36318407960199006</v>
      </c>
      <c r="I364" s="218">
        <f t="shared" si="80"/>
        <v>0.71813199904693825</v>
      </c>
      <c r="J364" s="219">
        <f t="shared" si="78"/>
        <v>803</v>
      </c>
    </row>
    <row r="365" spans="1:10" x14ac:dyDescent="0.25">
      <c r="A365" s="225" t="s">
        <v>589</v>
      </c>
      <c r="B365" s="264">
        <v>0</v>
      </c>
      <c r="C365" s="264">
        <v>0</v>
      </c>
      <c r="D365" s="264">
        <v>0</v>
      </c>
      <c r="E365" s="264">
        <v>0</v>
      </c>
      <c r="F365" s="98">
        <v>0</v>
      </c>
      <c r="G365" s="149" t="s">
        <v>130</v>
      </c>
      <c r="H365" s="149" t="s">
        <v>130</v>
      </c>
      <c r="I365" s="218">
        <f t="shared" si="80"/>
        <v>0</v>
      </c>
      <c r="J365" s="219">
        <f t="shared" si="78"/>
        <v>0</v>
      </c>
    </row>
    <row r="366" spans="1:10" x14ac:dyDescent="0.25">
      <c r="A366" s="225" t="s">
        <v>590</v>
      </c>
      <c r="B366" s="264">
        <v>9</v>
      </c>
      <c r="C366" s="264">
        <v>14</v>
      </c>
      <c r="D366" s="264">
        <v>12</v>
      </c>
      <c r="E366" s="264">
        <v>17</v>
      </c>
      <c r="F366" s="98">
        <v>19</v>
      </c>
      <c r="G366" s="149">
        <f t="shared" si="79"/>
        <v>1.1111111111111112</v>
      </c>
      <c r="H366" s="149">
        <f t="shared" si="81"/>
        <v>0.11764705882352941</v>
      </c>
      <c r="I366" s="218">
        <f t="shared" si="80"/>
        <v>4.5270431260424114E-3</v>
      </c>
      <c r="J366" s="219">
        <f t="shared" si="78"/>
        <v>2</v>
      </c>
    </row>
    <row r="367" spans="1:10" x14ac:dyDescent="0.25">
      <c r="A367" s="225" t="s">
        <v>591</v>
      </c>
      <c r="B367" s="264">
        <v>0</v>
      </c>
      <c r="C367" s="264">
        <v>10</v>
      </c>
      <c r="D367" s="264">
        <v>3</v>
      </c>
      <c r="E367" s="264">
        <v>9</v>
      </c>
      <c r="F367" s="98">
        <v>11</v>
      </c>
      <c r="G367" s="149" t="s">
        <v>130</v>
      </c>
      <c r="H367" s="149">
        <f t="shared" si="81"/>
        <v>0.22222222222222221</v>
      </c>
      <c r="I367" s="218">
        <f t="shared" si="80"/>
        <v>2.6209197045508697E-3</v>
      </c>
      <c r="J367" s="219">
        <f t="shared" si="78"/>
        <v>2</v>
      </c>
    </row>
    <row r="368" spans="1:10" x14ac:dyDescent="0.25">
      <c r="A368" s="225" t="s">
        <v>592</v>
      </c>
      <c r="B368" s="264">
        <v>84</v>
      </c>
      <c r="C368" s="264">
        <v>127</v>
      </c>
      <c r="D368" s="264">
        <v>126</v>
      </c>
      <c r="E368" s="264">
        <v>113</v>
      </c>
      <c r="F368" s="98">
        <v>129</v>
      </c>
      <c r="G368" s="149">
        <f t="shared" si="79"/>
        <v>0.5357142857142857</v>
      </c>
      <c r="H368" s="149">
        <f t="shared" si="81"/>
        <v>0.1415929203539823</v>
      </c>
      <c r="I368" s="218">
        <f t="shared" si="80"/>
        <v>3.0736240171551108E-2</v>
      </c>
      <c r="J368" s="219">
        <f t="shared" si="78"/>
        <v>16</v>
      </c>
    </row>
    <row r="369" spans="1:100" x14ac:dyDescent="0.25">
      <c r="A369" s="225" t="s">
        <v>593</v>
      </c>
      <c r="B369" s="264">
        <v>197</v>
      </c>
      <c r="C369" s="264">
        <v>232</v>
      </c>
      <c r="D369" s="264">
        <v>354</v>
      </c>
      <c r="E369" s="264">
        <v>249</v>
      </c>
      <c r="F369" s="98">
        <v>813</v>
      </c>
      <c r="G369" s="149">
        <f t="shared" si="79"/>
        <v>3.1269035532994924</v>
      </c>
      <c r="H369" s="149">
        <f t="shared" si="81"/>
        <v>2.2650602409638556</v>
      </c>
      <c r="I369" s="218">
        <f t="shared" si="80"/>
        <v>0.1937097927090779</v>
      </c>
      <c r="J369" s="219">
        <f t="shared" si="78"/>
        <v>564</v>
      </c>
    </row>
    <row r="370" spans="1:100" x14ac:dyDescent="0.25">
      <c r="A370" s="225" t="s">
        <v>594</v>
      </c>
      <c r="B370" s="264">
        <v>32</v>
      </c>
      <c r="C370" s="264">
        <v>30</v>
      </c>
      <c r="D370" s="264">
        <v>34</v>
      </c>
      <c r="E370" s="264">
        <v>22</v>
      </c>
      <c r="F370" s="98">
        <v>19</v>
      </c>
      <c r="G370" s="149">
        <f t="shared" si="79"/>
        <v>-0.40625</v>
      </c>
      <c r="H370" s="149">
        <f t="shared" si="81"/>
        <v>-0.13636363636363635</v>
      </c>
      <c r="I370" s="218">
        <f t="shared" si="80"/>
        <v>4.5270431260424114E-3</v>
      </c>
      <c r="J370" s="219">
        <f t="shared" si="78"/>
        <v>-3</v>
      </c>
    </row>
    <row r="371" spans="1:100" x14ac:dyDescent="0.25">
      <c r="A371" s="225" t="s">
        <v>595</v>
      </c>
      <c r="B371" s="264">
        <v>39</v>
      </c>
      <c r="C371" s="264">
        <v>50</v>
      </c>
      <c r="D371" s="264">
        <v>56</v>
      </c>
      <c r="E371" s="264">
        <v>16</v>
      </c>
      <c r="F371" s="98">
        <v>31</v>
      </c>
      <c r="G371" s="149">
        <f t="shared" si="79"/>
        <v>-0.20512820512820512</v>
      </c>
      <c r="H371" s="149">
        <f t="shared" si="81"/>
        <v>0.9375</v>
      </c>
      <c r="I371" s="218">
        <f t="shared" si="80"/>
        <v>7.3862282582797239E-3</v>
      </c>
      <c r="J371" s="219">
        <f t="shared" si="78"/>
        <v>15</v>
      </c>
    </row>
    <row r="372" spans="1:100" x14ac:dyDescent="0.25">
      <c r="A372" s="225" t="s">
        <v>596</v>
      </c>
      <c r="B372" s="264">
        <v>0</v>
      </c>
      <c r="C372" s="264">
        <v>0</v>
      </c>
      <c r="D372" s="264">
        <v>0</v>
      </c>
      <c r="E372" s="264">
        <v>0</v>
      </c>
      <c r="F372" s="98">
        <v>0</v>
      </c>
      <c r="G372" s="149" t="s">
        <v>130</v>
      </c>
      <c r="H372" s="149" t="s">
        <v>130</v>
      </c>
      <c r="I372" s="218">
        <f t="shared" si="80"/>
        <v>0</v>
      </c>
      <c r="J372" s="219">
        <f t="shared" si="78"/>
        <v>0</v>
      </c>
    </row>
    <row r="373" spans="1:100" x14ac:dyDescent="0.25">
      <c r="A373" s="225" t="s">
        <v>597</v>
      </c>
      <c r="B373" s="264">
        <v>1</v>
      </c>
      <c r="C373" s="264">
        <v>0</v>
      </c>
      <c r="D373" s="264">
        <v>0</v>
      </c>
      <c r="E373" s="264">
        <v>4</v>
      </c>
      <c r="F373" s="98">
        <v>0</v>
      </c>
      <c r="G373" s="149">
        <f t="shared" si="79"/>
        <v>-1</v>
      </c>
      <c r="H373" s="149">
        <f t="shared" si="81"/>
        <v>-1</v>
      </c>
      <c r="I373" s="218">
        <f t="shared" si="80"/>
        <v>0</v>
      </c>
      <c r="J373" s="219">
        <f t="shared" si="78"/>
        <v>-4</v>
      </c>
    </row>
    <row r="374" spans="1:100" x14ac:dyDescent="0.25">
      <c r="A374" s="226" t="s">
        <v>598</v>
      </c>
      <c r="B374" s="263">
        <v>1807</v>
      </c>
      <c r="C374" s="263">
        <v>1876</v>
      </c>
      <c r="D374" s="263">
        <v>2159</v>
      </c>
      <c r="E374" s="263">
        <v>2753</v>
      </c>
      <c r="F374" s="8">
        <v>4197</v>
      </c>
      <c r="G374" s="150">
        <f t="shared" si="79"/>
        <v>1.3226342003320422</v>
      </c>
      <c r="H374" s="150">
        <f t="shared" si="81"/>
        <v>0.52451870686523794</v>
      </c>
      <c r="I374" s="220">
        <f t="shared" si="80"/>
        <v>1</v>
      </c>
      <c r="J374" s="221">
        <f t="shared" si="78"/>
        <v>1444</v>
      </c>
    </row>
    <row r="375" spans="1:100" x14ac:dyDescent="0.25">
      <c r="D375" s="15"/>
      <c r="E375" s="15"/>
    </row>
    <row r="376" spans="1:100" ht="15.75" x14ac:dyDescent="0.25">
      <c r="A376" s="176" t="s">
        <v>667</v>
      </c>
      <c r="B376" s="182"/>
      <c r="D376" s="182"/>
      <c r="E376" s="182"/>
    </row>
    <row r="377" spans="1:100" ht="38.25" x14ac:dyDescent="0.25">
      <c r="A377" s="126" t="s">
        <v>411</v>
      </c>
      <c r="B377" s="183" t="s">
        <v>577</v>
      </c>
      <c r="C377" s="183" t="s">
        <v>576</v>
      </c>
      <c r="D377" s="106" t="s">
        <v>410</v>
      </c>
      <c r="E377" s="106" t="s">
        <v>412</v>
      </c>
      <c r="CS377"/>
      <c r="CT377"/>
      <c r="CU377"/>
      <c r="CV377"/>
    </row>
    <row r="378" spans="1:100" x14ac:dyDescent="0.25">
      <c r="A378" s="80" t="s">
        <v>2</v>
      </c>
      <c r="B378" s="137">
        <v>24283</v>
      </c>
      <c r="C378" s="137">
        <v>152545</v>
      </c>
      <c r="D378" s="173">
        <f>B378/C378</f>
        <v>0.15918581402209184</v>
      </c>
      <c r="E378" s="173">
        <f>B378/B$503</f>
        <v>0.13977033988545773</v>
      </c>
      <c r="CS378"/>
      <c r="CT378"/>
      <c r="CU378"/>
      <c r="CV378"/>
    </row>
    <row r="379" spans="1:100" x14ac:dyDescent="0.25">
      <c r="A379" s="167" t="s">
        <v>470</v>
      </c>
      <c r="B379" s="138">
        <v>4</v>
      </c>
      <c r="C379" s="138">
        <v>94</v>
      </c>
      <c r="D379" s="172">
        <f t="shared" ref="D379:D439" si="82">B379/C379</f>
        <v>4.2553191489361701E-2</v>
      </c>
      <c r="E379" s="172">
        <f t="shared" ref="E379:E442" si="83">B379/B$503</f>
        <v>2.3023570380176707E-5</v>
      </c>
      <c r="CS379"/>
      <c r="CT379"/>
      <c r="CU379"/>
      <c r="CV379"/>
    </row>
    <row r="380" spans="1:100" x14ac:dyDescent="0.25">
      <c r="A380" s="167" t="s">
        <v>141</v>
      </c>
      <c r="B380" s="138">
        <v>8</v>
      </c>
      <c r="C380" s="138">
        <v>191</v>
      </c>
      <c r="D380" s="172">
        <f t="shared" si="82"/>
        <v>4.1884816753926704E-2</v>
      </c>
      <c r="E380" s="172">
        <f t="shared" si="83"/>
        <v>4.6047140760353414E-5</v>
      </c>
      <c r="CS380"/>
      <c r="CT380"/>
      <c r="CU380"/>
      <c r="CV380"/>
    </row>
    <row r="381" spans="1:100" x14ac:dyDescent="0.25">
      <c r="A381" s="167" t="s">
        <v>471</v>
      </c>
      <c r="B381" s="138">
        <v>28</v>
      </c>
      <c r="C381" s="138">
        <v>323</v>
      </c>
      <c r="D381" s="172">
        <f t="shared" si="82"/>
        <v>8.6687306501547989E-2</v>
      </c>
      <c r="E381" s="172">
        <f t="shared" si="83"/>
        <v>1.6116499266123695E-4</v>
      </c>
      <c r="CS381"/>
      <c r="CT381"/>
      <c r="CU381"/>
      <c r="CV381"/>
    </row>
    <row r="382" spans="1:100" x14ac:dyDescent="0.25">
      <c r="A382" s="167" t="s">
        <v>142</v>
      </c>
      <c r="B382" s="138">
        <v>1047</v>
      </c>
      <c r="C382" s="138">
        <v>6221</v>
      </c>
      <c r="D382" s="172">
        <f t="shared" si="82"/>
        <v>0.16830091625140653</v>
      </c>
      <c r="E382" s="172">
        <f t="shared" si="83"/>
        <v>6.026419547011253E-3</v>
      </c>
      <c r="CS382"/>
      <c r="CT382"/>
      <c r="CU382"/>
      <c r="CV382"/>
    </row>
    <row r="383" spans="1:100" x14ac:dyDescent="0.25">
      <c r="A383" s="167" t="s">
        <v>143</v>
      </c>
      <c r="B383" s="138">
        <v>628</v>
      </c>
      <c r="C383" s="138">
        <v>5190</v>
      </c>
      <c r="D383" s="172">
        <f t="shared" si="82"/>
        <v>0.1210019267822736</v>
      </c>
      <c r="E383" s="172">
        <f t="shared" si="83"/>
        <v>3.614700549687743E-3</v>
      </c>
      <c r="CS383"/>
      <c r="CT383"/>
      <c r="CU383"/>
      <c r="CV383"/>
    </row>
    <row r="384" spans="1:100" x14ac:dyDescent="0.25">
      <c r="A384" s="167" t="s">
        <v>144</v>
      </c>
      <c r="B384" s="138">
        <v>866</v>
      </c>
      <c r="C384" s="138">
        <v>8890</v>
      </c>
      <c r="D384" s="172">
        <f t="shared" si="82"/>
        <v>9.7412823397075368E-2</v>
      </c>
      <c r="E384" s="172">
        <f t="shared" si="83"/>
        <v>4.9846029873082572E-3</v>
      </c>
      <c r="CS384"/>
      <c r="CT384"/>
      <c r="CU384"/>
      <c r="CV384"/>
    </row>
    <row r="385" spans="1:100" x14ac:dyDescent="0.25">
      <c r="A385" s="167" t="s">
        <v>318</v>
      </c>
      <c r="B385" s="138">
        <v>165</v>
      </c>
      <c r="C385" s="138">
        <v>526</v>
      </c>
      <c r="D385" s="172">
        <f t="shared" si="82"/>
        <v>0.31368821292775667</v>
      </c>
      <c r="E385" s="172">
        <f t="shared" si="83"/>
        <v>9.4972227818228912E-4</v>
      </c>
      <c r="CS385"/>
      <c r="CT385"/>
      <c r="CU385"/>
      <c r="CV385"/>
    </row>
    <row r="386" spans="1:100" x14ac:dyDescent="0.25">
      <c r="A386" s="167" t="s">
        <v>338</v>
      </c>
      <c r="B386" s="138">
        <v>1012</v>
      </c>
      <c r="C386" s="138">
        <v>2816</v>
      </c>
      <c r="D386" s="172">
        <f t="shared" si="82"/>
        <v>0.359375</v>
      </c>
      <c r="E386" s="172">
        <f t="shared" si="83"/>
        <v>5.8249633061847068E-3</v>
      </c>
      <c r="CS386"/>
      <c r="CT386"/>
      <c r="CU386"/>
      <c r="CV386"/>
    </row>
    <row r="387" spans="1:100" x14ac:dyDescent="0.25">
      <c r="A387" s="167" t="s">
        <v>339</v>
      </c>
      <c r="B387" s="138">
        <v>106</v>
      </c>
      <c r="C387" s="138">
        <v>402</v>
      </c>
      <c r="D387" s="172">
        <f t="shared" si="82"/>
        <v>0.26368159203980102</v>
      </c>
      <c r="E387" s="172">
        <f t="shared" si="83"/>
        <v>6.1012461507468268E-4</v>
      </c>
      <c r="CS387"/>
      <c r="CT387"/>
      <c r="CU387"/>
      <c r="CV387"/>
    </row>
    <row r="388" spans="1:100" x14ac:dyDescent="0.25">
      <c r="A388" s="167" t="s">
        <v>348</v>
      </c>
      <c r="B388" s="138">
        <v>318</v>
      </c>
      <c r="C388" s="138">
        <v>633</v>
      </c>
      <c r="D388" s="172">
        <f t="shared" si="82"/>
        <v>0.50236966824644547</v>
      </c>
      <c r="E388" s="172">
        <f t="shared" si="83"/>
        <v>1.830373845224048E-3</v>
      </c>
      <c r="CS388"/>
      <c r="CT388"/>
      <c r="CU388"/>
      <c r="CV388"/>
    </row>
    <row r="389" spans="1:100" x14ac:dyDescent="0.25">
      <c r="A389" s="167" t="s">
        <v>299</v>
      </c>
      <c r="B389" s="138">
        <v>197</v>
      </c>
      <c r="C389" s="138">
        <v>1496</v>
      </c>
      <c r="D389" s="172">
        <f t="shared" si="82"/>
        <v>0.13168449197860962</v>
      </c>
      <c r="E389" s="172">
        <f t="shared" si="83"/>
        <v>1.1339108412237028E-3</v>
      </c>
      <c r="CS389"/>
      <c r="CT389"/>
      <c r="CU389"/>
      <c r="CV389"/>
    </row>
    <row r="390" spans="1:100" x14ac:dyDescent="0.25">
      <c r="A390" s="167" t="s">
        <v>265</v>
      </c>
      <c r="B390" s="138">
        <v>656</v>
      </c>
      <c r="C390" s="138">
        <v>1886</v>
      </c>
      <c r="D390" s="172">
        <f t="shared" si="82"/>
        <v>0.34782608695652173</v>
      </c>
      <c r="E390" s="172">
        <f t="shared" si="83"/>
        <v>3.7758655423489797E-3</v>
      </c>
      <c r="CS390"/>
      <c r="CT390"/>
      <c r="CU390"/>
      <c r="CV390"/>
    </row>
    <row r="391" spans="1:100" x14ac:dyDescent="0.25">
      <c r="A391" s="167" t="s">
        <v>300</v>
      </c>
      <c r="B391" s="138">
        <v>302</v>
      </c>
      <c r="C391" s="138">
        <v>644</v>
      </c>
      <c r="D391" s="172">
        <f t="shared" si="82"/>
        <v>0.46894409937888198</v>
      </c>
      <c r="E391" s="172">
        <f t="shared" si="83"/>
        <v>1.7382795637033413E-3</v>
      </c>
      <c r="CS391"/>
      <c r="CT391"/>
      <c r="CU391"/>
      <c r="CV391"/>
    </row>
    <row r="392" spans="1:100" x14ac:dyDescent="0.25">
      <c r="A392" s="167" t="s">
        <v>319</v>
      </c>
      <c r="B392" s="138">
        <v>494</v>
      </c>
      <c r="C392" s="138">
        <v>1596</v>
      </c>
      <c r="D392" s="172">
        <f t="shared" si="82"/>
        <v>0.30952380952380953</v>
      </c>
      <c r="E392" s="172">
        <f t="shared" si="83"/>
        <v>2.8434109419518232E-3</v>
      </c>
      <c r="CS392"/>
      <c r="CT392"/>
      <c r="CU392"/>
      <c r="CV392"/>
    </row>
    <row r="393" spans="1:100" x14ac:dyDescent="0.25">
      <c r="A393" s="167" t="s">
        <v>320</v>
      </c>
      <c r="B393" s="138">
        <v>74</v>
      </c>
      <c r="C393" s="138">
        <v>182</v>
      </c>
      <c r="D393" s="172">
        <f t="shared" si="82"/>
        <v>0.40659340659340659</v>
      </c>
      <c r="E393" s="172">
        <f t="shared" si="83"/>
        <v>4.2593605203326905E-4</v>
      </c>
      <c r="CS393"/>
      <c r="CT393"/>
      <c r="CU393"/>
      <c r="CV393"/>
    </row>
    <row r="394" spans="1:100" x14ac:dyDescent="0.25">
      <c r="A394" s="167" t="s">
        <v>301</v>
      </c>
      <c r="B394" s="138">
        <v>521</v>
      </c>
      <c r="C394" s="138">
        <v>1778</v>
      </c>
      <c r="D394" s="172">
        <f t="shared" si="82"/>
        <v>0.29302587176602923</v>
      </c>
      <c r="E394" s="172">
        <f t="shared" si="83"/>
        <v>2.9988200420180159E-3</v>
      </c>
      <c r="CS394"/>
      <c r="CT394"/>
      <c r="CU394"/>
      <c r="CV394"/>
    </row>
    <row r="395" spans="1:100" x14ac:dyDescent="0.25">
      <c r="A395" s="167" t="s">
        <v>321</v>
      </c>
      <c r="B395" s="138">
        <v>134</v>
      </c>
      <c r="C395" s="138">
        <v>1934</v>
      </c>
      <c r="D395" s="172">
        <f t="shared" si="82"/>
        <v>6.9286452947259561E-2</v>
      </c>
      <c r="E395" s="172">
        <f t="shared" si="83"/>
        <v>7.7128960773591962E-4</v>
      </c>
      <c r="CS395"/>
      <c r="CT395"/>
      <c r="CU395"/>
      <c r="CV395"/>
    </row>
    <row r="396" spans="1:100" x14ac:dyDescent="0.25">
      <c r="A396" s="167" t="s">
        <v>349</v>
      </c>
      <c r="B396" s="138">
        <v>222</v>
      </c>
      <c r="C396" s="138">
        <v>635</v>
      </c>
      <c r="D396" s="172">
        <f t="shared" si="82"/>
        <v>0.34960629921259845</v>
      </c>
      <c r="E396" s="172">
        <f t="shared" si="83"/>
        <v>1.2778081560998072E-3</v>
      </c>
      <c r="CS396"/>
      <c r="CT396"/>
      <c r="CU396"/>
      <c r="CV396"/>
    </row>
    <row r="397" spans="1:100" x14ac:dyDescent="0.25">
      <c r="A397" s="167" t="s">
        <v>350</v>
      </c>
      <c r="B397" s="138">
        <v>63</v>
      </c>
      <c r="C397" s="138">
        <v>1599</v>
      </c>
      <c r="D397" s="172">
        <f t="shared" si="82"/>
        <v>3.9399624765478425E-2</v>
      </c>
      <c r="E397" s="172">
        <f t="shared" si="83"/>
        <v>3.6262123348778313E-4</v>
      </c>
      <c r="CS397"/>
      <c r="CT397"/>
      <c r="CU397"/>
      <c r="CV397"/>
    </row>
    <row r="398" spans="1:100" x14ac:dyDescent="0.25">
      <c r="A398" s="167" t="s">
        <v>266</v>
      </c>
      <c r="B398" s="138">
        <v>56</v>
      </c>
      <c r="C398" s="138">
        <v>1447</v>
      </c>
      <c r="D398" s="172">
        <f t="shared" si="82"/>
        <v>3.8700760193503804E-2</v>
      </c>
      <c r="E398" s="172">
        <f t="shared" si="83"/>
        <v>3.2232998532247389E-4</v>
      </c>
      <c r="CS398"/>
      <c r="CT398"/>
      <c r="CU398"/>
      <c r="CV398"/>
    </row>
    <row r="399" spans="1:100" x14ac:dyDescent="0.25">
      <c r="A399" s="167" t="s">
        <v>322</v>
      </c>
      <c r="B399" s="138">
        <v>79</v>
      </c>
      <c r="C399" s="138">
        <v>959</v>
      </c>
      <c r="D399" s="172">
        <f t="shared" si="82"/>
        <v>8.2377476538060476E-2</v>
      </c>
      <c r="E399" s="172">
        <f t="shared" si="83"/>
        <v>4.5471551500848997E-4</v>
      </c>
      <c r="CS399"/>
      <c r="CT399"/>
      <c r="CU399"/>
      <c r="CV399"/>
    </row>
    <row r="400" spans="1:100" x14ac:dyDescent="0.25">
      <c r="A400" s="167" t="s">
        <v>145</v>
      </c>
      <c r="B400" s="138">
        <v>51</v>
      </c>
      <c r="C400" s="138">
        <v>604</v>
      </c>
      <c r="D400" s="172">
        <f t="shared" si="82"/>
        <v>8.4437086092715233E-2</v>
      </c>
      <c r="E400" s="172">
        <f t="shared" si="83"/>
        <v>2.9355052234725302E-4</v>
      </c>
      <c r="CS400"/>
      <c r="CT400"/>
      <c r="CU400"/>
      <c r="CV400"/>
    </row>
    <row r="401" spans="1:100" x14ac:dyDescent="0.25">
      <c r="A401" s="167" t="s">
        <v>302</v>
      </c>
      <c r="B401" s="138">
        <v>7</v>
      </c>
      <c r="C401" s="138">
        <v>211</v>
      </c>
      <c r="D401" s="172">
        <f t="shared" si="82"/>
        <v>3.3175355450236969E-2</v>
      </c>
      <c r="E401" s="172">
        <f t="shared" si="83"/>
        <v>4.0291248165309236E-5</v>
      </c>
      <c r="CS401"/>
      <c r="CT401"/>
      <c r="CU401"/>
      <c r="CV401"/>
    </row>
    <row r="402" spans="1:100" x14ac:dyDescent="0.25">
      <c r="A402" s="167" t="s">
        <v>472</v>
      </c>
      <c r="B402" s="138">
        <v>3</v>
      </c>
      <c r="C402" s="138">
        <v>89</v>
      </c>
      <c r="D402" s="172">
        <f t="shared" si="82"/>
        <v>3.3707865168539325E-2</v>
      </c>
      <c r="E402" s="172">
        <f t="shared" si="83"/>
        <v>1.7267677785132529E-5</v>
      </c>
      <c r="CS402"/>
      <c r="CT402"/>
      <c r="CU402"/>
      <c r="CV402"/>
    </row>
    <row r="403" spans="1:100" x14ac:dyDescent="0.25">
      <c r="A403" s="167" t="s">
        <v>61</v>
      </c>
      <c r="B403" s="138">
        <v>8573</v>
      </c>
      <c r="C403" s="138">
        <v>50433</v>
      </c>
      <c r="D403" s="172">
        <f t="shared" si="82"/>
        <v>0.16998790474490907</v>
      </c>
      <c r="E403" s="172">
        <f t="shared" si="83"/>
        <v>4.9345267217313728E-2</v>
      </c>
      <c r="CS403"/>
      <c r="CT403"/>
      <c r="CU403"/>
      <c r="CV403"/>
    </row>
    <row r="404" spans="1:100" x14ac:dyDescent="0.25">
      <c r="A404" s="167" t="s">
        <v>146</v>
      </c>
      <c r="B404" s="138">
        <v>93</v>
      </c>
      <c r="C404" s="138">
        <v>1036</v>
      </c>
      <c r="D404" s="172">
        <f t="shared" si="82"/>
        <v>8.9768339768339769E-2</v>
      </c>
      <c r="E404" s="172">
        <f t="shared" si="83"/>
        <v>5.3529801133910839E-4</v>
      </c>
      <c r="CS404"/>
      <c r="CT404"/>
      <c r="CU404"/>
      <c r="CV404"/>
    </row>
    <row r="405" spans="1:100" x14ac:dyDescent="0.25">
      <c r="A405" s="167" t="s">
        <v>147</v>
      </c>
      <c r="B405" s="138">
        <v>2</v>
      </c>
      <c r="C405" s="138">
        <v>76</v>
      </c>
      <c r="D405" s="172">
        <f t="shared" si="82"/>
        <v>2.6315789473684209E-2</v>
      </c>
      <c r="E405" s="172">
        <f t="shared" si="83"/>
        <v>1.1511785190088353E-5</v>
      </c>
      <c r="CS405"/>
      <c r="CT405"/>
      <c r="CU405"/>
      <c r="CV405"/>
    </row>
    <row r="406" spans="1:100" x14ac:dyDescent="0.25">
      <c r="A406" s="167" t="s">
        <v>148</v>
      </c>
      <c r="B406" s="138">
        <v>22</v>
      </c>
      <c r="C406" s="138">
        <v>54</v>
      </c>
      <c r="D406" s="172">
        <f t="shared" si="82"/>
        <v>0.40740740740740738</v>
      </c>
      <c r="E406" s="172">
        <f t="shared" si="83"/>
        <v>1.2662963709097189E-4</v>
      </c>
      <c r="CS406"/>
      <c r="CT406"/>
      <c r="CU406"/>
      <c r="CV406"/>
    </row>
    <row r="407" spans="1:100" x14ac:dyDescent="0.25">
      <c r="A407" s="167" t="s">
        <v>149</v>
      </c>
      <c r="B407" s="138">
        <v>9</v>
      </c>
      <c r="C407" s="138">
        <v>44</v>
      </c>
      <c r="D407" s="172">
        <f t="shared" si="82"/>
        <v>0.20454545454545456</v>
      </c>
      <c r="E407" s="172">
        <f t="shared" si="83"/>
        <v>5.1803033355397592E-5</v>
      </c>
      <c r="CS407"/>
      <c r="CT407"/>
      <c r="CU407"/>
      <c r="CV407"/>
    </row>
    <row r="408" spans="1:100" x14ac:dyDescent="0.25">
      <c r="A408" s="167" t="s">
        <v>150</v>
      </c>
      <c r="B408" s="138">
        <v>143</v>
      </c>
      <c r="C408" s="138">
        <v>1219</v>
      </c>
      <c r="D408" s="172">
        <f t="shared" si="82"/>
        <v>0.1173092698933552</v>
      </c>
      <c r="E408" s="172">
        <f t="shared" si="83"/>
        <v>8.2309264109131728E-4</v>
      </c>
      <c r="CS408"/>
      <c r="CT408"/>
      <c r="CU408"/>
      <c r="CV408"/>
    </row>
    <row r="409" spans="1:100" x14ac:dyDescent="0.25">
      <c r="A409" s="167" t="s">
        <v>151</v>
      </c>
      <c r="B409" s="138">
        <v>43</v>
      </c>
      <c r="C409" s="138">
        <v>563</v>
      </c>
      <c r="D409" s="172">
        <f t="shared" si="82"/>
        <v>7.6376554174067496E-2</v>
      </c>
      <c r="E409" s="172">
        <f t="shared" si="83"/>
        <v>2.475033815868996E-4</v>
      </c>
      <c r="CS409"/>
      <c r="CT409"/>
      <c r="CU409"/>
      <c r="CV409"/>
    </row>
    <row r="410" spans="1:100" x14ac:dyDescent="0.25">
      <c r="A410" s="167" t="s">
        <v>152</v>
      </c>
      <c r="B410" s="138">
        <v>288</v>
      </c>
      <c r="C410" s="138">
        <v>2022</v>
      </c>
      <c r="D410" s="172">
        <f t="shared" si="82"/>
        <v>0.14243323442136499</v>
      </c>
      <c r="E410" s="172">
        <f t="shared" si="83"/>
        <v>1.6576970673727229E-3</v>
      </c>
      <c r="CS410"/>
      <c r="CT410"/>
      <c r="CU410"/>
      <c r="CV410"/>
    </row>
    <row r="411" spans="1:100" x14ac:dyDescent="0.25">
      <c r="A411" s="167" t="s">
        <v>153</v>
      </c>
      <c r="B411" s="138">
        <v>79</v>
      </c>
      <c r="C411" s="138">
        <v>1110</v>
      </c>
      <c r="D411" s="172">
        <f t="shared" si="82"/>
        <v>7.1171171171171166E-2</v>
      </c>
      <c r="E411" s="172">
        <f t="shared" si="83"/>
        <v>4.5471551500848997E-4</v>
      </c>
      <c r="CS411"/>
      <c r="CT411"/>
      <c r="CU411"/>
      <c r="CV411"/>
    </row>
    <row r="412" spans="1:100" x14ac:dyDescent="0.25">
      <c r="A412" s="167" t="s">
        <v>154</v>
      </c>
      <c r="B412" s="138">
        <v>42</v>
      </c>
      <c r="C412" s="138">
        <v>176</v>
      </c>
      <c r="D412" s="172">
        <f t="shared" si="82"/>
        <v>0.23863636363636365</v>
      </c>
      <c r="E412" s="172">
        <f t="shared" si="83"/>
        <v>2.4174748899185542E-4</v>
      </c>
      <c r="CS412"/>
      <c r="CT412"/>
      <c r="CU412"/>
      <c r="CV412"/>
    </row>
    <row r="413" spans="1:100" x14ac:dyDescent="0.25">
      <c r="A413" s="167" t="s">
        <v>155</v>
      </c>
      <c r="B413" s="138">
        <v>10</v>
      </c>
      <c r="C413" s="138">
        <v>14</v>
      </c>
      <c r="D413" s="172">
        <f t="shared" si="82"/>
        <v>0.7142857142857143</v>
      </c>
      <c r="E413" s="172">
        <f t="shared" si="83"/>
        <v>5.7558925950441762E-5</v>
      </c>
      <c r="CS413"/>
      <c r="CT413"/>
      <c r="CU413"/>
      <c r="CV413"/>
    </row>
    <row r="414" spans="1:100" x14ac:dyDescent="0.25">
      <c r="A414" s="167" t="s">
        <v>303</v>
      </c>
      <c r="B414" s="138">
        <v>356</v>
      </c>
      <c r="C414" s="138">
        <v>8316</v>
      </c>
      <c r="D414" s="172">
        <f t="shared" si="82"/>
        <v>4.280904280904281E-2</v>
      </c>
      <c r="E414" s="172">
        <f t="shared" si="83"/>
        <v>2.049097763835727E-3</v>
      </c>
      <c r="CS414"/>
      <c r="CT414"/>
      <c r="CU414"/>
      <c r="CV414"/>
    </row>
    <row r="415" spans="1:100" x14ac:dyDescent="0.25">
      <c r="A415" s="167" t="s">
        <v>304</v>
      </c>
      <c r="B415" s="138">
        <v>389</v>
      </c>
      <c r="C415" s="138">
        <v>7591</v>
      </c>
      <c r="D415" s="172">
        <f t="shared" si="82"/>
        <v>5.1244895270715324E-2</v>
      </c>
      <c r="E415" s="172">
        <f t="shared" si="83"/>
        <v>2.2390422194721845E-3</v>
      </c>
      <c r="CS415"/>
      <c r="CT415"/>
      <c r="CU415"/>
      <c r="CV415"/>
    </row>
    <row r="416" spans="1:100" x14ac:dyDescent="0.25">
      <c r="A416" s="167" t="s">
        <v>156</v>
      </c>
      <c r="B416" s="138">
        <v>7102</v>
      </c>
      <c r="C416" s="138">
        <v>39233</v>
      </c>
      <c r="D416" s="172">
        <f t="shared" si="82"/>
        <v>0.18102107919353605</v>
      </c>
      <c r="E416" s="172">
        <f t="shared" si="83"/>
        <v>4.0878349210003738E-2</v>
      </c>
      <c r="CS416"/>
      <c r="CT416"/>
      <c r="CU416"/>
      <c r="CV416"/>
    </row>
    <row r="417" spans="1:100" x14ac:dyDescent="0.25">
      <c r="A417" s="167" t="s">
        <v>157</v>
      </c>
      <c r="B417" s="138">
        <v>91</v>
      </c>
      <c r="C417" s="138">
        <v>312</v>
      </c>
      <c r="D417" s="172">
        <f t="shared" si="82"/>
        <v>0.29166666666666669</v>
      </c>
      <c r="E417" s="172">
        <f t="shared" si="83"/>
        <v>5.2378622614902002E-4</v>
      </c>
      <c r="CS417"/>
      <c r="CT417"/>
      <c r="CU417"/>
      <c r="CV417"/>
    </row>
    <row r="418" spans="1:100" x14ac:dyDescent="0.25">
      <c r="A418" s="80" t="s">
        <v>3</v>
      </c>
      <c r="B418" s="137">
        <v>55124</v>
      </c>
      <c r="C418" s="137">
        <v>444054</v>
      </c>
      <c r="D418" s="173">
        <f t="shared" si="82"/>
        <v>0.12413805528156485</v>
      </c>
      <c r="E418" s="173">
        <f t="shared" si="83"/>
        <v>0.31728782340921519</v>
      </c>
      <c r="CS418"/>
      <c r="CT418"/>
      <c r="CU418"/>
      <c r="CV418"/>
    </row>
    <row r="419" spans="1:100" x14ac:dyDescent="0.25">
      <c r="A419" s="167" t="s">
        <v>158</v>
      </c>
      <c r="B419" s="138">
        <v>322</v>
      </c>
      <c r="C419" s="138">
        <v>825</v>
      </c>
      <c r="D419" s="172">
        <f t="shared" si="82"/>
        <v>0.39030303030303032</v>
      </c>
      <c r="E419" s="172">
        <f t="shared" si="83"/>
        <v>1.8533974156042248E-3</v>
      </c>
      <c r="N419" s="169"/>
      <c r="O419" s="169"/>
      <c r="P419" s="169"/>
      <c r="Q419" s="169"/>
      <c r="CS419"/>
      <c r="CT419"/>
      <c r="CU419"/>
      <c r="CV419"/>
    </row>
    <row r="420" spans="1:100" x14ac:dyDescent="0.25">
      <c r="A420" s="167" t="s">
        <v>62</v>
      </c>
      <c r="B420" s="138">
        <v>9797</v>
      </c>
      <c r="C420" s="138">
        <v>81655</v>
      </c>
      <c r="D420" s="172">
        <f t="shared" si="82"/>
        <v>0.11998040536403159</v>
      </c>
      <c r="E420" s="172">
        <f t="shared" si="83"/>
        <v>5.6390479753647797E-2</v>
      </c>
      <c r="N420" s="169"/>
      <c r="O420" s="169"/>
      <c r="P420" s="169"/>
      <c r="Q420" s="169"/>
      <c r="CS420"/>
      <c r="CT420"/>
      <c r="CU420"/>
      <c r="CV420"/>
    </row>
    <row r="421" spans="1:100" x14ac:dyDescent="0.25">
      <c r="A421" s="167" t="s">
        <v>473</v>
      </c>
      <c r="B421" s="138">
        <v>173</v>
      </c>
      <c r="C421" s="138">
        <v>1963</v>
      </c>
      <c r="D421" s="172">
        <f t="shared" si="82"/>
        <v>8.8130412633723898E-2</v>
      </c>
      <c r="E421" s="172">
        <f t="shared" si="83"/>
        <v>9.9576941894264259E-4</v>
      </c>
      <c r="N421" s="169"/>
      <c r="O421" s="169"/>
      <c r="P421" s="169"/>
      <c r="Q421" s="169"/>
      <c r="CS421"/>
      <c r="CT421"/>
      <c r="CU421"/>
      <c r="CV421"/>
    </row>
    <row r="422" spans="1:100" x14ac:dyDescent="0.25">
      <c r="A422" s="167" t="s">
        <v>305</v>
      </c>
      <c r="B422" s="138">
        <v>15</v>
      </c>
      <c r="C422" s="138">
        <v>329</v>
      </c>
      <c r="D422" s="172">
        <f t="shared" si="82"/>
        <v>4.5592705167173252E-2</v>
      </c>
      <c r="E422" s="172">
        <f t="shared" si="83"/>
        <v>8.6338388925662644E-5</v>
      </c>
      <c r="N422" s="169"/>
      <c r="O422" s="169"/>
      <c r="P422" s="169"/>
      <c r="Q422" s="169"/>
      <c r="CS422"/>
      <c r="CT422"/>
      <c r="CU422"/>
      <c r="CV422"/>
    </row>
    <row r="423" spans="1:100" x14ac:dyDescent="0.25">
      <c r="A423" s="167" t="s">
        <v>377</v>
      </c>
      <c r="B423" s="138">
        <v>4</v>
      </c>
      <c r="C423" s="138">
        <v>38</v>
      </c>
      <c r="D423" s="172">
        <f t="shared" si="82"/>
        <v>0.10526315789473684</v>
      </c>
      <c r="E423" s="172">
        <f t="shared" si="83"/>
        <v>2.3023570380176707E-5</v>
      </c>
      <c r="N423" s="169"/>
      <c r="O423" s="169"/>
      <c r="P423" s="169"/>
      <c r="Q423" s="169"/>
      <c r="CS423"/>
      <c r="CT423"/>
      <c r="CU423"/>
      <c r="CV423"/>
    </row>
    <row r="424" spans="1:100" x14ac:dyDescent="0.25">
      <c r="A424" s="167" t="s">
        <v>159</v>
      </c>
      <c r="B424" s="138">
        <v>3379</v>
      </c>
      <c r="C424" s="138">
        <v>21477</v>
      </c>
      <c r="D424" s="172">
        <f t="shared" si="82"/>
        <v>0.15733109838431811</v>
      </c>
      <c r="E424" s="172">
        <f t="shared" si="83"/>
        <v>1.9449161078654274E-2</v>
      </c>
      <c r="N424" s="169"/>
      <c r="O424" s="169"/>
      <c r="P424" s="169"/>
      <c r="Q424" s="169"/>
      <c r="CS424"/>
      <c r="CT424"/>
      <c r="CU424"/>
      <c r="CV424"/>
    </row>
    <row r="425" spans="1:100" x14ac:dyDescent="0.25">
      <c r="A425" s="167" t="s">
        <v>160</v>
      </c>
      <c r="B425" s="138">
        <v>252</v>
      </c>
      <c r="C425" s="138">
        <v>1565</v>
      </c>
      <c r="D425" s="172">
        <f t="shared" si="82"/>
        <v>0.16102236421725238</v>
      </c>
      <c r="E425" s="172">
        <f t="shared" si="83"/>
        <v>1.4504849339511325E-3</v>
      </c>
      <c r="N425" s="169"/>
      <c r="O425" s="169"/>
      <c r="P425" s="169"/>
      <c r="Q425" s="169"/>
      <c r="CS425"/>
      <c r="CT425"/>
      <c r="CU425"/>
      <c r="CV425"/>
    </row>
    <row r="426" spans="1:100" x14ac:dyDescent="0.25">
      <c r="A426" s="167" t="s">
        <v>161</v>
      </c>
      <c r="B426" s="138">
        <v>144</v>
      </c>
      <c r="C426" s="138">
        <v>2039</v>
      </c>
      <c r="D426" s="172">
        <f t="shared" si="82"/>
        <v>7.0622854340362917E-2</v>
      </c>
      <c r="E426" s="172">
        <f t="shared" si="83"/>
        <v>8.2884853368636146E-4</v>
      </c>
      <c r="N426" s="169"/>
      <c r="O426" s="169"/>
      <c r="P426" s="169"/>
      <c r="Q426" s="169"/>
      <c r="CS426"/>
      <c r="CT426"/>
      <c r="CU426"/>
      <c r="CV426"/>
    </row>
    <row r="427" spans="1:100" x14ac:dyDescent="0.25">
      <c r="A427" s="167" t="s">
        <v>162</v>
      </c>
      <c r="B427" s="138">
        <v>639</v>
      </c>
      <c r="C427" s="138">
        <v>8776</v>
      </c>
      <c r="D427" s="172">
        <f t="shared" si="82"/>
        <v>7.281221513217867E-2</v>
      </c>
      <c r="E427" s="172">
        <f t="shared" si="83"/>
        <v>3.6780153682332288E-3</v>
      </c>
      <c r="N427" s="169"/>
      <c r="O427" s="169"/>
      <c r="P427" s="169"/>
      <c r="Q427" s="169"/>
      <c r="CS427"/>
      <c r="CT427"/>
      <c r="CU427"/>
      <c r="CV427"/>
    </row>
    <row r="428" spans="1:100" x14ac:dyDescent="0.25">
      <c r="A428" s="167" t="s">
        <v>63</v>
      </c>
      <c r="B428" s="138">
        <v>10930</v>
      </c>
      <c r="C428" s="138">
        <v>108955</v>
      </c>
      <c r="D428" s="172">
        <f t="shared" si="82"/>
        <v>0.1003166444862558</v>
      </c>
      <c r="E428" s="172">
        <f t="shared" si="83"/>
        <v>6.2911906063832845E-2</v>
      </c>
      <c r="N428" s="169"/>
      <c r="O428" s="169"/>
      <c r="P428" s="169"/>
      <c r="Q428" s="169"/>
      <c r="CS428"/>
      <c r="CT428"/>
      <c r="CU428"/>
      <c r="CV428"/>
    </row>
    <row r="429" spans="1:100" x14ac:dyDescent="0.25">
      <c r="A429" s="167" t="s">
        <v>474</v>
      </c>
      <c r="B429" s="138">
        <v>54</v>
      </c>
      <c r="C429" s="138">
        <v>801</v>
      </c>
      <c r="D429" s="172">
        <f t="shared" si="82"/>
        <v>6.741573033707865E-2</v>
      </c>
      <c r="E429" s="172">
        <f t="shared" si="83"/>
        <v>3.1081820013238552E-4</v>
      </c>
      <c r="N429" s="169"/>
      <c r="O429" s="169"/>
      <c r="P429" s="169"/>
      <c r="Q429" s="169"/>
      <c r="CS429"/>
      <c r="CT429"/>
      <c r="CU429"/>
      <c r="CV429"/>
    </row>
    <row r="430" spans="1:100" x14ac:dyDescent="0.25">
      <c r="A430" s="167" t="s">
        <v>378</v>
      </c>
      <c r="B430" s="138">
        <v>547</v>
      </c>
      <c r="C430" s="138">
        <v>7102</v>
      </c>
      <c r="D430" s="172">
        <f t="shared" si="82"/>
        <v>7.702055758941144E-2</v>
      </c>
      <c r="E430" s="172">
        <f t="shared" si="83"/>
        <v>3.1484732494891647E-3</v>
      </c>
      <c r="N430" s="169"/>
      <c r="O430" s="169"/>
      <c r="P430" s="169"/>
      <c r="Q430" s="169"/>
      <c r="CS430"/>
      <c r="CT430"/>
      <c r="CU430"/>
      <c r="CV430"/>
    </row>
    <row r="431" spans="1:100" x14ac:dyDescent="0.25">
      <c r="A431" s="167" t="s">
        <v>163</v>
      </c>
      <c r="B431" s="138">
        <v>191</v>
      </c>
      <c r="C431" s="138">
        <v>1895</v>
      </c>
      <c r="D431" s="172">
        <f t="shared" si="82"/>
        <v>0.10079155672823219</v>
      </c>
      <c r="E431" s="172">
        <f t="shared" si="83"/>
        <v>1.0993754856534377E-3</v>
      </c>
      <c r="N431" s="169"/>
      <c r="O431" s="169"/>
      <c r="P431" s="169"/>
      <c r="Q431" s="169"/>
      <c r="CS431"/>
      <c r="CT431"/>
      <c r="CU431"/>
      <c r="CV431"/>
    </row>
    <row r="432" spans="1:100" x14ac:dyDescent="0.25">
      <c r="A432" s="167" t="s">
        <v>306</v>
      </c>
      <c r="B432" s="138">
        <v>16</v>
      </c>
      <c r="C432" s="138">
        <v>143</v>
      </c>
      <c r="D432" s="172">
        <f t="shared" si="82"/>
        <v>0.11188811188811189</v>
      </c>
      <c r="E432" s="172">
        <f t="shared" si="83"/>
        <v>9.2094281520706828E-5</v>
      </c>
      <c r="N432" s="169"/>
      <c r="O432" s="169"/>
      <c r="P432" s="169"/>
      <c r="Q432" s="169"/>
      <c r="CS432"/>
      <c r="CT432"/>
      <c r="CU432"/>
      <c r="CV432"/>
    </row>
    <row r="433" spans="1:100" x14ac:dyDescent="0.25">
      <c r="A433" s="167" t="s">
        <v>164</v>
      </c>
      <c r="B433" s="138">
        <v>50</v>
      </c>
      <c r="C433" s="138">
        <v>843</v>
      </c>
      <c r="D433" s="172">
        <f t="shared" si="82"/>
        <v>5.9311981020166077E-2</v>
      </c>
      <c r="E433" s="172">
        <f t="shared" si="83"/>
        <v>2.8779462975220884E-4</v>
      </c>
      <c r="N433" s="169"/>
      <c r="O433" s="169"/>
      <c r="P433" s="169"/>
      <c r="Q433" s="169"/>
      <c r="CS433"/>
      <c r="CT433"/>
      <c r="CU433"/>
      <c r="CV433"/>
    </row>
    <row r="434" spans="1:100" x14ac:dyDescent="0.25">
      <c r="A434" s="167" t="s">
        <v>475</v>
      </c>
      <c r="B434" s="138">
        <v>4069</v>
      </c>
      <c r="C434" s="138">
        <v>32951</v>
      </c>
      <c r="D434" s="172">
        <f t="shared" si="82"/>
        <v>0.12348638888045886</v>
      </c>
      <c r="E434" s="172">
        <f t="shared" si="83"/>
        <v>2.3420726969234754E-2</v>
      </c>
      <c r="N434" s="169"/>
      <c r="O434" s="169"/>
      <c r="P434" s="169"/>
      <c r="Q434" s="169"/>
      <c r="CS434"/>
      <c r="CT434"/>
      <c r="CU434"/>
      <c r="CV434"/>
    </row>
    <row r="435" spans="1:100" x14ac:dyDescent="0.25">
      <c r="A435" s="167" t="s">
        <v>64</v>
      </c>
      <c r="B435" s="138">
        <v>10442</v>
      </c>
      <c r="C435" s="138">
        <v>61410</v>
      </c>
      <c r="D435" s="172">
        <f t="shared" si="82"/>
        <v>0.17003745318352059</v>
      </c>
      <c r="E435" s="172">
        <f t="shared" si="83"/>
        <v>6.0103030477451289E-2</v>
      </c>
      <c r="N435" s="169"/>
      <c r="O435" s="169"/>
      <c r="P435" s="169"/>
      <c r="Q435" s="169"/>
      <c r="CS435"/>
      <c r="CT435"/>
      <c r="CU435"/>
      <c r="CV435"/>
    </row>
    <row r="436" spans="1:100" x14ac:dyDescent="0.25">
      <c r="A436" s="167" t="s">
        <v>165</v>
      </c>
      <c r="B436" s="138">
        <v>49</v>
      </c>
      <c r="C436" s="138">
        <v>502</v>
      </c>
      <c r="D436" s="172">
        <f t="shared" si="82"/>
        <v>9.7609561752988044E-2</v>
      </c>
      <c r="E436" s="172">
        <f t="shared" si="83"/>
        <v>2.8203873715716465E-4</v>
      </c>
      <c r="N436" s="169"/>
      <c r="O436" s="169"/>
      <c r="P436" s="169"/>
      <c r="Q436" s="169"/>
      <c r="CS436"/>
      <c r="CT436"/>
      <c r="CU436"/>
      <c r="CV436"/>
    </row>
    <row r="437" spans="1:100" x14ac:dyDescent="0.25">
      <c r="A437" s="167" t="s">
        <v>166</v>
      </c>
      <c r="B437" s="138">
        <v>22</v>
      </c>
      <c r="C437" s="138">
        <v>604</v>
      </c>
      <c r="D437" s="172">
        <f t="shared" si="82"/>
        <v>3.6423841059602648E-2</v>
      </c>
      <c r="E437" s="172">
        <f t="shared" si="83"/>
        <v>1.2662963709097189E-4</v>
      </c>
      <c r="N437" s="169"/>
      <c r="O437" s="169"/>
      <c r="P437" s="169"/>
      <c r="Q437" s="169"/>
      <c r="CS437"/>
      <c r="CT437"/>
      <c r="CU437"/>
      <c r="CV437"/>
    </row>
    <row r="438" spans="1:100" x14ac:dyDescent="0.25">
      <c r="A438" s="167" t="s">
        <v>167</v>
      </c>
      <c r="B438" s="138">
        <v>69</v>
      </c>
      <c r="C438" s="138">
        <v>822</v>
      </c>
      <c r="D438" s="172">
        <f t="shared" si="82"/>
        <v>8.3941605839416053E-2</v>
      </c>
      <c r="E438" s="172">
        <f t="shared" si="83"/>
        <v>3.9715658905804818E-4</v>
      </c>
      <c r="N438" s="169"/>
      <c r="O438" s="169"/>
      <c r="P438" s="169"/>
      <c r="Q438" s="169"/>
      <c r="CS438"/>
      <c r="CT438"/>
      <c r="CU438"/>
      <c r="CV438"/>
    </row>
    <row r="439" spans="1:100" x14ac:dyDescent="0.25">
      <c r="A439" s="167" t="s">
        <v>168</v>
      </c>
      <c r="B439" s="138">
        <v>955</v>
      </c>
      <c r="C439" s="138">
        <v>6035</v>
      </c>
      <c r="D439" s="172">
        <f t="shared" si="82"/>
        <v>0.15824357912178957</v>
      </c>
      <c r="E439" s="172">
        <f t="shared" si="83"/>
        <v>5.4968774282671889E-3</v>
      </c>
      <c r="N439" s="169"/>
      <c r="O439" s="169"/>
      <c r="P439" s="169"/>
      <c r="Q439" s="169"/>
      <c r="CS439"/>
      <c r="CT439"/>
      <c r="CU439"/>
      <c r="CV439"/>
    </row>
    <row r="440" spans="1:100" x14ac:dyDescent="0.25">
      <c r="A440" s="167" t="s">
        <v>307</v>
      </c>
      <c r="B440" s="138">
        <v>5897</v>
      </c>
      <c r="C440" s="138">
        <v>52137</v>
      </c>
      <c r="D440" s="172">
        <f t="shared" ref="D440:D503" si="84">B440/C440</f>
        <v>0.11310585572625967</v>
      </c>
      <c r="E440" s="172">
        <f t="shared" si="83"/>
        <v>3.3942498632975507E-2</v>
      </c>
      <c r="N440" s="169"/>
      <c r="O440" s="169"/>
      <c r="P440" s="169"/>
      <c r="Q440" s="169"/>
      <c r="CS440"/>
      <c r="CT440"/>
      <c r="CU440"/>
      <c r="CV440"/>
    </row>
    <row r="441" spans="1:100" x14ac:dyDescent="0.25">
      <c r="A441" s="167" t="s">
        <v>169</v>
      </c>
      <c r="B441" s="138">
        <v>3</v>
      </c>
      <c r="C441" s="138">
        <v>88</v>
      </c>
      <c r="D441" s="172">
        <f t="shared" si="84"/>
        <v>3.4090909090909088E-2</v>
      </c>
      <c r="E441" s="172">
        <f t="shared" si="83"/>
        <v>1.7267677785132529E-5</v>
      </c>
      <c r="N441" s="169"/>
      <c r="O441" s="169"/>
      <c r="P441" s="169"/>
      <c r="Q441" s="169"/>
      <c r="CS441"/>
      <c r="CT441"/>
      <c r="CU441"/>
      <c r="CV441"/>
    </row>
    <row r="442" spans="1:100" x14ac:dyDescent="0.25">
      <c r="A442" s="167" t="s">
        <v>170</v>
      </c>
      <c r="B442" s="138">
        <v>205</v>
      </c>
      <c r="C442" s="138">
        <v>3116</v>
      </c>
      <c r="D442" s="172">
        <f t="shared" si="84"/>
        <v>6.5789473684210523E-2</v>
      </c>
      <c r="E442" s="172">
        <f t="shared" si="83"/>
        <v>1.1799579819840563E-3</v>
      </c>
      <c r="N442" s="169"/>
      <c r="O442" s="169"/>
      <c r="P442" s="169"/>
      <c r="Q442" s="169"/>
      <c r="CS442"/>
      <c r="CT442"/>
      <c r="CU442"/>
      <c r="CV442"/>
    </row>
    <row r="443" spans="1:100" x14ac:dyDescent="0.25">
      <c r="A443" s="167" t="s">
        <v>171</v>
      </c>
      <c r="B443" s="138">
        <v>24</v>
      </c>
      <c r="C443" s="138">
        <v>390</v>
      </c>
      <c r="D443" s="172">
        <f t="shared" si="84"/>
        <v>6.1538461538461542E-2</v>
      </c>
      <c r="E443" s="172">
        <f t="shared" ref="E443:E503" si="85">B443/B$503</f>
        <v>1.3814142228106024E-4</v>
      </c>
      <c r="N443" s="169"/>
      <c r="O443" s="169"/>
      <c r="P443" s="169"/>
      <c r="Q443" s="169"/>
      <c r="CS443"/>
      <c r="CT443"/>
      <c r="CU443"/>
      <c r="CV443"/>
    </row>
    <row r="444" spans="1:100" x14ac:dyDescent="0.25">
      <c r="A444" s="167" t="s">
        <v>172</v>
      </c>
      <c r="B444" s="138">
        <v>1375</v>
      </c>
      <c r="C444" s="138">
        <v>14341</v>
      </c>
      <c r="D444" s="172">
        <f t="shared" si="84"/>
        <v>9.5878948469423325E-2</v>
      </c>
      <c r="E444" s="172">
        <f t="shared" si="85"/>
        <v>7.9143523181857429E-3</v>
      </c>
      <c r="N444" s="169"/>
      <c r="O444" s="169"/>
      <c r="P444" s="169"/>
      <c r="Q444" s="169"/>
      <c r="CS444"/>
      <c r="CT444"/>
      <c r="CU444"/>
      <c r="CV444"/>
    </row>
    <row r="445" spans="1:100" x14ac:dyDescent="0.25">
      <c r="A445" s="167" t="s">
        <v>476</v>
      </c>
      <c r="B445" s="138">
        <v>206</v>
      </c>
      <c r="C445" s="138">
        <v>2522</v>
      </c>
      <c r="D445" s="172">
        <f t="shared" si="84"/>
        <v>8.16812053925456E-2</v>
      </c>
      <c r="E445" s="172">
        <f t="shared" si="85"/>
        <v>1.1857138745791005E-3</v>
      </c>
      <c r="N445" s="169"/>
      <c r="O445" s="169"/>
      <c r="P445" s="169"/>
      <c r="Q445" s="169"/>
      <c r="CS445"/>
      <c r="CT445"/>
      <c r="CU445"/>
      <c r="CV445"/>
    </row>
    <row r="446" spans="1:100" x14ac:dyDescent="0.25">
      <c r="A446" s="167" t="s">
        <v>173</v>
      </c>
      <c r="B446" s="138">
        <v>5295</v>
      </c>
      <c r="C446" s="138">
        <v>30730</v>
      </c>
      <c r="D446" s="172">
        <f t="shared" si="84"/>
        <v>0.17230719166937847</v>
      </c>
      <c r="E446" s="172">
        <f t="shared" si="85"/>
        <v>3.0477451290758916E-2</v>
      </c>
      <c r="N446" s="169"/>
      <c r="O446" s="169"/>
      <c r="P446" s="169"/>
      <c r="Q446" s="169"/>
      <c r="CS446"/>
      <c r="CT446"/>
      <c r="CU446"/>
      <c r="CV446"/>
    </row>
    <row r="447" spans="1:100" x14ac:dyDescent="0.25">
      <c r="A447" s="80" t="s">
        <v>4</v>
      </c>
      <c r="B447" s="137">
        <v>94328</v>
      </c>
      <c r="C447" s="137">
        <v>859040</v>
      </c>
      <c r="D447" s="173">
        <f t="shared" si="84"/>
        <v>0.10980629539951574</v>
      </c>
      <c r="E447" s="173">
        <f t="shared" si="85"/>
        <v>0.54294183670532703</v>
      </c>
      <c r="N447" s="169"/>
      <c r="O447" s="169"/>
      <c r="P447" s="169"/>
      <c r="Q447" s="169"/>
      <c r="CS447"/>
      <c r="CT447"/>
      <c r="CU447"/>
      <c r="CV447"/>
    </row>
    <row r="448" spans="1:100" x14ac:dyDescent="0.25">
      <c r="A448" s="167" t="s">
        <v>174</v>
      </c>
      <c r="B448" s="138">
        <v>2628</v>
      </c>
      <c r="C448" s="138">
        <v>55730</v>
      </c>
      <c r="D448" s="172">
        <f t="shared" si="84"/>
        <v>4.7155930378611162E-2</v>
      </c>
      <c r="E448" s="172">
        <f t="shared" si="85"/>
        <v>1.5126485739776097E-2</v>
      </c>
      <c r="N448" s="169"/>
      <c r="O448" s="169"/>
      <c r="P448" s="169"/>
      <c r="Q448" s="169"/>
      <c r="CS448"/>
      <c r="CT448"/>
      <c r="CU448"/>
      <c r="CV448"/>
    </row>
    <row r="449" spans="1:100" x14ac:dyDescent="0.25">
      <c r="A449" s="167" t="s">
        <v>175</v>
      </c>
      <c r="B449" s="138">
        <v>1340</v>
      </c>
      <c r="C449" s="138">
        <v>20167</v>
      </c>
      <c r="D449" s="172">
        <f t="shared" si="84"/>
        <v>6.6445182724252497E-2</v>
      </c>
      <c r="E449" s="172">
        <f t="shared" si="85"/>
        <v>7.7128960773591966E-3</v>
      </c>
      <c r="N449" s="169"/>
      <c r="O449" s="169"/>
      <c r="P449" s="169"/>
      <c r="Q449" s="169"/>
      <c r="CS449"/>
      <c r="CT449"/>
      <c r="CU449"/>
      <c r="CV449"/>
    </row>
    <row r="450" spans="1:100" x14ac:dyDescent="0.25">
      <c r="A450" s="167" t="s">
        <v>176</v>
      </c>
      <c r="B450" s="138">
        <v>425</v>
      </c>
      <c r="C450" s="138">
        <v>4207</v>
      </c>
      <c r="D450" s="172">
        <f t="shared" si="84"/>
        <v>0.10102210601378654</v>
      </c>
      <c r="E450" s="172">
        <f t="shared" si="85"/>
        <v>2.4462543528937751E-3</v>
      </c>
      <c r="N450" s="169"/>
      <c r="O450" s="169"/>
      <c r="P450" s="169"/>
      <c r="Q450" s="169"/>
      <c r="CS450"/>
      <c r="CT450"/>
      <c r="CU450"/>
      <c r="CV450"/>
    </row>
    <row r="451" spans="1:100" x14ac:dyDescent="0.25">
      <c r="A451" s="167" t="s">
        <v>177</v>
      </c>
      <c r="B451" s="138">
        <v>274</v>
      </c>
      <c r="C451" s="138">
        <v>14038</v>
      </c>
      <c r="D451" s="172">
        <f t="shared" si="84"/>
        <v>1.951844992164126E-2</v>
      </c>
      <c r="E451" s="172">
        <f t="shared" si="85"/>
        <v>1.5771145710421043E-3</v>
      </c>
      <c r="N451" s="169"/>
      <c r="O451" s="169"/>
      <c r="P451" s="169"/>
      <c r="Q451" s="169"/>
      <c r="CS451"/>
      <c r="CT451"/>
      <c r="CU451"/>
      <c r="CV451"/>
    </row>
    <row r="452" spans="1:100" x14ac:dyDescent="0.25">
      <c r="A452" s="167" t="s">
        <v>178</v>
      </c>
      <c r="B452" s="138">
        <v>221</v>
      </c>
      <c r="C452" s="138">
        <v>2823</v>
      </c>
      <c r="D452" s="172">
        <f t="shared" si="84"/>
        <v>7.8285511866808363E-2</v>
      </c>
      <c r="E452" s="172">
        <f t="shared" si="85"/>
        <v>1.272052263504763E-3</v>
      </c>
      <c r="N452" s="169"/>
      <c r="O452" s="169"/>
      <c r="P452" s="169"/>
      <c r="Q452" s="169"/>
      <c r="CS452"/>
      <c r="CT452"/>
      <c r="CU452"/>
      <c r="CV452"/>
    </row>
    <row r="453" spans="1:100" x14ac:dyDescent="0.25">
      <c r="A453" s="167" t="s">
        <v>179</v>
      </c>
      <c r="B453" s="138">
        <v>773</v>
      </c>
      <c r="C453" s="138">
        <v>8960</v>
      </c>
      <c r="D453" s="172">
        <f t="shared" si="84"/>
        <v>8.6272321428571427E-2</v>
      </c>
      <c r="E453" s="172">
        <f t="shared" si="85"/>
        <v>4.4493049759691487E-3</v>
      </c>
      <c r="N453" s="169"/>
      <c r="O453" s="169"/>
      <c r="P453" s="169"/>
      <c r="Q453" s="169"/>
      <c r="CS453"/>
      <c r="CT453"/>
      <c r="CU453"/>
      <c r="CV453"/>
    </row>
    <row r="454" spans="1:100" x14ac:dyDescent="0.25">
      <c r="A454" s="167" t="s">
        <v>180</v>
      </c>
      <c r="B454" s="138">
        <v>4789</v>
      </c>
      <c r="C454" s="138">
        <v>72385</v>
      </c>
      <c r="D454" s="172">
        <f t="shared" si="84"/>
        <v>6.6160116046142151E-2</v>
      </c>
      <c r="E454" s="172">
        <f t="shared" si="85"/>
        <v>2.756496963766656E-2</v>
      </c>
      <c r="N454" s="169"/>
      <c r="O454" s="169"/>
      <c r="P454" s="169"/>
      <c r="Q454" s="169"/>
      <c r="CS454"/>
      <c r="CT454"/>
      <c r="CU454"/>
      <c r="CV454"/>
    </row>
    <row r="455" spans="1:100" x14ac:dyDescent="0.25">
      <c r="A455" s="167" t="s">
        <v>181</v>
      </c>
      <c r="B455" s="138">
        <v>2974</v>
      </c>
      <c r="C455" s="138">
        <v>9819</v>
      </c>
      <c r="D455" s="172">
        <f t="shared" si="84"/>
        <v>0.30288216722680517</v>
      </c>
      <c r="E455" s="172">
        <f t="shared" si="85"/>
        <v>1.711802457766138E-2</v>
      </c>
      <c r="N455" s="169"/>
      <c r="O455" s="169"/>
      <c r="P455" s="169"/>
      <c r="Q455" s="169"/>
      <c r="CS455"/>
      <c r="CT455"/>
      <c r="CU455"/>
      <c r="CV455"/>
    </row>
    <row r="456" spans="1:100" x14ac:dyDescent="0.25">
      <c r="A456" s="167" t="s">
        <v>182</v>
      </c>
      <c r="B456" s="138">
        <v>4798</v>
      </c>
      <c r="C456" s="138">
        <v>18125</v>
      </c>
      <c r="D456" s="172">
        <f t="shared" si="84"/>
        <v>0.26471724137931035</v>
      </c>
      <c r="E456" s="172">
        <f t="shared" si="85"/>
        <v>2.7616772671021958E-2</v>
      </c>
      <c r="N456" s="169"/>
      <c r="O456" s="169"/>
      <c r="P456" s="169"/>
      <c r="Q456" s="169"/>
      <c r="CS456"/>
      <c r="CT456"/>
      <c r="CU456"/>
      <c r="CV456"/>
    </row>
    <row r="457" spans="1:100" x14ac:dyDescent="0.25">
      <c r="A457" s="167" t="s">
        <v>183</v>
      </c>
      <c r="B457" s="138">
        <v>5501</v>
      </c>
      <c r="C457" s="138">
        <v>41899</v>
      </c>
      <c r="D457" s="172">
        <f t="shared" si="84"/>
        <v>0.13129191627485143</v>
      </c>
      <c r="E457" s="172">
        <f t="shared" si="85"/>
        <v>3.1663165165338014E-2</v>
      </c>
      <c r="N457" s="169"/>
      <c r="O457" s="169"/>
      <c r="P457" s="169"/>
      <c r="Q457" s="169"/>
      <c r="CS457"/>
      <c r="CT457"/>
      <c r="CU457"/>
      <c r="CV457"/>
    </row>
    <row r="458" spans="1:100" x14ac:dyDescent="0.25">
      <c r="A458" s="167" t="s">
        <v>228</v>
      </c>
      <c r="B458" s="138">
        <v>889</v>
      </c>
      <c r="C458" s="138">
        <v>8858</v>
      </c>
      <c r="D458" s="172">
        <f t="shared" si="84"/>
        <v>0.10036125536238429</v>
      </c>
      <c r="E458" s="172">
        <f t="shared" si="85"/>
        <v>5.1169885169942732E-3</v>
      </c>
      <c r="N458" s="169"/>
      <c r="O458" s="169"/>
      <c r="P458" s="169"/>
      <c r="Q458" s="169"/>
      <c r="CS458"/>
      <c r="CT458"/>
      <c r="CU458"/>
      <c r="CV458"/>
    </row>
    <row r="459" spans="1:100" x14ac:dyDescent="0.25">
      <c r="A459" s="167" t="s">
        <v>184</v>
      </c>
      <c r="B459" s="138">
        <v>23</v>
      </c>
      <c r="C459" s="138">
        <v>294</v>
      </c>
      <c r="D459" s="172">
        <f t="shared" si="84"/>
        <v>7.8231292517006806E-2</v>
      </c>
      <c r="E459" s="172">
        <f t="shared" si="85"/>
        <v>1.3238552968601605E-4</v>
      </c>
      <c r="N459" s="169"/>
      <c r="O459" s="169"/>
      <c r="P459" s="169"/>
      <c r="Q459" s="169"/>
      <c r="CS459"/>
      <c r="CT459"/>
      <c r="CU459"/>
      <c r="CV459"/>
    </row>
    <row r="460" spans="1:100" x14ac:dyDescent="0.25">
      <c r="A460" s="167" t="s">
        <v>308</v>
      </c>
      <c r="B460" s="138">
        <v>634</v>
      </c>
      <c r="C460" s="138">
        <v>5827</v>
      </c>
      <c r="D460" s="172">
        <f t="shared" si="84"/>
        <v>0.10880384417367428</v>
      </c>
      <c r="E460" s="172">
        <f t="shared" si="85"/>
        <v>3.6492359052580077E-3</v>
      </c>
      <c r="N460" s="169"/>
      <c r="O460" s="169"/>
      <c r="P460" s="169"/>
      <c r="Q460" s="169"/>
      <c r="CS460"/>
      <c r="CT460"/>
      <c r="CU460"/>
      <c r="CV460"/>
    </row>
    <row r="461" spans="1:100" x14ac:dyDescent="0.25">
      <c r="A461" s="167" t="s">
        <v>185</v>
      </c>
      <c r="B461" s="138">
        <v>1769</v>
      </c>
      <c r="C461" s="138">
        <v>16576</v>
      </c>
      <c r="D461" s="172">
        <f t="shared" si="84"/>
        <v>0.10672055984555985</v>
      </c>
      <c r="E461" s="172">
        <f t="shared" si="85"/>
        <v>1.0182174000633148E-2</v>
      </c>
      <c r="N461" s="169"/>
      <c r="O461" s="169"/>
      <c r="P461" s="169"/>
      <c r="Q461" s="169"/>
      <c r="CS461"/>
      <c r="CT461"/>
      <c r="CU461"/>
      <c r="CV461"/>
    </row>
    <row r="462" spans="1:100" x14ac:dyDescent="0.25">
      <c r="A462" s="167" t="s">
        <v>186</v>
      </c>
      <c r="B462" s="138">
        <v>4606</v>
      </c>
      <c r="C462" s="138">
        <v>11804</v>
      </c>
      <c r="D462" s="172">
        <f t="shared" si="84"/>
        <v>0.3902067095899695</v>
      </c>
      <c r="E462" s="172">
        <f t="shared" si="85"/>
        <v>2.6511641292773478E-2</v>
      </c>
      <c r="N462" s="169"/>
      <c r="O462" s="169"/>
      <c r="P462" s="169"/>
      <c r="Q462" s="169"/>
      <c r="CS462"/>
      <c r="CT462"/>
      <c r="CU462"/>
      <c r="CV462"/>
    </row>
    <row r="463" spans="1:100" x14ac:dyDescent="0.25">
      <c r="A463" s="167" t="s">
        <v>187</v>
      </c>
      <c r="B463" s="138">
        <v>672</v>
      </c>
      <c r="C463" s="138">
        <v>13968</v>
      </c>
      <c r="D463" s="172">
        <f t="shared" si="84"/>
        <v>4.8109965635738834E-2</v>
      </c>
      <c r="E463" s="172">
        <f t="shared" si="85"/>
        <v>3.8679598238696867E-3</v>
      </c>
      <c r="N463" s="169"/>
      <c r="O463" s="169"/>
      <c r="P463" s="169"/>
      <c r="Q463" s="169"/>
      <c r="CS463"/>
      <c r="CT463"/>
      <c r="CU463"/>
      <c r="CV463"/>
    </row>
    <row r="464" spans="1:100" x14ac:dyDescent="0.25">
      <c r="A464" s="167" t="s">
        <v>188</v>
      </c>
      <c r="B464" s="138">
        <v>1878</v>
      </c>
      <c r="C464" s="138">
        <v>12329</v>
      </c>
      <c r="D464" s="172">
        <f t="shared" si="84"/>
        <v>0.15232378943953281</v>
      </c>
      <c r="E464" s="172">
        <f t="shared" si="85"/>
        <v>1.0809566293492964E-2</v>
      </c>
      <c r="N464" s="169"/>
      <c r="O464" s="169"/>
      <c r="P464" s="169"/>
      <c r="Q464" s="169"/>
      <c r="CS464"/>
      <c r="CT464"/>
      <c r="CU464"/>
      <c r="CV464"/>
    </row>
    <row r="465" spans="1:100" x14ac:dyDescent="0.25">
      <c r="A465" s="167" t="s">
        <v>189</v>
      </c>
      <c r="B465" s="138">
        <v>1774</v>
      </c>
      <c r="C465" s="138">
        <v>17338</v>
      </c>
      <c r="D465" s="172">
        <f t="shared" si="84"/>
        <v>0.10231860652901142</v>
      </c>
      <c r="E465" s="172">
        <f t="shared" si="85"/>
        <v>1.0210953463608369E-2</v>
      </c>
      <c r="N465" s="169"/>
      <c r="O465" s="169"/>
      <c r="P465" s="169"/>
      <c r="Q465" s="169"/>
      <c r="CS465"/>
      <c r="CT465"/>
      <c r="CU465"/>
      <c r="CV465"/>
    </row>
    <row r="466" spans="1:100" x14ac:dyDescent="0.25">
      <c r="A466" s="167" t="s">
        <v>190</v>
      </c>
      <c r="B466" s="138">
        <v>494</v>
      </c>
      <c r="C466" s="138">
        <v>3842</v>
      </c>
      <c r="D466" s="172">
        <f t="shared" si="84"/>
        <v>0.12857886517438835</v>
      </c>
      <c r="E466" s="172">
        <f t="shared" si="85"/>
        <v>2.8434109419518232E-3</v>
      </c>
      <c r="N466" s="169"/>
      <c r="O466" s="169"/>
      <c r="P466" s="169"/>
      <c r="Q466" s="169"/>
      <c r="CS466"/>
      <c r="CT466"/>
      <c r="CU466"/>
      <c r="CV466"/>
    </row>
    <row r="467" spans="1:100" x14ac:dyDescent="0.25">
      <c r="A467" s="167" t="s">
        <v>191</v>
      </c>
      <c r="B467" s="138">
        <v>985</v>
      </c>
      <c r="C467" s="138">
        <v>7279</v>
      </c>
      <c r="D467" s="172">
        <f t="shared" si="84"/>
        <v>0.13532078582222834</v>
      </c>
      <c r="E467" s="172">
        <f t="shared" si="85"/>
        <v>5.669554206118514E-3</v>
      </c>
      <c r="N467" s="169"/>
      <c r="O467" s="169"/>
      <c r="P467" s="169"/>
      <c r="Q467" s="169"/>
      <c r="CS467"/>
      <c r="CT467"/>
      <c r="CU467"/>
      <c r="CV467"/>
    </row>
    <row r="468" spans="1:100" x14ac:dyDescent="0.25">
      <c r="A468" s="167" t="s">
        <v>192</v>
      </c>
      <c r="B468" s="138">
        <v>510</v>
      </c>
      <c r="C468" s="138">
        <v>6893</v>
      </c>
      <c r="D468" s="172">
        <f t="shared" si="84"/>
        <v>7.3988103873494845E-2</v>
      </c>
      <c r="E468" s="172">
        <f t="shared" si="85"/>
        <v>2.9355052234725301E-3</v>
      </c>
      <c r="N468" s="169"/>
      <c r="O468" s="169"/>
      <c r="P468" s="169"/>
      <c r="Q468" s="169"/>
      <c r="CS468"/>
      <c r="CT468"/>
      <c r="CU468"/>
      <c r="CV468"/>
    </row>
    <row r="469" spans="1:100" x14ac:dyDescent="0.25">
      <c r="A469" s="167" t="s">
        <v>193</v>
      </c>
      <c r="B469" s="138">
        <v>2711</v>
      </c>
      <c r="C469" s="138">
        <v>8144</v>
      </c>
      <c r="D469" s="172">
        <f t="shared" si="84"/>
        <v>0.33288310412573674</v>
      </c>
      <c r="E469" s="172">
        <f t="shared" si="85"/>
        <v>1.5604224825164763E-2</v>
      </c>
      <c r="N469" s="169"/>
      <c r="O469" s="169"/>
      <c r="P469" s="169"/>
      <c r="Q469" s="169"/>
      <c r="CS469"/>
      <c r="CT469"/>
      <c r="CU469"/>
      <c r="CV469"/>
    </row>
    <row r="470" spans="1:100" x14ac:dyDescent="0.25">
      <c r="A470" s="167" t="s">
        <v>226</v>
      </c>
      <c r="B470" s="138">
        <v>336</v>
      </c>
      <c r="C470" s="138">
        <v>793</v>
      </c>
      <c r="D470" s="172">
        <f t="shared" si="84"/>
        <v>0.42370744010088274</v>
      </c>
      <c r="E470" s="172">
        <f t="shared" si="85"/>
        <v>1.9339799119348433E-3</v>
      </c>
      <c r="N470" s="169"/>
      <c r="O470" s="169"/>
      <c r="P470" s="169"/>
      <c r="Q470" s="169"/>
      <c r="CS470"/>
      <c r="CT470"/>
      <c r="CU470"/>
      <c r="CV470"/>
    </row>
    <row r="471" spans="1:100" x14ac:dyDescent="0.25">
      <c r="A471" s="167" t="s">
        <v>194</v>
      </c>
      <c r="B471" s="138">
        <v>3891</v>
      </c>
      <c r="C471" s="138">
        <v>54202</v>
      </c>
      <c r="D471" s="172">
        <f t="shared" si="84"/>
        <v>7.1787018929190802E-2</v>
      </c>
      <c r="E471" s="172">
        <f t="shared" si="85"/>
        <v>2.2396178087316889E-2</v>
      </c>
      <c r="N471" s="169"/>
      <c r="O471" s="169"/>
      <c r="P471" s="169"/>
      <c r="Q471" s="169"/>
      <c r="CS471"/>
      <c r="CT471"/>
      <c r="CU471"/>
      <c r="CV471"/>
    </row>
    <row r="472" spans="1:100" x14ac:dyDescent="0.25">
      <c r="A472" s="167" t="s">
        <v>195</v>
      </c>
      <c r="B472" s="138">
        <v>2384</v>
      </c>
      <c r="C472" s="138">
        <v>28017</v>
      </c>
      <c r="D472" s="172">
        <f t="shared" si="84"/>
        <v>8.509119463183068E-2</v>
      </c>
      <c r="E472" s="172">
        <f t="shared" si="85"/>
        <v>1.3722047946585316E-2</v>
      </c>
      <c r="N472" s="169"/>
      <c r="O472" s="169"/>
      <c r="P472" s="169"/>
      <c r="Q472" s="169"/>
      <c r="CS472"/>
      <c r="CT472"/>
      <c r="CU472"/>
      <c r="CV472"/>
    </row>
    <row r="473" spans="1:100" x14ac:dyDescent="0.25">
      <c r="A473" s="167" t="s">
        <v>196</v>
      </c>
      <c r="B473" s="138">
        <v>3617</v>
      </c>
      <c r="C473" s="138">
        <v>12165</v>
      </c>
      <c r="D473" s="172">
        <f t="shared" si="84"/>
        <v>0.29732840115084258</v>
      </c>
      <c r="E473" s="172">
        <f t="shared" si="85"/>
        <v>2.0819063516274786E-2</v>
      </c>
      <c r="N473" s="169"/>
      <c r="O473" s="169"/>
      <c r="P473" s="169"/>
      <c r="Q473" s="169"/>
      <c r="CS473"/>
      <c r="CT473"/>
      <c r="CU473"/>
      <c r="CV473"/>
    </row>
    <row r="474" spans="1:100" x14ac:dyDescent="0.25">
      <c r="A474" s="167" t="s">
        <v>197</v>
      </c>
      <c r="B474" s="138">
        <v>1175</v>
      </c>
      <c r="C474" s="138">
        <v>7763</v>
      </c>
      <c r="D474" s="172">
        <f t="shared" si="84"/>
        <v>0.15135901069174287</v>
      </c>
      <c r="E474" s="172">
        <f t="shared" si="85"/>
        <v>6.7631737991769077E-3</v>
      </c>
      <c r="N474" s="169"/>
      <c r="O474" s="169"/>
      <c r="P474" s="169"/>
      <c r="Q474" s="169"/>
      <c r="CS474"/>
      <c r="CT474"/>
      <c r="CU474"/>
      <c r="CV474"/>
    </row>
    <row r="475" spans="1:100" x14ac:dyDescent="0.25">
      <c r="A475" s="167" t="s">
        <v>198</v>
      </c>
      <c r="B475" s="138">
        <v>3257</v>
      </c>
      <c r="C475" s="138">
        <v>34925</v>
      </c>
      <c r="D475" s="172">
        <f t="shared" si="84"/>
        <v>9.3256979241231205E-2</v>
      </c>
      <c r="E475" s="172">
        <f t="shared" si="85"/>
        <v>1.8746942182058884E-2</v>
      </c>
      <c r="N475" s="169"/>
      <c r="O475" s="169"/>
      <c r="P475" s="169"/>
      <c r="Q475" s="169"/>
      <c r="CS475"/>
      <c r="CT475"/>
      <c r="CU475"/>
      <c r="CV475"/>
    </row>
    <row r="476" spans="1:100" x14ac:dyDescent="0.25">
      <c r="A476" s="167" t="s">
        <v>199</v>
      </c>
      <c r="B476" s="138">
        <v>539</v>
      </c>
      <c r="C476" s="138">
        <v>20595</v>
      </c>
      <c r="D476" s="172">
        <f t="shared" si="84"/>
        <v>2.6171400825443069E-2</v>
      </c>
      <c r="E476" s="172">
        <f t="shared" si="85"/>
        <v>3.1024261087288113E-3</v>
      </c>
      <c r="N476" s="169"/>
      <c r="O476" s="169"/>
      <c r="P476" s="169"/>
      <c r="Q476" s="169"/>
      <c r="CS476"/>
      <c r="CT476"/>
      <c r="CU476"/>
      <c r="CV476"/>
    </row>
    <row r="477" spans="1:100" x14ac:dyDescent="0.25">
      <c r="A477" s="167" t="s">
        <v>200</v>
      </c>
      <c r="B477" s="138">
        <v>4799</v>
      </c>
      <c r="C477" s="138">
        <v>11390</v>
      </c>
      <c r="D477" s="172">
        <f t="shared" si="84"/>
        <v>0.42133450395083405</v>
      </c>
      <c r="E477" s="172">
        <f t="shared" si="85"/>
        <v>2.7622528563617004E-2</v>
      </c>
      <c r="N477" s="169"/>
      <c r="O477" s="169"/>
      <c r="P477" s="169"/>
      <c r="Q477" s="169"/>
      <c r="CS477"/>
      <c r="CT477"/>
      <c r="CU477"/>
      <c r="CV477"/>
    </row>
    <row r="478" spans="1:100" x14ac:dyDescent="0.25">
      <c r="A478" s="167" t="s">
        <v>201</v>
      </c>
      <c r="B478" s="138">
        <v>1431</v>
      </c>
      <c r="C478" s="138">
        <v>4500</v>
      </c>
      <c r="D478" s="172">
        <f t="shared" si="84"/>
        <v>0.318</v>
      </c>
      <c r="E478" s="172">
        <f t="shared" si="85"/>
        <v>8.2366823035082172E-3</v>
      </c>
      <c r="N478" s="169"/>
      <c r="O478" s="169"/>
      <c r="P478" s="169"/>
      <c r="Q478" s="169"/>
      <c r="CS478"/>
      <c r="CT478"/>
      <c r="CU478"/>
      <c r="CV478"/>
    </row>
    <row r="479" spans="1:100" x14ac:dyDescent="0.25">
      <c r="A479" s="167" t="s">
        <v>227</v>
      </c>
      <c r="B479" s="138">
        <v>512</v>
      </c>
      <c r="C479" s="138">
        <v>8953</v>
      </c>
      <c r="D479" s="172">
        <f t="shared" si="84"/>
        <v>5.7187534904501285E-2</v>
      </c>
      <c r="E479" s="172">
        <f t="shared" si="85"/>
        <v>2.9470170086626185E-3</v>
      </c>
      <c r="N479" s="169"/>
      <c r="O479" s="169"/>
      <c r="P479" s="169"/>
      <c r="Q479" s="169"/>
      <c r="CS479"/>
      <c r="CT479"/>
      <c r="CU479"/>
      <c r="CV479"/>
    </row>
    <row r="480" spans="1:100" x14ac:dyDescent="0.25">
      <c r="A480" s="167" t="s">
        <v>202</v>
      </c>
      <c r="B480" s="138">
        <v>450</v>
      </c>
      <c r="C480" s="138">
        <v>6798</v>
      </c>
      <c r="D480" s="172">
        <f t="shared" si="84"/>
        <v>6.6195939982347754E-2</v>
      </c>
      <c r="E480" s="172">
        <f t="shared" si="85"/>
        <v>2.5901516677698795E-3</v>
      </c>
      <c r="N480" s="169"/>
      <c r="O480" s="169"/>
      <c r="P480" s="169"/>
      <c r="Q480" s="169"/>
      <c r="CS480"/>
      <c r="CT480"/>
      <c r="CU480"/>
      <c r="CV480"/>
    </row>
    <row r="481" spans="1:100" x14ac:dyDescent="0.25">
      <c r="A481" s="167" t="s">
        <v>203</v>
      </c>
      <c r="B481" s="138">
        <v>2091</v>
      </c>
      <c r="C481" s="138">
        <v>25075</v>
      </c>
      <c r="D481" s="172">
        <f t="shared" si="84"/>
        <v>8.338983050847458E-2</v>
      </c>
      <c r="E481" s="172">
        <f t="shared" si="85"/>
        <v>1.2035571416237373E-2</v>
      </c>
      <c r="N481" s="169"/>
      <c r="O481" s="169"/>
      <c r="P481" s="169"/>
      <c r="Q481" s="169"/>
      <c r="CS481"/>
      <c r="CT481"/>
      <c r="CU481"/>
      <c r="CV481"/>
    </row>
    <row r="482" spans="1:100" x14ac:dyDescent="0.25">
      <c r="A482" s="167" t="s">
        <v>323</v>
      </c>
      <c r="B482" s="138">
        <v>4</v>
      </c>
      <c r="C482" s="138">
        <v>26</v>
      </c>
      <c r="D482" s="172">
        <f t="shared" si="84"/>
        <v>0.15384615384615385</v>
      </c>
      <c r="E482" s="172">
        <f t="shared" si="85"/>
        <v>2.3023570380176707E-5</v>
      </c>
      <c r="N482" s="169"/>
      <c r="O482" s="169"/>
      <c r="P482" s="169"/>
      <c r="Q482" s="169"/>
      <c r="CS482"/>
      <c r="CT482"/>
      <c r="CU482"/>
      <c r="CV482"/>
    </row>
    <row r="483" spans="1:100" x14ac:dyDescent="0.25">
      <c r="A483" s="167" t="s">
        <v>204</v>
      </c>
      <c r="B483" s="138">
        <v>589</v>
      </c>
      <c r="C483" s="138">
        <v>12654</v>
      </c>
      <c r="D483" s="172">
        <f t="shared" si="84"/>
        <v>4.6546546546546545E-2</v>
      </c>
      <c r="E483" s="172">
        <f t="shared" si="85"/>
        <v>3.39022073848102E-3</v>
      </c>
      <c r="N483" s="169"/>
      <c r="O483" s="169"/>
      <c r="P483" s="169"/>
      <c r="Q483" s="169"/>
      <c r="CS483"/>
      <c r="CT483"/>
      <c r="CU483"/>
      <c r="CV483"/>
    </row>
    <row r="484" spans="1:100" x14ac:dyDescent="0.25">
      <c r="A484" s="167" t="s">
        <v>205</v>
      </c>
      <c r="B484" s="138">
        <v>4371</v>
      </c>
      <c r="C484" s="138">
        <v>10848</v>
      </c>
      <c r="D484" s="172">
        <f t="shared" si="84"/>
        <v>0.40293141592920356</v>
      </c>
      <c r="E484" s="172">
        <f t="shared" si="85"/>
        <v>2.5159006532938094E-2</v>
      </c>
      <c r="N484" s="169"/>
      <c r="O484" s="169"/>
      <c r="P484" s="169"/>
      <c r="Q484" s="169"/>
      <c r="CS484"/>
      <c r="CT484"/>
      <c r="CU484"/>
      <c r="CV484"/>
    </row>
    <row r="485" spans="1:100" x14ac:dyDescent="0.25">
      <c r="A485" s="167" t="s">
        <v>206</v>
      </c>
      <c r="B485" s="138">
        <v>1070</v>
      </c>
      <c r="C485" s="138">
        <v>17066</v>
      </c>
      <c r="D485" s="172">
        <f t="shared" si="84"/>
        <v>6.2697761631313728E-2</v>
      </c>
      <c r="E485" s="172">
        <f t="shared" si="85"/>
        <v>6.158805076697269E-3</v>
      </c>
      <c r="N485" s="169"/>
      <c r="O485" s="169"/>
      <c r="P485" s="169"/>
      <c r="Q485" s="169"/>
      <c r="CS485"/>
      <c r="CT485"/>
      <c r="CU485"/>
      <c r="CV485"/>
    </row>
    <row r="486" spans="1:100" x14ac:dyDescent="0.25">
      <c r="A486" s="167" t="s">
        <v>207</v>
      </c>
      <c r="B486" s="138">
        <v>977</v>
      </c>
      <c r="C486" s="138">
        <v>10806</v>
      </c>
      <c r="D486" s="172">
        <f t="shared" si="84"/>
        <v>9.0412733666481587E-2</v>
      </c>
      <c r="E486" s="172">
        <f t="shared" si="85"/>
        <v>5.6235070653581605E-3</v>
      </c>
      <c r="N486" s="169"/>
      <c r="O486" s="169"/>
      <c r="P486" s="169"/>
      <c r="Q486" s="169"/>
      <c r="CS486"/>
      <c r="CT486"/>
      <c r="CU486"/>
      <c r="CV486"/>
    </row>
    <row r="487" spans="1:100" x14ac:dyDescent="0.25">
      <c r="A487" s="167" t="s">
        <v>354</v>
      </c>
      <c r="B487" s="138">
        <v>908</v>
      </c>
      <c r="C487" s="138">
        <v>9296</v>
      </c>
      <c r="D487" s="172">
        <f t="shared" si="84"/>
        <v>9.7676419965576591E-2</v>
      </c>
      <c r="E487" s="172">
        <f t="shared" si="85"/>
        <v>5.2263504763001125E-3</v>
      </c>
      <c r="N487" s="169"/>
      <c r="O487" s="169"/>
      <c r="P487" s="169"/>
      <c r="Q487" s="169"/>
      <c r="CS487"/>
      <c r="CT487"/>
      <c r="CU487"/>
      <c r="CV487"/>
    </row>
    <row r="488" spans="1:100" x14ac:dyDescent="0.25">
      <c r="A488" s="167" t="s">
        <v>208</v>
      </c>
      <c r="B488" s="138">
        <v>819</v>
      </c>
      <c r="C488" s="138">
        <v>12051</v>
      </c>
      <c r="D488" s="172">
        <f t="shared" si="84"/>
        <v>6.7961165048543687E-2</v>
      </c>
      <c r="E488" s="172">
        <f t="shared" si="85"/>
        <v>4.7140760353411807E-3</v>
      </c>
      <c r="N488" s="169"/>
      <c r="O488" s="169"/>
      <c r="P488" s="169"/>
      <c r="Q488" s="169"/>
      <c r="CS488"/>
      <c r="CT488"/>
      <c r="CU488"/>
      <c r="CV488"/>
    </row>
    <row r="489" spans="1:100" x14ac:dyDescent="0.25">
      <c r="A489" s="167" t="s">
        <v>209</v>
      </c>
      <c r="B489" s="138">
        <v>591</v>
      </c>
      <c r="C489" s="138">
        <v>23008</v>
      </c>
      <c r="D489" s="172">
        <f t="shared" si="84"/>
        <v>2.568671766342142E-2</v>
      </c>
      <c r="E489" s="172">
        <f t="shared" si="85"/>
        <v>3.4017325236711084E-3</v>
      </c>
      <c r="N489" s="169"/>
      <c r="O489" s="169"/>
      <c r="P489" s="169"/>
      <c r="Q489" s="169"/>
      <c r="CS489"/>
      <c r="CT489"/>
      <c r="CU489"/>
      <c r="CV489"/>
    </row>
    <row r="490" spans="1:100" x14ac:dyDescent="0.25">
      <c r="A490" s="167" t="s">
        <v>210</v>
      </c>
      <c r="B490" s="138">
        <v>1592</v>
      </c>
      <c r="C490" s="138">
        <v>22187</v>
      </c>
      <c r="D490" s="172">
        <f t="shared" si="84"/>
        <v>7.1753729661513499E-2</v>
      </c>
      <c r="E490" s="172">
        <f t="shared" si="85"/>
        <v>9.1633810113103294E-3</v>
      </c>
      <c r="N490" s="169"/>
      <c r="O490" s="169"/>
      <c r="P490" s="169"/>
      <c r="Q490" s="169"/>
      <c r="CS490"/>
      <c r="CT490"/>
      <c r="CU490"/>
      <c r="CV490"/>
    </row>
    <row r="491" spans="1:100" x14ac:dyDescent="0.25">
      <c r="A491" s="167" t="s">
        <v>211</v>
      </c>
      <c r="B491" s="138">
        <v>795</v>
      </c>
      <c r="C491" s="138">
        <v>10468</v>
      </c>
      <c r="D491" s="172">
        <f t="shared" si="84"/>
        <v>7.5945739396255249E-2</v>
      </c>
      <c r="E491" s="172">
        <f t="shared" si="85"/>
        <v>4.5759346130601203E-3</v>
      </c>
      <c r="N491" s="169"/>
      <c r="O491" s="169"/>
      <c r="P491" s="169"/>
      <c r="Q491" s="169"/>
      <c r="CS491"/>
      <c r="CT491"/>
      <c r="CU491"/>
      <c r="CV491"/>
    </row>
    <row r="492" spans="1:100" x14ac:dyDescent="0.25">
      <c r="A492" s="167" t="s">
        <v>212</v>
      </c>
      <c r="B492" s="138">
        <v>349</v>
      </c>
      <c r="C492" s="138">
        <v>4687</v>
      </c>
      <c r="D492" s="172">
        <f t="shared" si="84"/>
        <v>7.4461275869426066E-2</v>
      </c>
      <c r="E492" s="172">
        <f t="shared" si="85"/>
        <v>2.0088065156704175E-3</v>
      </c>
      <c r="N492" s="169"/>
      <c r="O492" s="169"/>
      <c r="P492" s="169"/>
      <c r="Q492" s="169"/>
      <c r="CS492"/>
      <c r="CT492"/>
      <c r="CU492"/>
      <c r="CV492"/>
    </row>
    <row r="493" spans="1:100" x14ac:dyDescent="0.25">
      <c r="A493" s="167" t="s">
        <v>379</v>
      </c>
      <c r="B493" s="138">
        <v>65</v>
      </c>
      <c r="C493" s="138">
        <v>528</v>
      </c>
      <c r="D493" s="172">
        <f t="shared" si="84"/>
        <v>0.12310606060606061</v>
      </c>
      <c r="E493" s="172">
        <f t="shared" si="85"/>
        <v>3.741330186778715E-4</v>
      </c>
      <c r="N493" s="169"/>
      <c r="O493" s="169"/>
      <c r="P493" s="169"/>
      <c r="Q493" s="169"/>
      <c r="CS493"/>
      <c r="CT493"/>
      <c r="CU493"/>
      <c r="CV493"/>
    </row>
    <row r="494" spans="1:100" x14ac:dyDescent="0.25">
      <c r="A494" s="167" t="s">
        <v>213</v>
      </c>
      <c r="B494" s="138">
        <v>2886</v>
      </c>
      <c r="C494" s="138">
        <v>24964</v>
      </c>
      <c r="D494" s="172">
        <f t="shared" si="84"/>
        <v>0.11560647332158308</v>
      </c>
      <c r="E494" s="172">
        <f t="shared" si="85"/>
        <v>1.6611506029297493E-2</v>
      </c>
      <c r="N494" s="169"/>
      <c r="O494" s="169"/>
      <c r="P494" s="169"/>
      <c r="Q494" s="169"/>
      <c r="CS494"/>
      <c r="CT494"/>
      <c r="CU494"/>
      <c r="CV494"/>
    </row>
    <row r="495" spans="1:100" x14ac:dyDescent="0.25">
      <c r="A495" s="167" t="s">
        <v>214</v>
      </c>
      <c r="B495" s="138">
        <v>356</v>
      </c>
      <c r="C495" s="138">
        <v>4278</v>
      </c>
      <c r="D495" s="172">
        <f t="shared" si="84"/>
        <v>8.3216456287985047E-2</v>
      </c>
      <c r="E495" s="172">
        <f t="shared" si="85"/>
        <v>2.049097763835727E-3</v>
      </c>
      <c r="N495" s="169"/>
      <c r="O495" s="169"/>
      <c r="P495" s="169"/>
      <c r="Q495" s="169"/>
      <c r="CS495"/>
      <c r="CT495"/>
      <c r="CU495"/>
      <c r="CV495"/>
    </row>
    <row r="496" spans="1:100" x14ac:dyDescent="0.25">
      <c r="A496" s="167" t="s">
        <v>215</v>
      </c>
      <c r="B496" s="138">
        <v>303</v>
      </c>
      <c r="C496" s="138">
        <v>3252</v>
      </c>
      <c r="D496" s="172">
        <f t="shared" si="84"/>
        <v>9.3173431734317344E-2</v>
      </c>
      <c r="E496" s="172">
        <f t="shared" si="85"/>
        <v>1.7440354562983855E-3</v>
      </c>
      <c r="N496" s="169"/>
      <c r="O496" s="169"/>
      <c r="P496" s="169"/>
      <c r="Q496" s="169"/>
      <c r="CS496"/>
      <c r="CT496"/>
      <c r="CU496"/>
      <c r="CV496"/>
    </row>
    <row r="497" spans="1:100" x14ac:dyDescent="0.25">
      <c r="A497" s="167" t="s">
        <v>216</v>
      </c>
      <c r="B497" s="138">
        <v>5955</v>
      </c>
      <c r="C497" s="138">
        <v>52974</v>
      </c>
      <c r="D497" s="172">
        <f t="shared" si="84"/>
        <v>0.11241363687846868</v>
      </c>
      <c r="E497" s="172">
        <f t="shared" si="85"/>
        <v>3.4276340403488072E-2</v>
      </c>
      <c r="N497" s="169"/>
      <c r="O497" s="169"/>
      <c r="P497" s="169"/>
      <c r="Q497" s="169"/>
      <c r="CS497"/>
      <c r="CT497"/>
      <c r="CU497"/>
      <c r="CV497"/>
    </row>
    <row r="498" spans="1:100" x14ac:dyDescent="0.25">
      <c r="A498" s="167" t="s">
        <v>217</v>
      </c>
      <c r="B498" s="138">
        <v>4686</v>
      </c>
      <c r="C498" s="138">
        <v>28971</v>
      </c>
      <c r="D498" s="172">
        <f t="shared" si="84"/>
        <v>0.16174795485140311</v>
      </c>
      <c r="E498" s="172">
        <f t="shared" si="85"/>
        <v>2.6972112700377009E-2</v>
      </c>
      <c r="N498" s="169"/>
      <c r="O498" s="169"/>
      <c r="P498" s="169"/>
      <c r="Q498" s="169"/>
      <c r="CS498"/>
      <c r="CT498"/>
      <c r="CU498"/>
      <c r="CV498"/>
    </row>
    <row r="499" spans="1:100" x14ac:dyDescent="0.25">
      <c r="A499" s="167" t="s">
        <v>218</v>
      </c>
      <c r="B499" s="138">
        <v>244</v>
      </c>
      <c r="C499" s="138">
        <v>2653</v>
      </c>
      <c r="D499" s="172">
        <f t="shared" si="84"/>
        <v>9.1971353185073504E-2</v>
      </c>
      <c r="E499" s="172">
        <f t="shared" si="85"/>
        <v>1.404437793190779E-3</v>
      </c>
      <c r="N499" s="169"/>
      <c r="O499" s="169"/>
      <c r="P499" s="169"/>
      <c r="Q499" s="169"/>
      <c r="CS499"/>
      <c r="CT499"/>
      <c r="CU499"/>
      <c r="CV499"/>
    </row>
    <row r="500" spans="1:100" x14ac:dyDescent="0.25">
      <c r="A500" s="167" t="s">
        <v>219</v>
      </c>
      <c r="B500" s="138">
        <v>1707</v>
      </c>
      <c r="C500" s="138">
        <v>22958</v>
      </c>
      <c r="D500" s="172">
        <f t="shared" si="84"/>
        <v>7.4353166652147404E-2</v>
      </c>
      <c r="E500" s="172">
        <f t="shared" si="85"/>
        <v>9.8253086597404095E-3</v>
      </c>
      <c r="N500" s="169"/>
      <c r="O500" s="169"/>
      <c r="P500" s="169"/>
      <c r="Q500" s="169"/>
      <c r="CS500"/>
      <c r="CT500"/>
      <c r="CU500"/>
      <c r="CV500"/>
    </row>
    <row r="501" spans="1:100" x14ac:dyDescent="0.25">
      <c r="A501" s="167" t="s">
        <v>220</v>
      </c>
      <c r="B501" s="138">
        <v>54</v>
      </c>
      <c r="C501" s="138">
        <v>338</v>
      </c>
      <c r="D501" s="172">
        <f t="shared" si="84"/>
        <v>0.15976331360946747</v>
      </c>
      <c r="E501" s="172">
        <f t="shared" si="85"/>
        <v>3.1081820013238552E-4</v>
      </c>
      <c r="N501" s="169"/>
      <c r="O501" s="169"/>
      <c r="P501" s="169"/>
      <c r="Q501" s="169"/>
      <c r="CS501"/>
      <c r="CT501"/>
      <c r="CU501"/>
      <c r="CV501"/>
    </row>
    <row r="502" spans="1:100" x14ac:dyDescent="0.25">
      <c r="A502" s="167" t="s">
        <v>221</v>
      </c>
      <c r="B502" s="138">
        <v>857</v>
      </c>
      <c r="C502" s="138">
        <v>8546</v>
      </c>
      <c r="D502" s="172">
        <f t="shared" si="84"/>
        <v>0.10028083313831032</v>
      </c>
      <c r="E502" s="172">
        <f t="shared" si="85"/>
        <v>4.9327999539528593E-3</v>
      </c>
      <c r="N502" s="169"/>
      <c r="O502" s="169"/>
      <c r="P502" s="169"/>
      <c r="Q502" s="169"/>
      <c r="CS502"/>
      <c r="CT502"/>
      <c r="CU502"/>
      <c r="CV502"/>
    </row>
    <row r="503" spans="1:100" x14ac:dyDescent="0.25">
      <c r="A503" s="80" t="s">
        <v>0</v>
      </c>
      <c r="B503" s="137">
        <v>173735</v>
      </c>
      <c r="C503" s="137">
        <v>1455639</v>
      </c>
      <c r="D503" s="173">
        <f t="shared" si="84"/>
        <v>0.1193530813615189</v>
      </c>
      <c r="E503" s="173">
        <f t="shared" si="85"/>
        <v>1</v>
      </c>
    </row>
    <row r="504" spans="1:100" x14ac:dyDescent="0.25">
      <c r="D504" s="15"/>
      <c r="E504" s="15"/>
    </row>
    <row r="506" spans="1:100" x14ac:dyDescent="0.25">
      <c r="A506" s="83" t="s">
        <v>254</v>
      </c>
    </row>
    <row r="507" spans="1:100" x14ac:dyDescent="0.25">
      <c r="A507" s="41" t="s">
        <v>243</v>
      </c>
    </row>
  </sheetData>
  <phoneticPr fontId="32" type="noConversion"/>
  <conditionalFormatting sqref="D378:D503">
    <cfRule type="dataBar" priority="8">
      <dataBar>
        <cfvo type="min"/>
        <cfvo type="max"/>
        <color rgb="FF63C384"/>
      </dataBar>
      <extLst>
        <ext xmlns:x14="http://schemas.microsoft.com/office/spreadsheetml/2009/9/main" uri="{B025F937-C7B1-47D3-B67F-A62EFF666E3E}">
          <x14:id>{06FD67B3-0408-401A-973B-65016D3B9D1C}</x14:id>
        </ext>
      </extLst>
    </cfRule>
  </conditionalFormatting>
  <conditionalFormatting sqref="E378:E502">
    <cfRule type="dataBar" priority="10">
      <dataBar>
        <cfvo type="min"/>
        <cfvo type="max"/>
        <color rgb="FF638EC6"/>
      </dataBar>
      <extLst>
        <ext xmlns:x14="http://schemas.microsoft.com/office/spreadsheetml/2009/9/main" uri="{B025F937-C7B1-47D3-B67F-A62EFF666E3E}">
          <x14:id>{A246AF8D-9594-46AF-B8AD-AB0D7B0F6809}</x14:id>
        </ext>
      </extLst>
    </cfRule>
  </conditionalFormatting>
  <conditionalFormatting sqref="E111:G120">
    <cfRule type="dataBar" priority="13">
      <dataBar>
        <cfvo type="min"/>
        <cfvo type="max"/>
        <color rgb="FF63C384"/>
      </dataBar>
      <extLst>
        <ext xmlns:x14="http://schemas.microsoft.com/office/spreadsheetml/2009/9/main" uri="{B025F937-C7B1-47D3-B67F-A62EFF666E3E}">
          <x14:id>{1E17146D-AC56-406F-B3B8-AC01CDF17B7C}</x14:id>
        </ext>
      </extLst>
    </cfRule>
  </conditionalFormatting>
  <conditionalFormatting sqref="F7:I16">
    <cfRule type="dataBar" priority="20">
      <dataBar>
        <cfvo type="min"/>
        <cfvo type="max"/>
        <color rgb="FF63C384"/>
      </dataBar>
      <extLst>
        <ext xmlns:x14="http://schemas.microsoft.com/office/spreadsheetml/2009/9/main" uri="{B025F937-C7B1-47D3-B67F-A62EFF666E3E}">
          <x14:id>{9AC61A6E-D244-4AA6-995E-2EDA93D50882}</x14:id>
        </ext>
      </extLst>
    </cfRule>
  </conditionalFormatting>
  <conditionalFormatting sqref="F17:I17">
    <cfRule type="dataBar" priority="19">
      <dataBar>
        <cfvo type="min"/>
        <cfvo type="max"/>
        <color rgb="FF63C384"/>
      </dataBar>
      <extLst>
        <ext xmlns:x14="http://schemas.microsoft.com/office/spreadsheetml/2009/9/main" uri="{B025F937-C7B1-47D3-B67F-A62EFF666E3E}">
          <x14:id>{3026485D-050E-43B7-9FB5-F866AF51FDDB}</x14:id>
        </ext>
      </extLst>
    </cfRule>
  </conditionalFormatting>
  <conditionalFormatting sqref="F21:I31">
    <cfRule type="dataBar" priority="18">
      <dataBar>
        <cfvo type="min"/>
        <cfvo type="max"/>
        <color rgb="FF63C384"/>
      </dataBar>
      <extLst>
        <ext xmlns:x14="http://schemas.microsoft.com/office/spreadsheetml/2009/9/main" uri="{B025F937-C7B1-47D3-B67F-A62EFF666E3E}">
          <x14:id>{50539A89-DE5A-406A-A497-8D872FADEF21}</x14:id>
        </ext>
      </extLst>
    </cfRule>
  </conditionalFormatting>
  <conditionalFormatting sqref="F35:I45">
    <cfRule type="dataBar" priority="17">
      <dataBar>
        <cfvo type="min"/>
        <cfvo type="max"/>
        <color rgb="FF63C384"/>
      </dataBar>
      <extLst>
        <ext xmlns:x14="http://schemas.microsoft.com/office/spreadsheetml/2009/9/main" uri="{B025F937-C7B1-47D3-B67F-A62EFF666E3E}">
          <x14:id>{EE6A595B-ED9D-4BCF-B858-0B86FD3381B8}</x14:id>
        </ext>
      </extLst>
    </cfRule>
  </conditionalFormatting>
  <conditionalFormatting sqref="F124:I134">
    <cfRule type="dataBar" priority="11">
      <dataBar>
        <cfvo type="min"/>
        <cfvo type="max"/>
        <color rgb="FF63C384"/>
      </dataBar>
      <extLst>
        <ext xmlns:x14="http://schemas.microsoft.com/office/spreadsheetml/2009/9/main" uri="{B025F937-C7B1-47D3-B67F-A62EFF666E3E}">
          <x14:id>{0369480B-1720-41DA-BCDC-6F7548B37ABB}</x14:id>
        </ext>
      </extLst>
    </cfRule>
  </conditionalFormatting>
  <conditionalFormatting sqref="G138:G148">
    <cfRule type="iconSet" priority="117">
      <iconSet iconSet="5Arrows">
        <cfvo type="percent" val="0"/>
        <cfvo type="num" val="-0.2"/>
        <cfvo type="num" val="0"/>
        <cfvo type="num" val="0.2"/>
        <cfvo type="num" val="0.5"/>
      </iconSet>
    </cfRule>
  </conditionalFormatting>
  <conditionalFormatting sqref="G152:G162">
    <cfRule type="iconSet" priority="109">
      <iconSet iconSet="5Arrows">
        <cfvo type="percent" val="0"/>
        <cfvo type="num" val="-0.2"/>
        <cfvo type="num" val="0"/>
        <cfvo type="num" val="0.2"/>
        <cfvo type="num" val="0.5"/>
      </iconSet>
    </cfRule>
  </conditionalFormatting>
  <conditionalFormatting sqref="G166:G179">
    <cfRule type="iconSet" priority="101">
      <iconSet iconSet="5Arrows">
        <cfvo type="percent" val="0"/>
        <cfvo type="num" val="-0.2"/>
        <cfvo type="num" val="0"/>
        <cfvo type="num" val="0.2"/>
        <cfvo type="num" val="0.5"/>
      </iconSet>
    </cfRule>
  </conditionalFormatting>
  <conditionalFormatting sqref="G183:G186">
    <cfRule type="iconSet" priority="97">
      <iconSet iconSet="5Arrows">
        <cfvo type="percent" val="0"/>
        <cfvo type="num" val="-0.2"/>
        <cfvo type="num" val="0"/>
        <cfvo type="num" val="0.2"/>
        <cfvo type="num" val="0.5"/>
      </iconSet>
    </cfRule>
  </conditionalFormatting>
  <conditionalFormatting sqref="G190:G206">
    <cfRule type="iconSet" priority="93">
      <iconSet iconSet="5Arrows">
        <cfvo type="percent" val="0"/>
        <cfvo type="num" val="-0.2"/>
        <cfvo type="num" val="0"/>
        <cfvo type="num" val="0.2"/>
        <cfvo type="num" val="0.5"/>
      </iconSet>
    </cfRule>
  </conditionalFormatting>
  <conditionalFormatting sqref="G210:G220">
    <cfRule type="iconSet" priority="26">
      <iconSet iconSet="5Arrows">
        <cfvo type="percent" val="0"/>
        <cfvo type="num" val="-0.2"/>
        <cfvo type="num" val="0"/>
        <cfvo type="num" val="0.2"/>
        <cfvo type="num" val="0.5"/>
      </iconSet>
    </cfRule>
  </conditionalFormatting>
  <conditionalFormatting sqref="G224:G235">
    <cfRule type="iconSet" priority="22">
      <iconSet iconSet="5Arrows">
        <cfvo type="percent" val="0"/>
        <cfvo type="num" val="-0.2"/>
        <cfvo type="num" val="0"/>
        <cfvo type="num" val="0.2"/>
        <cfvo type="num" val="0.5"/>
      </iconSet>
    </cfRule>
  </conditionalFormatting>
  <conditionalFormatting sqref="G239:G251">
    <cfRule type="iconSet" priority="38">
      <iconSet iconSet="5Arrows">
        <cfvo type="percent" val="0"/>
        <cfvo type="num" val="-0.2"/>
        <cfvo type="num" val="0"/>
        <cfvo type="num" val="0.2"/>
        <cfvo type="num" val="0.5"/>
      </iconSet>
    </cfRule>
  </conditionalFormatting>
  <conditionalFormatting sqref="G255:G271">
    <cfRule type="iconSet" priority="85">
      <iconSet iconSet="5Arrows">
        <cfvo type="percent" val="0"/>
        <cfvo type="num" val="-0.2"/>
        <cfvo type="num" val="0"/>
        <cfvo type="num" val="0.2"/>
        <cfvo type="num" val="0.5"/>
      </iconSet>
    </cfRule>
  </conditionalFormatting>
  <conditionalFormatting sqref="G275:G284">
    <cfRule type="iconSet" priority="42">
      <iconSet iconSet="5Arrows">
        <cfvo type="percent" val="0"/>
        <cfvo type="num" val="-0.2"/>
        <cfvo type="num" val="0"/>
        <cfvo type="num" val="0.2"/>
        <cfvo type="num" val="0.5"/>
      </iconSet>
    </cfRule>
  </conditionalFormatting>
  <conditionalFormatting sqref="G288:G290">
    <cfRule type="iconSet" priority="46">
      <iconSet iconSet="5Arrows">
        <cfvo type="percent" val="0"/>
        <cfvo type="num" val="-0.2"/>
        <cfvo type="num" val="0"/>
        <cfvo type="num" val="0.2"/>
        <cfvo type="num" val="0.5"/>
      </iconSet>
    </cfRule>
  </conditionalFormatting>
  <conditionalFormatting sqref="G294:G300">
    <cfRule type="iconSet" priority="396">
      <iconSet iconSet="5Arrows">
        <cfvo type="percent" val="0"/>
        <cfvo type="num" val="-0.2"/>
        <cfvo type="num" val="0"/>
        <cfvo type="num" val="0.2"/>
        <cfvo type="num" val="0.5"/>
      </iconSet>
    </cfRule>
  </conditionalFormatting>
  <conditionalFormatting sqref="G304:G320">
    <cfRule type="iconSet" priority="77">
      <iconSet iconSet="5Arrows">
        <cfvo type="percent" val="0"/>
        <cfvo type="num" val="-0.2"/>
        <cfvo type="num" val="0"/>
        <cfvo type="num" val="0.2"/>
        <cfvo type="num" val="0.5"/>
      </iconSet>
    </cfRule>
  </conditionalFormatting>
  <conditionalFormatting sqref="G324:G335">
    <cfRule type="iconSet" priority="423">
      <iconSet iconSet="5Arrows">
        <cfvo type="percent" val="0"/>
        <cfvo type="num" val="-0.2"/>
        <cfvo type="num" val="0"/>
        <cfvo type="num" val="0.2"/>
        <cfvo type="num" val="0.5"/>
      </iconSet>
    </cfRule>
  </conditionalFormatting>
  <conditionalFormatting sqref="G338:G341">
    <cfRule type="iconSet" priority="58">
      <iconSet iconSet="5Arrows">
        <cfvo type="percent" val="0"/>
        <cfvo type="num" val="-0.2"/>
        <cfvo type="num" val="0"/>
        <cfvo type="num" val="0.2"/>
        <cfvo type="num" val="0.5"/>
      </iconSet>
    </cfRule>
  </conditionalFormatting>
  <conditionalFormatting sqref="G345:G354">
    <cfRule type="iconSet" priority="416">
      <iconSet iconSet="5Arrows">
        <cfvo type="percent" val="0"/>
        <cfvo type="num" val="-0.2"/>
        <cfvo type="num" val="0"/>
        <cfvo type="num" val="0.2"/>
        <cfvo type="num" val="0.5"/>
      </iconSet>
    </cfRule>
  </conditionalFormatting>
  <conditionalFormatting sqref="G358:G373">
    <cfRule type="iconSet" priority="69">
      <iconSet iconSet="5Arrows">
        <cfvo type="percent" val="0"/>
        <cfvo type="num" val="-0.2"/>
        <cfvo type="num" val="0"/>
        <cfvo type="num" val="0.2"/>
        <cfvo type="num" val="0.5"/>
      </iconSet>
    </cfRule>
  </conditionalFormatting>
  <conditionalFormatting sqref="G374">
    <cfRule type="iconSet" priority="66">
      <iconSet iconSet="5Arrows">
        <cfvo type="percent" val="0"/>
        <cfvo type="num" val="-0.2"/>
        <cfvo type="num" val="0"/>
        <cfvo type="num" val="0.2"/>
        <cfvo type="num" val="0.5"/>
      </iconSet>
    </cfRule>
  </conditionalFormatting>
  <conditionalFormatting sqref="H138:H148">
    <cfRule type="iconSet" priority="120">
      <iconSet iconSet="5Arrows">
        <cfvo type="percent" val="0"/>
        <cfvo type="num" val="-0.1"/>
        <cfvo type="num" val="0"/>
        <cfvo type="num" val="0.1"/>
        <cfvo type="num" val="0.2"/>
      </iconSet>
    </cfRule>
  </conditionalFormatting>
  <conditionalFormatting sqref="H152:H162">
    <cfRule type="iconSet" priority="112">
      <iconSet iconSet="5Arrows">
        <cfvo type="percent" val="0"/>
        <cfvo type="num" val="-0.1"/>
        <cfvo type="num" val="0"/>
        <cfvo type="num" val="0.1"/>
        <cfvo type="num" val="0.2"/>
      </iconSet>
    </cfRule>
  </conditionalFormatting>
  <conditionalFormatting sqref="H166:H179">
    <cfRule type="iconSet" priority="104">
      <iconSet iconSet="5Arrows">
        <cfvo type="percent" val="0"/>
        <cfvo type="num" val="-0.1"/>
        <cfvo type="num" val="0"/>
        <cfvo type="num" val="0.1"/>
        <cfvo type="num" val="0.2"/>
      </iconSet>
    </cfRule>
  </conditionalFormatting>
  <conditionalFormatting sqref="H183:H186">
    <cfRule type="iconSet" priority="100">
      <iconSet iconSet="5Arrows">
        <cfvo type="percent" val="0"/>
        <cfvo type="num" val="-0.1"/>
        <cfvo type="num" val="0"/>
        <cfvo type="num" val="0.1"/>
        <cfvo type="num" val="0.2"/>
      </iconSet>
    </cfRule>
  </conditionalFormatting>
  <conditionalFormatting sqref="H190:H206">
    <cfRule type="iconSet" priority="96">
      <iconSet iconSet="5Arrows">
        <cfvo type="percent" val="0"/>
        <cfvo type="num" val="-0.1"/>
        <cfvo type="num" val="0"/>
        <cfvo type="num" val="0.1"/>
        <cfvo type="num" val="0.2"/>
      </iconSet>
    </cfRule>
  </conditionalFormatting>
  <conditionalFormatting sqref="H210:H220">
    <cfRule type="iconSet" priority="29">
      <iconSet iconSet="5Arrows">
        <cfvo type="percent" val="0"/>
        <cfvo type="num" val="-0.1"/>
        <cfvo type="num" val="0"/>
        <cfvo type="num" val="0.1"/>
        <cfvo type="num" val="0.2"/>
      </iconSet>
    </cfRule>
  </conditionalFormatting>
  <conditionalFormatting sqref="H224:H235">
    <cfRule type="iconSet" priority="25">
      <iconSet iconSet="5Arrows">
        <cfvo type="percent" val="0"/>
        <cfvo type="num" val="-0.1"/>
        <cfvo type="num" val="0"/>
        <cfvo type="num" val="0.1"/>
        <cfvo type="num" val="0.2"/>
      </iconSet>
    </cfRule>
  </conditionalFormatting>
  <conditionalFormatting sqref="H239:H251">
    <cfRule type="iconSet" priority="41">
      <iconSet iconSet="5Arrows">
        <cfvo type="percent" val="0"/>
        <cfvo type="num" val="-0.1"/>
        <cfvo type="num" val="0"/>
        <cfvo type="num" val="0.1"/>
        <cfvo type="num" val="0.2"/>
      </iconSet>
    </cfRule>
  </conditionalFormatting>
  <conditionalFormatting sqref="H255:H271">
    <cfRule type="iconSet" priority="88">
      <iconSet iconSet="5Arrows">
        <cfvo type="percent" val="0"/>
        <cfvo type="num" val="-0.1"/>
        <cfvo type="num" val="0"/>
        <cfvo type="num" val="0.1"/>
        <cfvo type="num" val="0.2"/>
      </iconSet>
    </cfRule>
  </conditionalFormatting>
  <conditionalFormatting sqref="H275:H284">
    <cfRule type="iconSet" priority="45">
      <iconSet iconSet="5Arrows">
        <cfvo type="percent" val="0"/>
        <cfvo type="num" val="-0.1"/>
        <cfvo type="num" val="0"/>
        <cfvo type="num" val="0.1"/>
        <cfvo type="num" val="0.2"/>
      </iconSet>
    </cfRule>
  </conditionalFormatting>
  <conditionalFormatting sqref="H288:H290">
    <cfRule type="iconSet" priority="49">
      <iconSet iconSet="5Arrows">
        <cfvo type="percent" val="0"/>
        <cfvo type="num" val="-0.1"/>
        <cfvo type="num" val="0"/>
        <cfvo type="num" val="0.1"/>
        <cfvo type="num" val="0.2"/>
      </iconSet>
    </cfRule>
  </conditionalFormatting>
  <conditionalFormatting sqref="H294:H300">
    <cfRule type="iconSet" priority="390">
      <iconSet iconSet="5Arrows">
        <cfvo type="percent" val="0"/>
        <cfvo type="num" val="-0.1"/>
        <cfvo type="num" val="0"/>
        <cfvo type="num" val="0.1"/>
        <cfvo type="num" val="0.2"/>
      </iconSet>
    </cfRule>
  </conditionalFormatting>
  <conditionalFormatting sqref="H304:H320">
    <cfRule type="iconSet" priority="80">
      <iconSet iconSet="5Arrows">
        <cfvo type="percent" val="0"/>
        <cfvo type="num" val="-0.1"/>
        <cfvo type="num" val="0"/>
        <cfvo type="num" val="0.1"/>
        <cfvo type="num" val="0.2"/>
      </iconSet>
    </cfRule>
  </conditionalFormatting>
  <conditionalFormatting sqref="H324:H335">
    <cfRule type="iconSet" priority="417">
      <iconSet iconSet="5Arrows">
        <cfvo type="percent" val="0"/>
        <cfvo type="num" val="-0.1"/>
        <cfvo type="num" val="0"/>
        <cfvo type="num" val="0.1"/>
        <cfvo type="num" val="0.2"/>
      </iconSet>
    </cfRule>
  </conditionalFormatting>
  <conditionalFormatting sqref="H338:H341">
    <cfRule type="iconSet" priority="61">
      <iconSet iconSet="5Arrows">
        <cfvo type="percent" val="0"/>
        <cfvo type="num" val="-0.1"/>
        <cfvo type="num" val="0"/>
        <cfvo type="num" val="0.1"/>
        <cfvo type="num" val="0.2"/>
      </iconSet>
    </cfRule>
  </conditionalFormatting>
  <conditionalFormatting sqref="H345:H354">
    <cfRule type="iconSet" priority="407">
      <iconSet iconSet="5Arrows">
        <cfvo type="percent" val="0"/>
        <cfvo type="num" val="-0.1"/>
        <cfvo type="num" val="0"/>
        <cfvo type="num" val="0.1"/>
        <cfvo type="num" val="0.2"/>
      </iconSet>
    </cfRule>
  </conditionalFormatting>
  <conditionalFormatting sqref="H358:H373">
    <cfRule type="iconSet" priority="72">
      <iconSet iconSet="5Arrows">
        <cfvo type="percent" val="0"/>
        <cfvo type="num" val="-0.1"/>
        <cfvo type="num" val="0"/>
        <cfvo type="num" val="0.1"/>
        <cfvo type="num" val="0.2"/>
      </iconSet>
    </cfRule>
  </conditionalFormatting>
  <conditionalFormatting sqref="H374">
    <cfRule type="iconSet" priority="68">
      <iconSet iconSet="5Arrows">
        <cfvo type="percent" val="0"/>
        <cfvo type="num" val="-0.1"/>
        <cfvo type="num" val="0"/>
        <cfvo type="num" val="0.1"/>
        <cfvo type="num" val="0.2"/>
      </iconSet>
    </cfRule>
  </conditionalFormatting>
  <conditionalFormatting sqref="H97:M107">
    <cfRule type="dataBar" priority="14">
      <dataBar>
        <cfvo type="min"/>
        <cfvo type="max"/>
        <color rgb="FF63C384"/>
      </dataBar>
      <extLst>
        <ext xmlns:x14="http://schemas.microsoft.com/office/spreadsheetml/2009/9/main" uri="{B025F937-C7B1-47D3-B67F-A62EFF666E3E}">
          <x14:id>{9AC3C8C2-24FE-47B9-98D7-2D9550A48F21}</x14:id>
        </ext>
      </extLst>
    </cfRule>
  </conditionalFormatting>
  <conditionalFormatting sqref="I7:I16">
    <cfRule type="dataBar" priority="21">
      <dataBar>
        <cfvo type="min"/>
        <cfvo type="max"/>
        <color rgb="FF63C384"/>
      </dataBar>
      <extLst>
        <ext xmlns:x14="http://schemas.microsoft.com/office/spreadsheetml/2009/9/main" uri="{B025F937-C7B1-47D3-B67F-A62EFF666E3E}">
          <x14:id>{4F7B97DF-2E45-460D-8F14-7B8AF29E1688}</x14:id>
        </ext>
      </extLst>
    </cfRule>
  </conditionalFormatting>
  <conditionalFormatting sqref="I138:I147">
    <cfRule type="dataBar" priority="119">
      <dataBar>
        <cfvo type="min"/>
        <cfvo type="max"/>
        <color rgb="FF638EC6"/>
      </dataBar>
      <extLst>
        <ext xmlns:x14="http://schemas.microsoft.com/office/spreadsheetml/2009/9/main" uri="{B025F937-C7B1-47D3-B67F-A62EFF666E3E}">
          <x14:id>{549BD7F8-54F7-4B69-87FE-A61967955688}</x14:id>
        </ext>
      </extLst>
    </cfRule>
  </conditionalFormatting>
  <conditionalFormatting sqref="I152:I161">
    <cfRule type="dataBar" priority="111">
      <dataBar>
        <cfvo type="min"/>
        <cfvo type="max"/>
        <color rgb="FF638EC6"/>
      </dataBar>
      <extLst>
        <ext xmlns:x14="http://schemas.microsoft.com/office/spreadsheetml/2009/9/main" uri="{B025F937-C7B1-47D3-B67F-A62EFF666E3E}">
          <x14:id>{C4AF55A9-5B30-4C64-BC85-BFF9479B05A1}</x14:id>
        </ext>
      </extLst>
    </cfRule>
  </conditionalFormatting>
  <conditionalFormatting sqref="I166:I178">
    <cfRule type="dataBar" priority="103">
      <dataBar>
        <cfvo type="min"/>
        <cfvo type="max"/>
        <color rgb="FF638EC6"/>
      </dataBar>
      <extLst>
        <ext xmlns:x14="http://schemas.microsoft.com/office/spreadsheetml/2009/9/main" uri="{B025F937-C7B1-47D3-B67F-A62EFF666E3E}">
          <x14:id>{24847AAE-F512-42FF-A6D4-79481F95416F}</x14:id>
        </ext>
      </extLst>
    </cfRule>
  </conditionalFormatting>
  <conditionalFormatting sqref="I183:I185">
    <cfRule type="dataBar" priority="99">
      <dataBar>
        <cfvo type="min"/>
        <cfvo type="max"/>
        <color rgb="FF638EC6"/>
      </dataBar>
      <extLst>
        <ext xmlns:x14="http://schemas.microsoft.com/office/spreadsheetml/2009/9/main" uri="{B025F937-C7B1-47D3-B67F-A62EFF666E3E}">
          <x14:id>{D40C2903-49B7-4E7E-A64F-A21E6C193F3C}</x14:id>
        </ext>
      </extLst>
    </cfRule>
  </conditionalFormatting>
  <conditionalFormatting sqref="I190:I205">
    <cfRule type="dataBar" priority="95">
      <dataBar>
        <cfvo type="min"/>
        <cfvo type="max"/>
        <color rgb="FF638EC6"/>
      </dataBar>
      <extLst>
        <ext xmlns:x14="http://schemas.microsoft.com/office/spreadsheetml/2009/9/main" uri="{B025F937-C7B1-47D3-B67F-A62EFF666E3E}">
          <x14:id>{00404AC9-C4B6-4101-A238-2A871B423FC1}</x14:id>
        </ext>
      </extLst>
    </cfRule>
  </conditionalFormatting>
  <conditionalFormatting sqref="I210:I219">
    <cfRule type="dataBar" priority="28">
      <dataBar>
        <cfvo type="min"/>
        <cfvo type="max"/>
        <color rgb="FF638EC6"/>
      </dataBar>
      <extLst>
        <ext xmlns:x14="http://schemas.microsoft.com/office/spreadsheetml/2009/9/main" uri="{B025F937-C7B1-47D3-B67F-A62EFF666E3E}">
          <x14:id>{FFEB46AC-4F0C-4AF6-9FE8-ADDC72A5D5DF}</x14:id>
        </ext>
      </extLst>
    </cfRule>
  </conditionalFormatting>
  <conditionalFormatting sqref="I224:I234">
    <cfRule type="dataBar" priority="24">
      <dataBar>
        <cfvo type="min"/>
        <cfvo type="max"/>
        <color rgb="FF638EC6"/>
      </dataBar>
      <extLst>
        <ext xmlns:x14="http://schemas.microsoft.com/office/spreadsheetml/2009/9/main" uri="{B025F937-C7B1-47D3-B67F-A62EFF666E3E}">
          <x14:id>{2A3BBB67-739C-451F-B78B-9126119B8CE7}</x14:id>
        </ext>
      </extLst>
    </cfRule>
  </conditionalFormatting>
  <conditionalFormatting sqref="I239:I250">
    <cfRule type="dataBar" priority="40">
      <dataBar>
        <cfvo type="min"/>
        <cfvo type="max"/>
        <color rgb="FF638EC6"/>
      </dataBar>
      <extLst>
        <ext xmlns:x14="http://schemas.microsoft.com/office/spreadsheetml/2009/9/main" uri="{B025F937-C7B1-47D3-B67F-A62EFF666E3E}">
          <x14:id>{C17C0FCB-EE54-4CF3-8794-2E56CBB4D896}</x14:id>
        </ext>
      </extLst>
    </cfRule>
  </conditionalFormatting>
  <conditionalFormatting sqref="I255:I270">
    <cfRule type="dataBar" priority="87">
      <dataBar>
        <cfvo type="min"/>
        <cfvo type="max"/>
        <color rgb="FF638EC6"/>
      </dataBar>
      <extLst>
        <ext xmlns:x14="http://schemas.microsoft.com/office/spreadsheetml/2009/9/main" uri="{B025F937-C7B1-47D3-B67F-A62EFF666E3E}">
          <x14:id>{5720D051-3F8C-480B-9747-A7A61FC7022A}</x14:id>
        </ext>
      </extLst>
    </cfRule>
  </conditionalFormatting>
  <conditionalFormatting sqref="I275:I283">
    <cfRule type="dataBar" priority="44">
      <dataBar>
        <cfvo type="min"/>
        <cfvo type="max"/>
        <color rgb="FF638EC6"/>
      </dataBar>
      <extLst>
        <ext xmlns:x14="http://schemas.microsoft.com/office/spreadsheetml/2009/9/main" uri="{B025F937-C7B1-47D3-B67F-A62EFF666E3E}">
          <x14:id>{DAD9509F-5CEA-465F-BDA0-69CE04E63511}</x14:id>
        </ext>
      </extLst>
    </cfRule>
  </conditionalFormatting>
  <conditionalFormatting sqref="I288:I289">
    <cfRule type="dataBar" priority="48">
      <dataBar>
        <cfvo type="min"/>
        <cfvo type="max"/>
        <color rgb="FF638EC6"/>
      </dataBar>
      <extLst>
        <ext xmlns:x14="http://schemas.microsoft.com/office/spreadsheetml/2009/9/main" uri="{B025F937-C7B1-47D3-B67F-A62EFF666E3E}">
          <x14:id>{56B14CA4-1A3B-435E-B613-D9E82A063EA1}</x14:id>
        </ext>
      </extLst>
    </cfRule>
  </conditionalFormatting>
  <conditionalFormatting sqref="I294:I299">
    <cfRule type="dataBar" priority="392">
      <dataBar>
        <cfvo type="min"/>
        <cfvo type="max"/>
        <color rgb="FF638EC6"/>
      </dataBar>
      <extLst>
        <ext xmlns:x14="http://schemas.microsoft.com/office/spreadsheetml/2009/9/main" uri="{B025F937-C7B1-47D3-B67F-A62EFF666E3E}">
          <x14:id>{1FA4D0F3-F4F0-4E1A-85E0-CC61D940452C}</x14:id>
        </ext>
      </extLst>
    </cfRule>
  </conditionalFormatting>
  <conditionalFormatting sqref="I304:I319">
    <cfRule type="dataBar" priority="79">
      <dataBar>
        <cfvo type="min"/>
        <cfvo type="max"/>
        <color rgb="FF638EC6"/>
      </dataBar>
      <extLst>
        <ext xmlns:x14="http://schemas.microsoft.com/office/spreadsheetml/2009/9/main" uri="{B025F937-C7B1-47D3-B67F-A62EFF666E3E}">
          <x14:id>{0458D825-663F-450D-9FFA-B60656EEC44E}</x14:id>
        </ext>
      </extLst>
    </cfRule>
  </conditionalFormatting>
  <conditionalFormatting sqref="I324:I333 I335">
    <cfRule type="dataBar" priority="419">
      <dataBar>
        <cfvo type="min"/>
        <cfvo type="max"/>
        <color rgb="FF638EC6"/>
      </dataBar>
      <extLst>
        <ext xmlns:x14="http://schemas.microsoft.com/office/spreadsheetml/2009/9/main" uri="{B025F937-C7B1-47D3-B67F-A62EFF666E3E}">
          <x14:id>{E28F2677-80EF-45E8-A1B9-8B80D8D0CABD}</x14:id>
        </ext>
      </extLst>
    </cfRule>
  </conditionalFormatting>
  <conditionalFormatting sqref="I338:I340">
    <cfRule type="dataBar" priority="60">
      <dataBar>
        <cfvo type="min"/>
        <cfvo type="max"/>
        <color rgb="FF638EC6"/>
      </dataBar>
      <extLst>
        <ext xmlns:x14="http://schemas.microsoft.com/office/spreadsheetml/2009/9/main" uri="{B025F937-C7B1-47D3-B67F-A62EFF666E3E}">
          <x14:id>{A05FCCBD-6697-45FF-B992-B75A8C5202CE}</x14:id>
        </ext>
      </extLst>
    </cfRule>
  </conditionalFormatting>
  <conditionalFormatting sqref="I345:I353">
    <cfRule type="dataBar" priority="410">
      <dataBar>
        <cfvo type="min"/>
        <cfvo type="max"/>
        <color rgb="FF638EC6"/>
      </dataBar>
      <extLst>
        <ext xmlns:x14="http://schemas.microsoft.com/office/spreadsheetml/2009/9/main" uri="{B025F937-C7B1-47D3-B67F-A62EFF666E3E}">
          <x14:id>{CC8CDAC0-0DEA-4EA9-B3FA-3B8B2EFF4ACA}</x14:id>
        </ext>
      </extLst>
    </cfRule>
  </conditionalFormatting>
  <conditionalFormatting sqref="I358:I373">
    <cfRule type="dataBar" priority="71">
      <dataBar>
        <cfvo type="min"/>
        <cfvo type="max"/>
        <color rgb="FF638EC6"/>
      </dataBar>
      <extLst>
        <ext xmlns:x14="http://schemas.microsoft.com/office/spreadsheetml/2009/9/main" uri="{B025F937-C7B1-47D3-B67F-A62EFF666E3E}">
          <x14:id>{C5ECAD7C-208C-4534-B464-E4C5405318D8}</x14:id>
        </ext>
      </extLst>
    </cfRule>
  </conditionalFormatting>
  <conditionalFormatting sqref="J138:J148">
    <cfRule type="dataBar" priority="118">
      <dataBar>
        <cfvo type="min"/>
        <cfvo type="max"/>
        <color rgb="FF63C384"/>
      </dataBar>
      <extLst>
        <ext xmlns:x14="http://schemas.microsoft.com/office/spreadsheetml/2009/9/main" uri="{B025F937-C7B1-47D3-B67F-A62EFF666E3E}">
          <x14:id>{7931C306-4C3D-4916-ADEB-3D939FC7BCBC}</x14:id>
        </ext>
      </extLst>
    </cfRule>
  </conditionalFormatting>
  <conditionalFormatting sqref="J152:J162">
    <cfRule type="dataBar" priority="110">
      <dataBar>
        <cfvo type="min"/>
        <cfvo type="max"/>
        <color rgb="FF63C384"/>
      </dataBar>
      <extLst>
        <ext xmlns:x14="http://schemas.microsoft.com/office/spreadsheetml/2009/9/main" uri="{B025F937-C7B1-47D3-B67F-A62EFF666E3E}">
          <x14:id>{94D3206B-643D-4F3B-ADA6-D7CCBD964CF6}</x14:id>
        </ext>
      </extLst>
    </cfRule>
  </conditionalFormatting>
  <conditionalFormatting sqref="J166:J179">
    <cfRule type="dataBar" priority="102">
      <dataBar>
        <cfvo type="min"/>
        <cfvo type="max"/>
        <color rgb="FF63C384"/>
      </dataBar>
      <extLst>
        <ext xmlns:x14="http://schemas.microsoft.com/office/spreadsheetml/2009/9/main" uri="{B025F937-C7B1-47D3-B67F-A62EFF666E3E}">
          <x14:id>{48D431FF-846D-4C2D-857E-E7D395E7CCB2}</x14:id>
        </ext>
      </extLst>
    </cfRule>
  </conditionalFormatting>
  <conditionalFormatting sqref="J183:J186">
    <cfRule type="dataBar" priority="98">
      <dataBar>
        <cfvo type="min"/>
        <cfvo type="max"/>
        <color rgb="FF63C384"/>
      </dataBar>
      <extLst>
        <ext xmlns:x14="http://schemas.microsoft.com/office/spreadsheetml/2009/9/main" uri="{B025F937-C7B1-47D3-B67F-A62EFF666E3E}">
          <x14:id>{9EEA2442-922A-4ADD-A712-04770677FAC6}</x14:id>
        </ext>
      </extLst>
    </cfRule>
  </conditionalFormatting>
  <conditionalFormatting sqref="J190:J206">
    <cfRule type="dataBar" priority="94">
      <dataBar>
        <cfvo type="min"/>
        <cfvo type="max"/>
        <color rgb="FF63C384"/>
      </dataBar>
      <extLst>
        <ext xmlns:x14="http://schemas.microsoft.com/office/spreadsheetml/2009/9/main" uri="{B025F937-C7B1-47D3-B67F-A62EFF666E3E}">
          <x14:id>{43F32FD2-5201-4BB2-9BE4-61B6B0425D67}</x14:id>
        </ext>
      </extLst>
    </cfRule>
  </conditionalFormatting>
  <conditionalFormatting sqref="J210:J220">
    <cfRule type="dataBar" priority="27">
      <dataBar>
        <cfvo type="min"/>
        <cfvo type="max"/>
        <color rgb="FF63C384"/>
      </dataBar>
      <extLst>
        <ext xmlns:x14="http://schemas.microsoft.com/office/spreadsheetml/2009/9/main" uri="{B025F937-C7B1-47D3-B67F-A62EFF666E3E}">
          <x14:id>{5A6D4CCE-5E47-46A7-AC72-3468AC98F0B2}</x14:id>
        </ext>
      </extLst>
    </cfRule>
  </conditionalFormatting>
  <conditionalFormatting sqref="J224:J235">
    <cfRule type="dataBar" priority="23">
      <dataBar>
        <cfvo type="min"/>
        <cfvo type="max"/>
        <color rgb="FF63C384"/>
      </dataBar>
      <extLst>
        <ext xmlns:x14="http://schemas.microsoft.com/office/spreadsheetml/2009/9/main" uri="{B025F937-C7B1-47D3-B67F-A62EFF666E3E}">
          <x14:id>{960D4062-5D88-4B2C-9FFD-0EC9C42055C6}</x14:id>
        </ext>
      </extLst>
    </cfRule>
  </conditionalFormatting>
  <conditionalFormatting sqref="J239:J251">
    <cfRule type="dataBar" priority="39">
      <dataBar>
        <cfvo type="min"/>
        <cfvo type="max"/>
        <color rgb="FF63C384"/>
      </dataBar>
      <extLst>
        <ext xmlns:x14="http://schemas.microsoft.com/office/spreadsheetml/2009/9/main" uri="{B025F937-C7B1-47D3-B67F-A62EFF666E3E}">
          <x14:id>{09C04D72-B49D-4D55-87CA-FA94F3DA95DA}</x14:id>
        </ext>
      </extLst>
    </cfRule>
  </conditionalFormatting>
  <conditionalFormatting sqref="J255:J271">
    <cfRule type="dataBar" priority="86">
      <dataBar>
        <cfvo type="min"/>
        <cfvo type="max"/>
        <color rgb="FF63C384"/>
      </dataBar>
      <extLst>
        <ext xmlns:x14="http://schemas.microsoft.com/office/spreadsheetml/2009/9/main" uri="{B025F937-C7B1-47D3-B67F-A62EFF666E3E}">
          <x14:id>{71BF1BB2-CFC2-4DE8-AE30-9802B2409938}</x14:id>
        </ext>
      </extLst>
    </cfRule>
  </conditionalFormatting>
  <conditionalFormatting sqref="J275:J284">
    <cfRule type="dataBar" priority="43">
      <dataBar>
        <cfvo type="min"/>
        <cfvo type="max"/>
        <color rgb="FF63C384"/>
      </dataBar>
      <extLst>
        <ext xmlns:x14="http://schemas.microsoft.com/office/spreadsheetml/2009/9/main" uri="{B025F937-C7B1-47D3-B67F-A62EFF666E3E}">
          <x14:id>{4AF93FE2-FD60-46BB-814E-7DAE3ACC709F}</x14:id>
        </ext>
      </extLst>
    </cfRule>
  </conditionalFormatting>
  <conditionalFormatting sqref="J288:J290">
    <cfRule type="dataBar" priority="47">
      <dataBar>
        <cfvo type="min"/>
        <cfvo type="max"/>
        <color rgb="FF63C384"/>
      </dataBar>
      <extLst>
        <ext xmlns:x14="http://schemas.microsoft.com/office/spreadsheetml/2009/9/main" uri="{B025F937-C7B1-47D3-B67F-A62EFF666E3E}">
          <x14:id>{56A2DD33-1F9F-4D17-A668-EF503122E6E8}</x14:id>
        </ext>
      </extLst>
    </cfRule>
  </conditionalFormatting>
  <conditionalFormatting sqref="J294:J300">
    <cfRule type="dataBar" priority="394">
      <dataBar>
        <cfvo type="min"/>
        <cfvo type="max"/>
        <color rgb="FF63C384"/>
      </dataBar>
      <extLst>
        <ext xmlns:x14="http://schemas.microsoft.com/office/spreadsheetml/2009/9/main" uri="{B025F937-C7B1-47D3-B67F-A62EFF666E3E}">
          <x14:id>{60303A8A-EB4B-4E5F-956D-9A0855BBE64C}</x14:id>
        </ext>
      </extLst>
    </cfRule>
  </conditionalFormatting>
  <conditionalFormatting sqref="J304:J320">
    <cfRule type="dataBar" priority="78">
      <dataBar>
        <cfvo type="min"/>
        <cfvo type="max"/>
        <color rgb="FF63C384"/>
      </dataBar>
      <extLst>
        <ext xmlns:x14="http://schemas.microsoft.com/office/spreadsheetml/2009/9/main" uri="{B025F937-C7B1-47D3-B67F-A62EFF666E3E}">
          <x14:id>{8D6D4588-EE7C-4CA8-B729-F34A8930B921}</x14:id>
        </ext>
      </extLst>
    </cfRule>
  </conditionalFormatting>
  <conditionalFormatting sqref="J324:J335">
    <cfRule type="dataBar" priority="421">
      <dataBar>
        <cfvo type="min"/>
        <cfvo type="max"/>
        <color rgb="FF63C384"/>
      </dataBar>
      <extLst>
        <ext xmlns:x14="http://schemas.microsoft.com/office/spreadsheetml/2009/9/main" uri="{B025F937-C7B1-47D3-B67F-A62EFF666E3E}">
          <x14:id>{FEDC23DF-6E2D-4A40-A317-D8E0AAD918C9}</x14:id>
        </ext>
      </extLst>
    </cfRule>
  </conditionalFormatting>
  <conditionalFormatting sqref="J338:J341">
    <cfRule type="dataBar" priority="59">
      <dataBar>
        <cfvo type="min"/>
        <cfvo type="max"/>
        <color rgb="FF63C384"/>
      </dataBar>
      <extLst>
        <ext xmlns:x14="http://schemas.microsoft.com/office/spreadsheetml/2009/9/main" uri="{B025F937-C7B1-47D3-B67F-A62EFF666E3E}">
          <x14:id>{80060E80-3D62-41A8-BC0C-F22BD6507AAB}</x14:id>
        </ext>
      </extLst>
    </cfRule>
  </conditionalFormatting>
  <conditionalFormatting sqref="J345:J354">
    <cfRule type="dataBar" priority="413">
      <dataBar>
        <cfvo type="min"/>
        <cfvo type="max"/>
        <color rgb="FF63C384"/>
      </dataBar>
      <extLst>
        <ext xmlns:x14="http://schemas.microsoft.com/office/spreadsheetml/2009/9/main" uri="{B025F937-C7B1-47D3-B67F-A62EFF666E3E}">
          <x14:id>{68928967-AE27-4C28-AF4B-CD539D1F58C6}</x14:id>
        </ext>
      </extLst>
    </cfRule>
  </conditionalFormatting>
  <conditionalFormatting sqref="J358:J373">
    <cfRule type="dataBar" priority="70">
      <dataBar>
        <cfvo type="min"/>
        <cfvo type="max"/>
        <color rgb="FF63C384"/>
      </dataBar>
      <extLst>
        <ext xmlns:x14="http://schemas.microsoft.com/office/spreadsheetml/2009/9/main" uri="{B025F937-C7B1-47D3-B67F-A62EFF666E3E}">
          <x14:id>{2DF75AD2-C042-4873-BE46-9ED7167C9C62}</x14:id>
        </ext>
      </extLst>
    </cfRule>
  </conditionalFormatting>
  <conditionalFormatting sqref="J374">
    <cfRule type="dataBar" priority="67">
      <dataBar>
        <cfvo type="min"/>
        <cfvo type="max"/>
        <color rgb="FF63C384"/>
      </dataBar>
      <extLst>
        <ext xmlns:x14="http://schemas.microsoft.com/office/spreadsheetml/2009/9/main" uri="{B025F937-C7B1-47D3-B67F-A62EFF666E3E}">
          <x14:id>{7B52A239-FF4D-46A0-98B7-AF4093BCF512}</x14:id>
        </ext>
      </extLst>
    </cfRule>
  </conditionalFormatting>
  <conditionalFormatting sqref="N49:N65">
    <cfRule type="dataBar" priority="16">
      <dataBar>
        <cfvo type="min"/>
        <cfvo type="max"/>
        <color rgb="FF63C384"/>
      </dataBar>
      <extLst>
        <ext xmlns:x14="http://schemas.microsoft.com/office/spreadsheetml/2009/9/main" uri="{B025F937-C7B1-47D3-B67F-A62EFF666E3E}">
          <x14:id>{4300687C-3358-479B-B00B-FF414BB7F0AA}</x14:id>
        </ext>
      </extLst>
    </cfRule>
  </conditionalFormatting>
  <conditionalFormatting sqref="N69:N79">
    <cfRule type="dataBar" priority="3">
      <dataBar>
        <cfvo type="min"/>
        <cfvo type="max"/>
        <color rgb="FF63C384"/>
      </dataBar>
      <extLst>
        <ext xmlns:x14="http://schemas.microsoft.com/office/spreadsheetml/2009/9/main" uri="{B025F937-C7B1-47D3-B67F-A62EFF666E3E}">
          <x14:id>{836E8271-C1A1-4302-AEC2-B08557EFA569}</x14:id>
        </ext>
      </extLst>
    </cfRule>
  </conditionalFormatting>
  <conditionalFormatting sqref="N83:N93">
    <cfRule type="dataBar" priority="2">
      <dataBar>
        <cfvo type="min"/>
        <cfvo type="max"/>
        <color rgb="FF63C384"/>
      </dataBar>
      <extLst>
        <ext xmlns:x14="http://schemas.microsoft.com/office/spreadsheetml/2009/9/main" uri="{B025F937-C7B1-47D3-B67F-A62EFF666E3E}">
          <x14:id>{071F852A-A850-4A58-BA79-79CFC02D1BC3}</x14:id>
        </ext>
      </extLst>
    </cfRule>
  </conditionalFormatting>
  <conditionalFormatting sqref="O49:O64">
    <cfRule type="dataBar" priority="15">
      <dataBar>
        <cfvo type="min"/>
        <cfvo type="max"/>
        <color rgb="FF638EC6"/>
      </dataBar>
      <extLst>
        <ext xmlns:x14="http://schemas.microsoft.com/office/spreadsheetml/2009/9/main" uri="{B025F937-C7B1-47D3-B67F-A62EFF666E3E}">
          <x14:id>{239E09B2-3123-414A-BFD4-5F7341DD4D10}</x14:id>
        </ext>
      </extLst>
    </cfRule>
  </conditionalFormatting>
  <conditionalFormatting sqref="O69:O78">
    <cfRule type="dataBar" priority="430">
      <dataBar>
        <cfvo type="min"/>
        <cfvo type="max"/>
        <color rgb="FF638EC6"/>
      </dataBar>
      <extLst>
        <ext xmlns:x14="http://schemas.microsoft.com/office/spreadsheetml/2009/9/main" uri="{B025F937-C7B1-47D3-B67F-A62EFF666E3E}">
          <x14:id>{CBEF60C8-68C5-4E28-B7D3-E2B200145DDD}</x14:id>
        </ext>
      </extLst>
    </cfRule>
  </conditionalFormatting>
  <conditionalFormatting sqref="O83:O92">
    <cfRule type="dataBar" priority="5">
      <dataBar>
        <cfvo type="min"/>
        <cfvo type="max"/>
        <color rgb="FF638EC6"/>
      </dataBar>
      <extLst>
        <ext xmlns:x14="http://schemas.microsoft.com/office/spreadsheetml/2009/9/main" uri="{B025F937-C7B1-47D3-B67F-A62EFF666E3E}">
          <x14:id>{85D56FC2-291D-4776-8B84-D2FABF6202A2}</x14:id>
        </ext>
      </extLst>
    </cfRule>
  </conditionalFormatting>
  <hyperlinks>
    <hyperlink ref="A507" location="Índice!C1" display="Volver al ïndice" xr:uid="{00000000-0004-0000-0900-000000000000}"/>
  </hyperlink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06FD67B3-0408-401A-973B-65016D3B9D1C}">
            <x14:dataBar minLength="0" maxLength="100" border="1" negativeBarBorderColorSameAsPositive="0">
              <x14:cfvo type="autoMin"/>
              <x14:cfvo type="autoMax"/>
              <x14:borderColor rgb="FF63C384"/>
              <x14:negativeFillColor rgb="FFFF0000"/>
              <x14:negativeBorderColor rgb="FFFF0000"/>
              <x14:axisColor rgb="FF000000"/>
            </x14:dataBar>
          </x14:cfRule>
          <xm:sqref>D378:D503</xm:sqref>
        </x14:conditionalFormatting>
        <x14:conditionalFormatting xmlns:xm="http://schemas.microsoft.com/office/excel/2006/main">
          <x14:cfRule type="dataBar" id="{A246AF8D-9594-46AF-B8AD-AB0D7B0F6809}">
            <x14:dataBar minLength="0" maxLength="100" border="1" negativeBarBorderColorSameAsPositive="0">
              <x14:cfvo type="autoMin"/>
              <x14:cfvo type="autoMax"/>
              <x14:borderColor rgb="FF638EC6"/>
              <x14:negativeFillColor rgb="FFFF0000"/>
              <x14:negativeBorderColor rgb="FFFF0000"/>
              <x14:axisColor rgb="FF000000"/>
            </x14:dataBar>
          </x14:cfRule>
          <xm:sqref>E378:E502</xm:sqref>
        </x14:conditionalFormatting>
        <x14:conditionalFormatting xmlns:xm="http://schemas.microsoft.com/office/excel/2006/main">
          <x14:cfRule type="dataBar" id="{1E17146D-AC56-406F-B3B8-AC01CDF17B7C}">
            <x14:dataBar minLength="0" maxLength="100" border="1" negativeBarBorderColorSameAsPositive="0">
              <x14:cfvo type="autoMin"/>
              <x14:cfvo type="autoMax"/>
              <x14:borderColor rgb="FF63C384"/>
              <x14:negativeFillColor rgb="FFFF0000"/>
              <x14:negativeBorderColor rgb="FFFF0000"/>
              <x14:axisColor rgb="FF000000"/>
            </x14:dataBar>
          </x14:cfRule>
          <xm:sqref>E111:G120</xm:sqref>
        </x14:conditionalFormatting>
        <x14:conditionalFormatting xmlns:xm="http://schemas.microsoft.com/office/excel/2006/main">
          <x14:cfRule type="dataBar" id="{9AC61A6E-D244-4AA6-995E-2EDA93D50882}">
            <x14:dataBar minLength="0" maxLength="100" border="1" negativeBarBorderColorSameAsPositive="0">
              <x14:cfvo type="autoMin"/>
              <x14:cfvo type="autoMax"/>
              <x14:borderColor rgb="FF63C384"/>
              <x14:negativeFillColor rgb="FFFF0000"/>
              <x14:negativeBorderColor rgb="FFFF0000"/>
              <x14:axisColor rgb="FF000000"/>
            </x14:dataBar>
          </x14:cfRule>
          <xm:sqref>F7:I16</xm:sqref>
        </x14:conditionalFormatting>
        <x14:conditionalFormatting xmlns:xm="http://schemas.microsoft.com/office/excel/2006/main">
          <x14:cfRule type="dataBar" id="{3026485D-050E-43B7-9FB5-F866AF51FDDB}">
            <x14:dataBar minLength="0" maxLength="100" border="1" negativeBarBorderColorSameAsPositive="0">
              <x14:cfvo type="autoMin"/>
              <x14:cfvo type="autoMax"/>
              <x14:borderColor rgb="FF63C384"/>
              <x14:negativeFillColor rgb="FFFF0000"/>
              <x14:negativeBorderColor rgb="FFFF0000"/>
              <x14:axisColor rgb="FF000000"/>
            </x14:dataBar>
          </x14:cfRule>
          <xm:sqref>F17:I17</xm:sqref>
        </x14:conditionalFormatting>
        <x14:conditionalFormatting xmlns:xm="http://schemas.microsoft.com/office/excel/2006/main">
          <x14:cfRule type="dataBar" id="{50539A89-DE5A-406A-A497-8D872FADEF21}">
            <x14:dataBar minLength="0" maxLength="100" border="1" negativeBarBorderColorSameAsPositive="0">
              <x14:cfvo type="autoMin"/>
              <x14:cfvo type="autoMax"/>
              <x14:borderColor rgb="FF63C384"/>
              <x14:negativeFillColor rgb="FFFF0000"/>
              <x14:negativeBorderColor rgb="FFFF0000"/>
              <x14:axisColor rgb="FF000000"/>
            </x14:dataBar>
          </x14:cfRule>
          <xm:sqref>F21:I31</xm:sqref>
        </x14:conditionalFormatting>
        <x14:conditionalFormatting xmlns:xm="http://schemas.microsoft.com/office/excel/2006/main">
          <x14:cfRule type="dataBar" id="{EE6A595B-ED9D-4BCF-B858-0B86FD3381B8}">
            <x14:dataBar minLength="0" maxLength="100" border="1" negativeBarBorderColorSameAsPositive="0">
              <x14:cfvo type="autoMin"/>
              <x14:cfvo type="autoMax"/>
              <x14:borderColor rgb="FF63C384"/>
              <x14:negativeFillColor rgb="FFFF0000"/>
              <x14:negativeBorderColor rgb="FFFF0000"/>
              <x14:axisColor rgb="FF000000"/>
            </x14:dataBar>
          </x14:cfRule>
          <xm:sqref>F35:I45</xm:sqref>
        </x14:conditionalFormatting>
        <x14:conditionalFormatting xmlns:xm="http://schemas.microsoft.com/office/excel/2006/main">
          <x14:cfRule type="dataBar" id="{0369480B-1720-41DA-BCDC-6F7548B37ABB}">
            <x14:dataBar minLength="0" maxLength="100" border="1" negativeBarBorderColorSameAsPositive="0">
              <x14:cfvo type="autoMin"/>
              <x14:cfvo type="autoMax"/>
              <x14:borderColor rgb="FF63C384"/>
              <x14:negativeFillColor rgb="FFFF0000"/>
              <x14:negativeBorderColor rgb="FFFF0000"/>
              <x14:axisColor rgb="FF000000"/>
            </x14:dataBar>
          </x14:cfRule>
          <xm:sqref>F124:I134</xm:sqref>
        </x14:conditionalFormatting>
        <x14:conditionalFormatting xmlns:xm="http://schemas.microsoft.com/office/excel/2006/main">
          <x14:cfRule type="dataBar" id="{9AC3C8C2-24FE-47B9-98D7-2D9550A48F21}">
            <x14:dataBar minLength="0" maxLength="100" border="1" negativeBarBorderColorSameAsPositive="0">
              <x14:cfvo type="autoMin"/>
              <x14:cfvo type="autoMax"/>
              <x14:borderColor rgb="FF63C384"/>
              <x14:negativeFillColor rgb="FFFF0000"/>
              <x14:negativeBorderColor rgb="FFFF0000"/>
              <x14:axisColor rgb="FF000000"/>
            </x14:dataBar>
          </x14:cfRule>
          <xm:sqref>H97:M107</xm:sqref>
        </x14:conditionalFormatting>
        <x14:conditionalFormatting xmlns:xm="http://schemas.microsoft.com/office/excel/2006/main">
          <x14:cfRule type="dataBar" id="{4F7B97DF-2E45-460D-8F14-7B8AF29E1688}">
            <x14:dataBar minLength="0" maxLength="100" border="1" negativeBarBorderColorSameAsPositive="0">
              <x14:cfvo type="autoMin"/>
              <x14:cfvo type="autoMax"/>
              <x14:borderColor rgb="FF63C384"/>
              <x14:negativeFillColor rgb="FFFF0000"/>
              <x14:negativeBorderColor rgb="FFFF0000"/>
              <x14:axisColor rgb="FF000000"/>
            </x14:dataBar>
          </x14:cfRule>
          <xm:sqref>I7:I16</xm:sqref>
        </x14:conditionalFormatting>
        <x14:conditionalFormatting xmlns:xm="http://schemas.microsoft.com/office/excel/2006/main">
          <x14:cfRule type="dataBar" id="{549BD7F8-54F7-4B69-87FE-A61967955688}">
            <x14:dataBar minLength="0" maxLength="100" border="1" negativeBarBorderColorSameAsPositive="0">
              <x14:cfvo type="autoMin"/>
              <x14:cfvo type="autoMax"/>
              <x14:borderColor rgb="FF638EC6"/>
              <x14:negativeFillColor rgb="FFFF0000"/>
              <x14:negativeBorderColor rgb="FFFF0000"/>
              <x14:axisColor rgb="FF000000"/>
            </x14:dataBar>
          </x14:cfRule>
          <xm:sqref>I138:I147</xm:sqref>
        </x14:conditionalFormatting>
        <x14:conditionalFormatting xmlns:xm="http://schemas.microsoft.com/office/excel/2006/main">
          <x14:cfRule type="dataBar" id="{C4AF55A9-5B30-4C64-BC85-BFF9479B05A1}">
            <x14:dataBar minLength="0" maxLength="100" border="1" negativeBarBorderColorSameAsPositive="0">
              <x14:cfvo type="autoMin"/>
              <x14:cfvo type="autoMax"/>
              <x14:borderColor rgb="FF638EC6"/>
              <x14:negativeFillColor rgb="FFFF0000"/>
              <x14:negativeBorderColor rgb="FFFF0000"/>
              <x14:axisColor rgb="FF000000"/>
            </x14:dataBar>
          </x14:cfRule>
          <xm:sqref>I152:I161</xm:sqref>
        </x14:conditionalFormatting>
        <x14:conditionalFormatting xmlns:xm="http://schemas.microsoft.com/office/excel/2006/main">
          <x14:cfRule type="dataBar" id="{24847AAE-F512-42FF-A6D4-79481F95416F}">
            <x14:dataBar minLength="0" maxLength="100" border="1" negativeBarBorderColorSameAsPositive="0">
              <x14:cfvo type="autoMin"/>
              <x14:cfvo type="autoMax"/>
              <x14:borderColor rgb="FF638EC6"/>
              <x14:negativeFillColor rgb="FFFF0000"/>
              <x14:negativeBorderColor rgb="FFFF0000"/>
              <x14:axisColor rgb="FF000000"/>
            </x14:dataBar>
          </x14:cfRule>
          <xm:sqref>I166:I178</xm:sqref>
        </x14:conditionalFormatting>
        <x14:conditionalFormatting xmlns:xm="http://schemas.microsoft.com/office/excel/2006/main">
          <x14:cfRule type="dataBar" id="{D40C2903-49B7-4E7E-A64F-A21E6C193F3C}">
            <x14:dataBar minLength="0" maxLength="100" border="1" negativeBarBorderColorSameAsPositive="0">
              <x14:cfvo type="autoMin"/>
              <x14:cfvo type="autoMax"/>
              <x14:borderColor rgb="FF638EC6"/>
              <x14:negativeFillColor rgb="FFFF0000"/>
              <x14:negativeBorderColor rgb="FFFF0000"/>
              <x14:axisColor rgb="FF000000"/>
            </x14:dataBar>
          </x14:cfRule>
          <xm:sqref>I183:I185</xm:sqref>
        </x14:conditionalFormatting>
        <x14:conditionalFormatting xmlns:xm="http://schemas.microsoft.com/office/excel/2006/main">
          <x14:cfRule type="dataBar" id="{00404AC9-C4B6-4101-A238-2A871B423FC1}">
            <x14:dataBar minLength="0" maxLength="100" border="1" negativeBarBorderColorSameAsPositive="0">
              <x14:cfvo type="autoMin"/>
              <x14:cfvo type="autoMax"/>
              <x14:borderColor rgb="FF638EC6"/>
              <x14:negativeFillColor rgb="FFFF0000"/>
              <x14:negativeBorderColor rgb="FFFF0000"/>
              <x14:axisColor rgb="FF000000"/>
            </x14:dataBar>
          </x14:cfRule>
          <xm:sqref>I190:I205</xm:sqref>
        </x14:conditionalFormatting>
        <x14:conditionalFormatting xmlns:xm="http://schemas.microsoft.com/office/excel/2006/main">
          <x14:cfRule type="dataBar" id="{FFEB46AC-4F0C-4AF6-9FE8-ADDC72A5D5DF}">
            <x14:dataBar minLength="0" maxLength="100" border="1" negativeBarBorderColorSameAsPositive="0">
              <x14:cfvo type="autoMin"/>
              <x14:cfvo type="autoMax"/>
              <x14:borderColor rgb="FF638EC6"/>
              <x14:negativeFillColor rgb="FFFF0000"/>
              <x14:negativeBorderColor rgb="FFFF0000"/>
              <x14:axisColor rgb="FF000000"/>
            </x14:dataBar>
          </x14:cfRule>
          <xm:sqref>I210:I219</xm:sqref>
        </x14:conditionalFormatting>
        <x14:conditionalFormatting xmlns:xm="http://schemas.microsoft.com/office/excel/2006/main">
          <x14:cfRule type="dataBar" id="{2A3BBB67-739C-451F-B78B-9126119B8CE7}">
            <x14:dataBar minLength="0" maxLength="100" border="1" negativeBarBorderColorSameAsPositive="0">
              <x14:cfvo type="autoMin"/>
              <x14:cfvo type="autoMax"/>
              <x14:borderColor rgb="FF638EC6"/>
              <x14:negativeFillColor rgb="FFFF0000"/>
              <x14:negativeBorderColor rgb="FFFF0000"/>
              <x14:axisColor rgb="FF000000"/>
            </x14:dataBar>
          </x14:cfRule>
          <xm:sqref>I224:I234</xm:sqref>
        </x14:conditionalFormatting>
        <x14:conditionalFormatting xmlns:xm="http://schemas.microsoft.com/office/excel/2006/main">
          <x14:cfRule type="dataBar" id="{C17C0FCB-EE54-4CF3-8794-2E56CBB4D896}">
            <x14:dataBar minLength="0" maxLength="100" border="1" negativeBarBorderColorSameAsPositive="0">
              <x14:cfvo type="autoMin"/>
              <x14:cfvo type="autoMax"/>
              <x14:borderColor rgb="FF638EC6"/>
              <x14:negativeFillColor rgb="FFFF0000"/>
              <x14:negativeBorderColor rgb="FFFF0000"/>
              <x14:axisColor rgb="FF000000"/>
            </x14:dataBar>
          </x14:cfRule>
          <xm:sqref>I239:I250</xm:sqref>
        </x14:conditionalFormatting>
        <x14:conditionalFormatting xmlns:xm="http://schemas.microsoft.com/office/excel/2006/main">
          <x14:cfRule type="dataBar" id="{5720D051-3F8C-480B-9747-A7A61FC7022A}">
            <x14:dataBar minLength="0" maxLength="100" border="1" negativeBarBorderColorSameAsPositive="0">
              <x14:cfvo type="autoMin"/>
              <x14:cfvo type="autoMax"/>
              <x14:borderColor rgb="FF638EC6"/>
              <x14:negativeFillColor rgb="FFFF0000"/>
              <x14:negativeBorderColor rgb="FFFF0000"/>
              <x14:axisColor rgb="FF000000"/>
            </x14:dataBar>
          </x14:cfRule>
          <xm:sqref>I255:I270</xm:sqref>
        </x14:conditionalFormatting>
        <x14:conditionalFormatting xmlns:xm="http://schemas.microsoft.com/office/excel/2006/main">
          <x14:cfRule type="dataBar" id="{DAD9509F-5CEA-465F-BDA0-69CE04E63511}">
            <x14:dataBar minLength="0" maxLength="100" border="1" negativeBarBorderColorSameAsPositive="0">
              <x14:cfvo type="autoMin"/>
              <x14:cfvo type="autoMax"/>
              <x14:borderColor rgb="FF638EC6"/>
              <x14:negativeFillColor rgb="FFFF0000"/>
              <x14:negativeBorderColor rgb="FFFF0000"/>
              <x14:axisColor rgb="FF000000"/>
            </x14:dataBar>
          </x14:cfRule>
          <xm:sqref>I275:I283</xm:sqref>
        </x14:conditionalFormatting>
        <x14:conditionalFormatting xmlns:xm="http://schemas.microsoft.com/office/excel/2006/main">
          <x14:cfRule type="dataBar" id="{56B14CA4-1A3B-435E-B613-D9E82A063EA1}">
            <x14:dataBar minLength="0" maxLength="100" border="1" negativeBarBorderColorSameAsPositive="0">
              <x14:cfvo type="autoMin"/>
              <x14:cfvo type="autoMax"/>
              <x14:borderColor rgb="FF638EC6"/>
              <x14:negativeFillColor rgb="FFFF0000"/>
              <x14:negativeBorderColor rgb="FFFF0000"/>
              <x14:axisColor rgb="FF000000"/>
            </x14:dataBar>
          </x14:cfRule>
          <xm:sqref>I288:I289</xm:sqref>
        </x14:conditionalFormatting>
        <x14:conditionalFormatting xmlns:xm="http://schemas.microsoft.com/office/excel/2006/main">
          <x14:cfRule type="dataBar" id="{1FA4D0F3-F4F0-4E1A-85E0-CC61D940452C}">
            <x14:dataBar minLength="0" maxLength="100" border="1" negativeBarBorderColorSameAsPositive="0">
              <x14:cfvo type="autoMin"/>
              <x14:cfvo type="autoMax"/>
              <x14:borderColor rgb="FF638EC6"/>
              <x14:negativeFillColor rgb="FFFF0000"/>
              <x14:negativeBorderColor rgb="FFFF0000"/>
              <x14:axisColor rgb="FF000000"/>
            </x14:dataBar>
          </x14:cfRule>
          <xm:sqref>I294:I299</xm:sqref>
        </x14:conditionalFormatting>
        <x14:conditionalFormatting xmlns:xm="http://schemas.microsoft.com/office/excel/2006/main">
          <x14:cfRule type="dataBar" id="{0458D825-663F-450D-9FFA-B60656EEC44E}">
            <x14:dataBar minLength="0" maxLength="100" border="1" negativeBarBorderColorSameAsPositive="0">
              <x14:cfvo type="autoMin"/>
              <x14:cfvo type="autoMax"/>
              <x14:borderColor rgb="FF638EC6"/>
              <x14:negativeFillColor rgb="FFFF0000"/>
              <x14:negativeBorderColor rgb="FFFF0000"/>
              <x14:axisColor rgb="FF000000"/>
            </x14:dataBar>
          </x14:cfRule>
          <xm:sqref>I304:I319</xm:sqref>
        </x14:conditionalFormatting>
        <x14:conditionalFormatting xmlns:xm="http://schemas.microsoft.com/office/excel/2006/main">
          <x14:cfRule type="dataBar" id="{E28F2677-80EF-45E8-A1B9-8B80D8D0CABD}">
            <x14:dataBar minLength="0" maxLength="100" border="1" negativeBarBorderColorSameAsPositive="0">
              <x14:cfvo type="autoMin"/>
              <x14:cfvo type="autoMax"/>
              <x14:borderColor rgb="FF638EC6"/>
              <x14:negativeFillColor rgb="FFFF0000"/>
              <x14:negativeBorderColor rgb="FFFF0000"/>
              <x14:axisColor rgb="FF000000"/>
            </x14:dataBar>
          </x14:cfRule>
          <xm:sqref>I324:I333 I335</xm:sqref>
        </x14:conditionalFormatting>
        <x14:conditionalFormatting xmlns:xm="http://schemas.microsoft.com/office/excel/2006/main">
          <x14:cfRule type="dataBar" id="{A05FCCBD-6697-45FF-B992-B75A8C5202CE}">
            <x14:dataBar minLength="0" maxLength="100" border="1" negativeBarBorderColorSameAsPositive="0">
              <x14:cfvo type="autoMin"/>
              <x14:cfvo type="autoMax"/>
              <x14:borderColor rgb="FF638EC6"/>
              <x14:negativeFillColor rgb="FFFF0000"/>
              <x14:negativeBorderColor rgb="FFFF0000"/>
              <x14:axisColor rgb="FF000000"/>
            </x14:dataBar>
          </x14:cfRule>
          <xm:sqref>I338:I340</xm:sqref>
        </x14:conditionalFormatting>
        <x14:conditionalFormatting xmlns:xm="http://schemas.microsoft.com/office/excel/2006/main">
          <x14:cfRule type="dataBar" id="{CC8CDAC0-0DEA-4EA9-B3FA-3B8B2EFF4ACA}">
            <x14:dataBar minLength="0" maxLength="100" border="1" negativeBarBorderColorSameAsPositive="0">
              <x14:cfvo type="autoMin"/>
              <x14:cfvo type="autoMax"/>
              <x14:borderColor rgb="FF638EC6"/>
              <x14:negativeFillColor rgb="FFFF0000"/>
              <x14:negativeBorderColor rgb="FFFF0000"/>
              <x14:axisColor rgb="FF000000"/>
            </x14:dataBar>
          </x14:cfRule>
          <xm:sqref>I345:I353</xm:sqref>
        </x14:conditionalFormatting>
        <x14:conditionalFormatting xmlns:xm="http://schemas.microsoft.com/office/excel/2006/main">
          <x14:cfRule type="dataBar" id="{C5ECAD7C-208C-4534-B464-E4C5405318D8}">
            <x14:dataBar minLength="0" maxLength="100" border="1" negativeBarBorderColorSameAsPositive="0">
              <x14:cfvo type="autoMin"/>
              <x14:cfvo type="autoMax"/>
              <x14:borderColor rgb="FF638EC6"/>
              <x14:negativeFillColor rgb="FFFF0000"/>
              <x14:negativeBorderColor rgb="FFFF0000"/>
              <x14:axisColor rgb="FF000000"/>
            </x14:dataBar>
          </x14:cfRule>
          <xm:sqref>I358:I373</xm:sqref>
        </x14:conditionalFormatting>
        <x14:conditionalFormatting xmlns:xm="http://schemas.microsoft.com/office/excel/2006/main">
          <x14:cfRule type="dataBar" id="{7931C306-4C3D-4916-ADEB-3D939FC7BCBC}">
            <x14:dataBar minLength="0" maxLength="100" border="1" negativeBarBorderColorSameAsPositive="0">
              <x14:cfvo type="autoMin"/>
              <x14:cfvo type="autoMax"/>
              <x14:borderColor rgb="FF63C384"/>
              <x14:negativeFillColor rgb="FFFF0000"/>
              <x14:negativeBorderColor rgb="FFFF0000"/>
              <x14:axisColor rgb="FF000000"/>
            </x14:dataBar>
          </x14:cfRule>
          <xm:sqref>J138:J148</xm:sqref>
        </x14:conditionalFormatting>
        <x14:conditionalFormatting xmlns:xm="http://schemas.microsoft.com/office/excel/2006/main">
          <x14:cfRule type="dataBar" id="{94D3206B-643D-4F3B-ADA6-D7CCBD964CF6}">
            <x14:dataBar minLength="0" maxLength="100" border="1" negativeBarBorderColorSameAsPositive="0">
              <x14:cfvo type="autoMin"/>
              <x14:cfvo type="autoMax"/>
              <x14:borderColor rgb="FF63C384"/>
              <x14:negativeFillColor rgb="FFFF0000"/>
              <x14:negativeBorderColor rgb="FFFF0000"/>
              <x14:axisColor rgb="FF000000"/>
            </x14:dataBar>
          </x14:cfRule>
          <xm:sqref>J152:J162</xm:sqref>
        </x14:conditionalFormatting>
        <x14:conditionalFormatting xmlns:xm="http://schemas.microsoft.com/office/excel/2006/main">
          <x14:cfRule type="dataBar" id="{48D431FF-846D-4C2D-857E-E7D395E7CCB2}">
            <x14:dataBar minLength="0" maxLength="100" border="1" negativeBarBorderColorSameAsPositive="0">
              <x14:cfvo type="autoMin"/>
              <x14:cfvo type="autoMax"/>
              <x14:borderColor rgb="FF63C384"/>
              <x14:negativeFillColor rgb="FFFF0000"/>
              <x14:negativeBorderColor rgb="FFFF0000"/>
              <x14:axisColor rgb="FF000000"/>
            </x14:dataBar>
          </x14:cfRule>
          <xm:sqref>J166:J179</xm:sqref>
        </x14:conditionalFormatting>
        <x14:conditionalFormatting xmlns:xm="http://schemas.microsoft.com/office/excel/2006/main">
          <x14:cfRule type="dataBar" id="{9EEA2442-922A-4ADD-A712-04770677FAC6}">
            <x14:dataBar minLength="0" maxLength="100" border="1" negativeBarBorderColorSameAsPositive="0">
              <x14:cfvo type="autoMin"/>
              <x14:cfvo type="autoMax"/>
              <x14:borderColor rgb="FF63C384"/>
              <x14:negativeFillColor rgb="FFFF0000"/>
              <x14:negativeBorderColor rgb="FFFF0000"/>
              <x14:axisColor rgb="FF000000"/>
            </x14:dataBar>
          </x14:cfRule>
          <xm:sqref>J183:J186</xm:sqref>
        </x14:conditionalFormatting>
        <x14:conditionalFormatting xmlns:xm="http://schemas.microsoft.com/office/excel/2006/main">
          <x14:cfRule type="dataBar" id="{43F32FD2-5201-4BB2-9BE4-61B6B0425D67}">
            <x14:dataBar minLength="0" maxLength="100" border="1" negativeBarBorderColorSameAsPositive="0">
              <x14:cfvo type="autoMin"/>
              <x14:cfvo type="autoMax"/>
              <x14:borderColor rgb="FF63C384"/>
              <x14:negativeFillColor rgb="FFFF0000"/>
              <x14:negativeBorderColor rgb="FFFF0000"/>
              <x14:axisColor rgb="FF000000"/>
            </x14:dataBar>
          </x14:cfRule>
          <xm:sqref>J190:J206</xm:sqref>
        </x14:conditionalFormatting>
        <x14:conditionalFormatting xmlns:xm="http://schemas.microsoft.com/office/excel/2006/main">
          <x14:cfRule type="dataBar" id="{5A6D4CCE-5E47-46A7-AC72-3468AC98F0B2}">
            <x14:dataBar minLength="0" maxLength="100" border="1" negativeBarBorderColorSameAsPositive="0">
              <x14:cfvo type="autoMin"/>
              <x14:cfvo type="autoMax"/>
              <x14:borderColor rgb="FF63C384"/>
              <x14:negativeFillColor rgb="FFFF0000"/>
              <x14:negativeBorderColor rgb="FFFF0000"/>
              <x14:axisColor rgb="FF000000"/>
            </x14:dataBar>
          </x14:cfRule>
          <xm:sqref>J210:J220</xm:sqref>
        </x14:conditionalFormatting>
        <x14:conditionalFormatting xmlns:xm="http://schemas.microsoft.com/office/excel/2006/main">
          <x14:cfRule type="dataBar" id="{960D4062-5D88-4B2C-9FFD-0EC9C42055C6}">
            <x14:dataBar minLength="0" maxLength="100" border="1" negativeBarBorderColorSameAsPositive="0">
              <x14:cfvo type="autoMin"/>
              <x14:cfvo type="autoMax"/>
              <x14:borderColor rgb="FF63C384"/>
              <x14:negativeFillColor rgb="FFFF0000"/>
              <x14:negativeBorderColor rgb="FFFF0000"/>
              <x14:axisColor rgb="FF000000"/>
            </x14:dataBar>
          </x14:cfRule>
          <xm:sqref>J224:J235</xm:sqref>
        </x14:conditionalFormatting>
        <x14:conditionalFormatting xmlns:xm="http://schemas.microsoft.com/office/excel/2006/main">
          <x14:cfRule type="dataBar" id="{09C04D72-B49D-4D55-87CA-FA94F3DA95DA}">
            <x14:dataBar minLength="0" maxLength="100" border="1" negativeBarBorderColorSameAsPositive="0">
              <x14:cfvo type="autoMin"/>
              <x14:cfvo type="autoMax"/>
              <x14:borderColor rgb="FF63C384"/>
              <x14:negativeFillColor rgb="FFFF0000"/>
              <x14:negativeBorderColor rgb="FFFF0000"/>
              <x14:axisColor rgb="FF000000"/>
            </x14:dataBar>
          </x14:cfRule>
          <xm:sqref>J239:J251</xm:sqref>
        </x14:conditionalFormatting>
        <x14:conditionalFormatting xmlns:xm="http://schemas.microsoft.com/office/excel/2006/main">
          <x14:cfRule type="dataBar" id="{71BF1BB2-CFC2-4DE8-AE30-9802B2409938}">
            <x14:dataBar minLength="0" maxLength="100" border="1" negativeBarBorderColorSameAsPositive="0">
              <x14:cfvo type="autoMin"/>
              <x14:cfvo type="autoMax"/>
              <x14:borderColor rgb="FF63C384"/>
              <x14:negativeFillColor rgb="FFFF0000"/>
              <x14:negativeBorderColor rgb="FFFF0000"/>
              <x14:axisColor rgb="FF000000"/>
            </x14:dataBar>
          </x14:cfRule>
          <xm:sqref>J255:J271</xm:sqref>
        </x14:conditionalFormatting>
        <x14:conditionalFormatting xmlns:xm="http://schemas.microsoft.com/office/excel/2006/main">
          <x14:cfRule type="dataBar" id="{4AF93FE2-FD60-46BB-814E-7DAE3ACC709F}">
            <x14:dataBar minLength="0" maxLength="100" border="1" negativeBarBorderColorSameAsPositive="0">
              <x14:cfvo type="autoMin"/>
              <x14:cfvo type="autoMax"/>
              <x14:borderColor rgb="FF63C384"/>
              <x14:negativeFillColor rgb="FFFF0000"/>
              <x14:negativeBorderColor rgb="FFFF0000"/>
              <x14:axisColor rgb="FF000000"/>
            </x14:dataBar>
          </x14:cfRule>
          <xm:sqref>J275:J284</xm:sqref>
        </x14:conditionalFormatting>
        <x14:conditionalFormatting xmlns:xm="http://schemas.microsoft.com/office/excel/2006/main">
          <x14:cfRule type="dataBar" id="{56A2DD33-1F9F-4D17-A668-EF503122E6E8}">
            <x14:dataBar minLength="0" maxLength="100" border="1" negativeBarBorderColorSameAsPositive="0">
              <x14:cfvo type="autoMin"/>
              <x14:cfvo type="autoMax"/>
              <x14:borderColor rgb="FF63C384"/>
              <x14:negativeFillColor rgb="FFFF0000"/>
              <x14:negativeBorderColor rgb="FFFF0000"/>
              <x14:axisColor rgb="FF000000"/>
            </x14:dataBar>
          </x14:cfRule>
          <xm:sqref>J288:J290</xm:sqref>
        </x14:conditionalFormatting>
        <x14:conditionalFormatting xmlns:xm="http://schemas.microsoft.com/office/excel/2006/main">
          <x14:cfRule type="dataBar" id="{60303A8A-EB4B-4E5F-956D-9A0855BBE64C}">
            <x14:dataBar minLength="0" maxLength="100" border="1" negativeBarBorderColorSameAsPositive="0">
              <x14:cfvo type="autoMin"/>
              <x14:cfvo type="autoMax"/>
              <x14:borderColor rgb="FF63C384"/>
              <x14:negativeFillColor rgb="FFFF0000"/>
              <x14:negativeBorderColor rgb="FFFF0000"/>
              <x14:axisColor rgb="FF000000"/>
            </x14:dataBar>
          </x14:cfRule>
          <xm:sqref>J294:J300</xm:sqref>
        </x14:conditionalFormatting>
        <x14:conditionalFormatting xmlns:xm="http://schemas.microsoft.com/office/excel/2006/main">
          <x14:cfRule type="dataBar" id="{8D6D4588-EE7C-4CA8-B729-F34A8930B921}">
            <x14:dataBar minLength="0" maxLength="100" border="1" negativeBarBorderColorSameAsPositive="0">
              <x14:cfvo type="autoMin"/>
              <x14:cfvo type="autoMax"/>
              <x14:borderColor rgb="FF63C384"/>
              <x14:negativeFillColor rgb="FFFF0000"/>
              <x14:negativeBorderColor rgb="FFFF0000"/>
              <x14:axisColor rgb="FF000000"/>
            </x14:dataBar>
          </x14:cfRule>
          <xm:sqref>J304:J320</xm:sqref>
        </x14:conditionalFormatting>
        <x14:conditionalFormatting xmlns:xm="http://schemas.microsoft.com/office/excel/2006/main">
          <x14:cfRule type="dataBar" id="{FEDC23DF-6E2D-4A40-A317-D8E0AAD918C9}">
            <x14:dataBar minLength="0" maxLength="100" border="1" negativeBarBorderColorSameAsPositive="0">
              <x14:cfvo type="autoMin"/>
              <x14:cfvo type="autoMax"/>
              <x14:borderColor rgb="FF63C384"/>
              <x14:negativeFillColor rgb="FFFF0000"/>
              <x14:negativeBorderColor rgb="FFFF0000"/>
              <x14:axisColor rgb="FF000000"/>
            </x14:dataBar>
          </x14:cfRule>
          <xm:sqref>J324:J335</xm:sqref>
        </x14:conditionalFormatting>
        <x14:conditionalFormatting xmlns:xm="http://schemas.microsoft.com/office/excel/2006/main">
          <x14:cfRule type="dataBar" id="{80060E80-3D62-41A8-BC0C-F22BD6507AAB}">
            <x14:dataBar minLength="0" maxLength="100" border="1" negativeBarBorderColorSameAsPositive="0">
              <x14:cfvo type="autoMin"/>
              <x14:cfvo type="autoMax"/>
              <x14:borderColor rgb="FF63C384"/>
              <x14:negativeFillColor rgb="FFFF0000"/>
              <x14:negativeBorderColor rgb="FFFF0000"/>
              <x14:axisColor rgb="FF000000"/>
            </x14:dataBar>
          </x14:cfRule>
          <xm:sqref>J338:J341</xm:sqref>
        </x14:conditionalFormatting>
        <x14:conditionalFormatting xmlns:xm="http://schemas.microsoft.com/office/excel/2006/main">
          <x14:cfRule type="dataBar" id="{68928967-AE27-4C28-AF4B-CD539D1F58C6}">
            <x14:dataBar minLength="0" maxLength="100" border="1" negativeBarBorderColorSameAsPositive="0">
              <x14:cfvo type="autoMin"/>
              <x14:cfvo type="autoMax"/>
              <x14:borderColor rgb="FF63C384"/>
              <x14:negativeFillColor rgb="FFFF0000"/>
              <x14:negativeBorderColor rgb="FFFF0000"/>
              <x14:axisColor rgb="FF000000"/>
            </x14:dataBar>
          </x14:cfRule>
          <xm:sqref>J345:J354</xm:sqref>
        </x14:conditionalFormatting>
        <x14:conditionalFormatting xmlns:xm="http://schemas.microsoft.com/office/excel/2006/main">
          <x14:cfRule type="dataBar" id="{2DF75AD2-C042-4873-BE46-9ED7167C9C62}">
            <x14:dataBar minLength="0" maxLength="100" border="1" negativeBarBorderColorSameAsPositive="0">
              <x14:cfvo type="autoMin"/>
              <x14:cfvo type="autoMax"/>
              <x14:borderColor rgb="FF63C384"/>
              <x14:negativeFillColor rgb="FFFF0000"/>
              <x14:negativeBorderColor rgb="FFFF0000"/>
              <x14:axisColor rgb="FF000000"/>
            </x14:dataBar>
          </x14:cfRule>
          <xm:sqref>J358:J373</xm:sqref>
        </x14:conditionalFormatting>
        <x14:conditionalFormatting xmlns:xm="http://schemas.microsoft.com/office/excel/2006/main">
          <x14:cfRule type="dataBar" id="{7B52A239-FF4D-46A0-98B7-AF4093BCF512}">
            <x14:dataBar minLength="0" maxLength="100" border="1" negativeBarBorderColorSameAsPositive="0">
              <x14:cfvo type="autoMin"/>
              <x14:cfvo type="autoMax"/>
              <x14:borderColor rgb="FF63C384"/>
              <x14:negativeFillColor rgb="FFFF0000"/>
              <x14:negativeBorderColor rgb="FFFF0000"/>
              <x14:axisColor rgb="FF000000"/>
            </x14:dataBar>
          </x14:cfRule>
          <xm:sqref>J374</xm:sqref>
        </x14:conditionalFormatting>
        <x14:conditionalFormatting xmlns:xm="http://schemas.microsoft.com/office/excel/2006/main">
          <x14:cfRule type="dataBar" id="{4300687C-3358-479B-B00B-FF414BB7F0AA}">
            <x14:dataBar minLength="0" maxLength="100" border="1" negativeBarBorderColorSameAsPositive="0">
              <x14:cfvo type="autoMin"/>
              <x14:cfvo type="autoMax"/>
              <x14:borderColor rgb="FF63C384"/>
              <x14:negativeFillColor rgb="FFFF0000"/>
              <x14:negativeBorderColor rgb="FFFF0000"/>
              <x14:axisColor rgb="FF000000"/>
            </x14:dataBar>
          </x14:cfRule>
          <xm:sqref>N49:N65</xm:sqref>
        </x14:conditionalFormatting>
        <x14:conditionalFormatting xmlns:xm="http://schemas.microsoft.com/office/excel/2006/main">
          <x14:cfRule type="dataBar" id="{836E8271-C1A1-4302-AEC2-B08557EFA569}">
            <x14:dataBar minLength="0" maxLength="100" border="1" negativeBarBorderColorSameAsPositive="0">
              <x14:cfvo type="autoMin"/>
              <x14:cfvo type="autoMax"/>
              <x14:borderColor rgb="FF63C384"/>
              <x14:negativeFillColor rgb="FFFF0000"/>
              <x14:negativeBorderColor rgb="FFFF0000"/>
              <x14:axisColor rgb="FF000000"/>
            </x14:dataBar>
          </x14:cfRule>
          <xm:sqref>N69:N79</xm:sqref>
        </x14:conditionalFormatting>
        <x14:conditionalFormatting xmlns:xm="http://schemas.microsoft.com/office/excel/2006/main">
          <x14:cfRule type="dataBar" id="{071F852A-A850-4A58-BA79-79CFC02D1BC3}">
            <x14:dataBar minLength="0" maxLength="100" border="1" negativeBarBorderColorSameAsPositive="0">
              <x14:cfvo type="autoMin"/>
              <x14:cfvo type="autoMax"/>
              <x14:borderColor rgb="FF63C384"/>
              <x14:negativeFillColor rgb="FFFF0000"/>
              <x14:negativeBorderColor rgb="FFFF0000"/>
              <x14:axisColor rgb="FF000000"/>
            </x14:dataBar>
          </x14:cfRule>
          <xm:sqref>N83:N93</xm:sqref>
        </x14:conditionalFormatting>
        <x14:conditionalFormatting xmlns:xm="http://schemas.microsoft.com/office/excel/2006/main">
          <x14:cfRule type="dataBar" id="{239E09B2-3123-414A-BFD4-5F7341DD4D10}">
            <x14:dataBar minLength="0" maxLength="100" border="1" negativeBarBorderColorSameAsPositive="0">
              <x14:cfvo type="autoMin"/>
              <x14:cfvo type="autoMax"/>
              <x14:borderColor rgb="FF638EC6"/>
              <x14:negativeFillColor rgb="FFFF0000"/>
              <x14:negativeBorderColor rgb="FFFF0000"/>
              <x14:axisColor rgb="FF000000"/>
            </x14:dataBar>
          </x14:cfRule>
          <xm:sqref>O49:O64</xm:sqref>
        </x14:conditionalFormatting>
        <x14:conditionalFormatting xmlns:xm="http://schemas.microsoft.com/office/excel/2006/main">
          <x14:cfRule type="dataBar" id="{CBEF60C8-68C5-4E28-B7D3-E2B200145DDD}">
            <x14:dataBar minLength="0" maxLength="100" border="1" negativeBarBorderColorSameAsPositive="0">
              <x14:cfvo type="autoMin"/>
              <x14:cfvo type="autoMax"/>
              <x14:borderColor rgb="FF638EC6"/>
              <x14:negativeFillColor rgb="FFFF0000"/>
              <x14:negativeBorderColor rgb="FFFF0000"/>
              <x14:axisColor rgb="FF000000"/>
            </x14:dataBar>
          </x14:cfRule>
          <xm:sqref>O69:O78</xm:sqref>
        </x14:conditionalFormatting>
        <x14:conditionalFormatting xmlns:xm="http://schemas.microsoft.com/office/excel/2006/main">
          <x14:cfRule type="dataBar" id="{85D56FC2-291D-4776-8B84-D2FABF6202A2}">
            <x14:dataBar minLength="0" maxLength="100" border="1" negativeBarBorderColorSameAsPositive="0">
              <x14:cfvo type="autoMin"/>
              <x14:cfvo type="autoMax"/>
              <x14:borderColor rgb="FF638EC6"/>
              <x14:negativeFillColor rgb="FFFF0000"/>
              <x14:negativeBorderColor rgb="FFFF0000"/>
              <x14:axisColor rgb="FF000000"/>
            </x14:dataBar>
          </x14:cfRule>
          <xm:sqref>O83:O92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DD374"/>
  <sheetViews>
    <sheetView showGridLines="0" zoomScaleNormal="100" workbookViewId="0">
      <pane ySplit="2" topLeftCell="A3" activePane="bottomLeft" state="frozen"/>
      <selection pane="bottomLeft"/>
    </sheetView>
  </sheetViews>
  <sheetFormatPr baseColWidth="10" defaultColWidth="36.7109375" defaultRowHeight="15" x14ac:dyDescent="0.25"/>
  <cols>
    <col min="1" max="1" width="36.28515625" style="15" customWidth="1"/>
    <col min="2" max="3" width="12.140625" style="15" customWidth="1"/>
    <col min="4" max="5" width="12.140625" style="16" customWidth="1"/>
    <col min="6" max="9" width="12.140625" style="15" customWidth="1"/>
    <col min="10" max="10" width="10.85546875" style="15" customWidth="1"/>
    <col min="11" max="11" width="10" style="15" customWidth="1"/>
    <col min="12" max="12" width="36.7109375" style="15"/>
    <col min="13" max="14" width="10.85546875" style="15" customWidth="1"/>
    <col min="15" max="15" width="12" style="15" customWidth="1"/>
    <col min="16" max="16" width="12.7109375" style="15" customWidth="1"/>
    <col min="17" max="108" width="36.7109375" style="15"/>
    <col min="109" max="16384" width="36.7109375" style="3"/>
  </cols>
  <sheetData>
    <row r="1" spans="1:9" ht="21" customHeight="1" x14ac:dyDescent="0.25">
      <c r="A1" s="168" t="s">
        <v>669</v>
      </c>
      <c r="B1" s="148"/>
      <c r="C1" s="148"/>
      <c r="D1" s="148"/>
      <c r="E1" s="148"/>
    </row>
    <row r="2" spans="1:9" ht="33.75" customHeight="1" x14ac:dyDescent="0.25">
      <c r="D2" s="15"/>
      <c r="E2" s="15"/>
    </row>
    <row r="3" spans="1:9" x14ac:dyDescent="0.25">
      <c r="D3" s="15"/>
      <c r="E3" s="15"/>
    </row>
    <row r="4" spans="1:9" ht="15.75" x14ac:dyDescent="0.25">
      <c r="A4" s="54" t="s">
        <v>645</v>
      </c>
      <c r="D4" s="15"/>
      <c r="E4" s="15"/>
    </row>
    <row r="5" spans="1:9" ht="38.25" x14ac:dyDescent="0.25">
      <c r="A5" s="126" t="s">
        <v>355</v>
      </c>
      <c r="B5" s="106" t="s">
        <v>68</v>
      </c>
      <c r="C5" s="106" t="s">
        <v>391</v>
      </c>
      <c r="D5" s="106" t="s">
        <v>34</v>
      </c>
      <c r="E5" s="106" t="s">
        <v>0</v>
      </c>
      <c r="F5" s="106" t="s">
        <v>639</v>
      </c>
      <c r="G5" s="106" t="s">
        <v>640</v>
      </c>
      <c r="H5" s="106" t="s">
        <v>641</v>
      </c>
      <c r="I5" s="106" t="s">
        <v>668</v>
      </c>
    </row>
    <row r="6" spans="1:9" x14ac:dyDescent="0.25">
      <c r="A6" s="171" t="s">
        <v>479</v>
      </c>
      <c r="B6" s="121">
        <v>6402</v>
      </c>
      <c r="C6" s="121">
        <v>199</v>
      </c>
      <c r="D6" s="138">
        <v>277</v>
      </c>
      <c r="E6" s="137">
        <v>6878</v>
      </c>
      <c r="F6" s="257">
        <v>4.8231656601453732E-3</v>
      </c>
      <c r="G6" s="257">
        <v>3.6382916483837942E-3</v>
      </c>
      <c r="H6" s="257">
        <v>3.7636380929088708E-3</v>
      </c>
      <c r="I6" s="257">
        <v>4.7250726313323565E-3</v>
      </c>
    </row>
    <row r="7" spans="1:9" x14ac:dyDescent="0.25">
      <c r="A7" s="171" t="s">
        <v>480</v>
      </c>
      <c r="B7" s="121">
        <v>6657</v>
      </c>
      <c r="C7" s="121">
        <v>138</v>
      </c>
      <c r="D7" s="138">
        <v>113</v>
      </c>
      <c r="E7" s="137">
        <v>6908</v>
      </c>
      <c r="F7" s="257">
        <v>5.0152786316132068E-3</v>
      </c>
      <c r="G7" s="257">
        <v>2.5230364194822291E-3</v>
      </c>
      <c r="H7" s="257">
        <v>1.5353469476487452E-3</v>
      </c>
      <c r="I7" s="257">
        <v>4.7456821368484902E-3</v>
      </c>
    </row>
    <row r="8" spans="1:9" x14ac:dyDescent="0.25">
      <c r="A8" s="171" t="s">
        <v>481</v>
      </c>
      <c r="B8" s="121">
        <v>155</v>
      </c>
      <c r="C8" s="121">
        <v>0</v>
      </c>
      <c r="D8" s="138">
        <v>3</v>
      </c>
      <c r="E8" s="137">
        <v>158</v>
      </c>
      <c r="F8" s="257">
        <v>1.1677455128436938E-4</v>
      </c>
      <c r="G8" s="257">
        <v>0</v>
      </c>
      <c r="H8" s="257">
        <v>4.0761423388904738E-5</v>
      </c>
      <c r="I8" s="257">
        <v>1.0854339571830653E-4</v>
      </c>
    </row>
    <row r="9" spans="1:9" x14ac:dyDescent="0.25">
      <c r="A9" s="171" t="s">
        <v>482</v>
      </c>
      <c r="B9" s="121">
        <v>14</v>
      </c>
      <c r="C9" s="121">
        <v>1</v>
      </c>
      <c r="D9" s="138">
        <v>0</v>
      </c>
      <c r="E9" s="137">
        <v>15</v>
      </c>
      <c r="F9" s="257">
        <v>1.0547378825684978E-5</v>
      </c>
      <c r="G9" s="257">
        <v>1.8282872604943688E-5</v>
      </c>
      <c r="H9" s="257">
        <v>0</v>
      </c>
      <c r="I9" s="257">
        <v>1.0304752758067076E-5</v>
      </c>
    </row>
    <row r="10" spans="1:9" x14ac:dyDescent="0.25">
      <c r="A10" s="171" t="s">
        <v>483</v>
      </c>
      <c r="B10" s="121">
        <v>42</v>
      </c>
      <c r="C10" s="121">
        <v>1</v>
      </c>
      <c r="D10" s="138">
        <v>0</v>
      </c>
      <c r="E10" s="137">
        <v>43</v>
      </c>
      <c r="F10" s="257">
        <v>3.1642136477054931E-5</v>
      </c>
      <c r="G10" s="257">
        <v>1.8282872604943688E-5</v>
      </c>
      <c r="H10" s="257">
        <v>0</v>
      </c>
      <c r="I10" s="257">
        <v>2.9540291239792284E-5</v>
      </c>
    </row>
    <row r="11" spans="1:9" x14ac:dyDescent="0.25">
      <c r="A11" s="171" t="s">
        <v>484</v>
      </c>
      <c r="B11" s="121">
        <v>2649</v>
      </c>
      <c r="C11" s="121">
        <v>91</v>
      </c>
      <c r="D11" s="138">
        <v>129</v>
      </c>
      <c r="E11" s="137">
        <v>2869</v>
      </c>
      <c r="F11" s="257">
        <v>1.9957147506599647E-3</v>
      </c>
      <c r="G11" s="257">
        <v>1.6637414070498756E-3</v>
      </c>
      <c r="H11" s="257">
        <v>1.7527412057229039E-3</v>
      </c>
      <c r="I11" s="257">
        <v>1.9709557108596293E-3</v>
      </c>
    </row>
    <row r="12" spans="1:9" x14ac:dyDescent="0.25">
      <c r="A12" s="171" t="s">
        <v>485</v>
      </c>
      <c r="B12" s="121">
        <v>74</v>
      </c>
      <c r="C12" s="121">
        <v>1</v>
      </c>
      <c r="D12" s="138">
        <v>7</v>
      </c>
      <c r="E12" s="137">
        <v>82</v>
      </c>
      <c r="F12" s="257">
        <v>5.5750430935763453E-5</v>
      </c>
      <c r="G12" s="257">
        <v>1.8282872604943688E-5</v>
      </c>
      <c r="H12" s="257">
        <v>9.5109987907444394E-5</v>
      </c>
      <c r="I12" s="257">
        <v>5.6332648410766678E-5</v>
      </c>
    </row>
    <row r="13" spans="1:9" x14ac:dyDescent="0.25">
      <c r="A13" s="175" t="s">
        <v>0</v>
      </c>
      <c r="B13" s="90">
        <v>15993</v>
      </c>
      <c r="C13" s="90">
        <v>431</v>
      </c>
      <c r="D13" s="137">
        <v>529</v>
      </c>
      <c r="E13" s="137">
        <v>16953</v>
      </c>
      <c r="F13" s="258">
        <v>1.2048873539941416E-2</v>
      </c>
      <c r="G13" s="258">
        <v>7.879918092730729E-3</v>
      </c>
      <c r="H13" s="258">
        <v>7.1875976575768693E-3</v>
      </c>
      <c r="I13" s="258">
        <v>1.1646431567167409E-2</v>
      </c>
    </row>
    <row r="15" spans="1:9" ht="15.75" x14ac:dyDescent="0.25">
      <c r="A15" s="54" t="s">
        <v>649</v>
      </c>
      <c r="D15" s="15"/>
      <c r="E15" s="15"/>
    </row>
    <row r="16" spans="1:9" ht="38.25" x14ac:dyDescent="0.25">
      <c r="A16" s="126" t="s">
        <v>355</v>
      </c>
      <c r="B16" s="106" t="s">
        <v>462</v>
      </c>
      <c r="C16" s="106" t="s">
        <v>463</v>
      </c>
      <c r="D16" s="106" t="s">
        <v>4</v>
      </c>
      <c r="E16" s="106" t="s">
        <v>0</v>
      </c>
      <c r="F16" s="106" t="s">
        <v>642</v>
      </c>
      <c r="G16" s="106" t="s">
        <v>643</v>
      </c>
      <c r="H16" s="106" t="s">
        <v>644</v>
      </c>
      <c r="I16" s="106" t="s">
        <v>459</v>
      </c>
    </row>
    <row r="17" spans="1:9" x14ac:dyDescent="0.25">
      <c r="A17" s="171" t="s">
        <v>479</v>
      </c>
      <c r="B17" s="121">
        <v>1122</v>
      </c>
      <c r="C17" s="121">
        <v>2561</v>
      </c>
      <c r="D17" s="138">
        <v>3195</v>
      </c>
      <c r="E17" s="137">
        <v>6878</v>
      </c>
      <c r="F17" s="257">
        <v>7.3552066603297384E-3</v>
      </c>
      <c r="G17" s="257">
        <v>5.7673165876222258E-3</v>
      </c>
      <c r="H17" s="257">
        <v>3.7192680201154778E-3</v>
      </c>
      <c r="I17" s="257">
        <v>4.7250726313323565E-3</v>
      </c>
    </row>
    <row r="18" spans="1:9" x14ac:dyDescent="0.25">
      <c r="A18" s="171" t="s">
        <v>480</v>
      </c>
      <c r="B18" s="121">
        <v>1340</v>
      </c>
      <c r="C18" s="121">
        <v>2170</v>
      </c>
      <c r="D18" s="138">
        <v>3398</v>
      </c>
      <c r="E18" s="137">
        <v>6908</v>
      </c>
      <c r="F18" s="257">
        <v>8.7842931593955891E-3</v>
      </c>
      <c r="G18" s="257">
        <v>4.8867930476923982E-3</v>
      </c>
      <c r="H18" s="257">
        <v>3.9555783199850996E-3</v>
      </c>
      <c r="I18" s="257">
        <v>4.7456821368484902E-3</v>
      </c>
    </row>
    <row r="19" spans="1:9" ht="15" customHeight="1" x14ac:dyDescent="0.25">
      <c r="A19" s="171" t="s">
        <v>481</v>
      </c>
      <c r="B19" s="121">
        <v>36</v>
      </c>
      <c r="C19" s="121">
        <v>67</v>
      </c>
      <c r="D19" s="138">
        <v>55</v>
      </c>
      <c r="E19" s="137">
        <v>158</v>
      </c>
      <c r="F19" s="257">
        <v>2.3599593562555313E-4</v>
      </c>
      <c r="G19" s="257">
        <v>1.5088255032045652E-4</v>
      </c>
      <c r="H19" s="257">
        <v>6.4024958092754705E-5</v>
      </c>
      <c r="I19" s="257">
        <v>1.0854339571830653E-4</v>
      </c>
    </row>
    <row r="20" spans="1:9" x14ac:dyDescent="0.25">
      <c r="A20" s="171" t="s">
        <v>482</v>
      </c>
      <c r="B20" s="121">
        <v>5</v>
      </c>
      <c r="C20" s="121">
        <v>5</v>
      </c>
      <c r="D20" s="138">
        <v>5</v>
      </c>
      <c r="E20" s="137">
        <v>15</v>
      </c>
      <c r="F20" s="257">
        <v>3.2777213281326819E-5</v>
      </c>
      <c r="G20" s="257">
        <v>1.1259891814959442E-5</v>
      </c>
      <c r="H20" s="257">
        <v>5.8204507357049729E-6</v>
      </c>
      <c r="I20" s="257">
        <v>1.0304752758067076E-5</v>
      </c>
    </row>
    <row r="21" spans="1:9" x14ac:dyDescent="0.25">
      <c r="A21" s="171" t="s">
        <v>483</v>
      </c>
      <c r="B21" s="121">
        <v>11</v>
      </c>
      <c r="C21" s="121">
        <v>18</v>
      </c>
      <c r="D21" s="138">
        <v>14</v>
      </c>
      <c r="E21" s="137">
        <v>43</v>
      </c>
      <c r="F21" s="257">
        <v>7.2109869218919007E-5</v>
      </c>
      <c r="G21" s="257">
        <v>4.0535610533853993E-5</v>
      </c>
      <c r="H21" s="257">
        <v>1.6297262059973924E-5</v>
      </c>
      <c r="I21" s="257">
        <v>2.9540291239792284E-5</v>
      </c>
    </row>
    <row r="22" spans="1:9" x14ac:dyDescent="0.25">
      <c r="A22" s="171" t="s">
        <v>484</v>
      </c>
      <c r="B22" s="121">
        <v>415</v>
      </c>
      <c r="C22" s="121">
        <v>1026</v>
      </c>
      <c r="D22" s="138">
        <v>1428</v>
      </c>
      <c r="E22" s="137">
        <v>2869</v>
      </c>
      <c r="F22" s="257">
        <v>2.7205087023501264E-3</v>
      </c>
      <c r="G22" s="257">
        <v>2.3105298004296774E-3</v>
      </c>
      <c r="H22" s="257">
        <v>1.6623207301173402E-3</v>
      </c>
      <c r="I22" s="257">
        <v>1.9709557108596293E-3</v>
      </c>
    </row>
    <row r="23" spans="1:9" x14ac:dyDescent="0.25">
      <c r="A23" s="171" t="s">
        <v>485</v>
      </c>
      <c r="B23" s="121">
        <v>14</v>
      </c>
      <c r="C23" s="121">
        <v>26</v>
      </c>
      <c r="D23" s="138">
        <v>42</v>
      </c>
      <c r="E23" s="137">
        <v>82</v>
      </c>
      <c r="F23" s="257">
        <v>9.1776197187715101E-5</v>
      </c>
      <c r="G23" s="257">
        <v>5.8551437437789098E-5</v>
      </c>
      <c r="H23" s="257">
        <v>4.8891786179921772E-5</v>
      </c>
      <c r="I23" s="257">
        <v>5.6332648410766678E-5</v>
      </c>
    </row>
    <row r="24" spans="1:9" x14ac:dyDescent="0.25">
      <c r="A24" s="175" t="s">
        <v>0</v>
      </c>
      <c r="B24" s="90">
        <v>2943</v>
      </c>
      <c r="C24" s="90">
        <v>5873</v>
      </c>
      <c r="D24" s="137">
        <v>8137</v>
      </c>
      <c r="E24" s="137">
        <v>16953</v>
      </c>
      <c r="F24" s="258">
        <v>1.9292667737388969E-2</v>
      </c>
      <c r="G24" s="258">
        <v>1.3225868925851361E-2</v>
      </c>
      <c r="H24" s="258">
        <v>9.4722015272862732E-3</v>
      </c>
      <c r="I24" s="258">
        <v>1.1646431567167409E-2</v>
      </c>
    </row>
    <row r="25" spans="1:9" x14ac:dyDescent="0.25">
      <c r="A25" s="260"/>
      <c r="B25" s="261"/>
      <c r="C25" s="261"/>
      <c r="D25" s="152"/>
      <c r="E25" s="46"/>
      <c r="F25" s="198"/>
      <c r="G25" s="198"/>
      <c r="H25" s="198"/>
      <c r="I25" s="210"/>
    </row>
    <row r="26" spans="1:9" ht="15.75" x14ac:dyDescent="0.25">
      <c r="A26" s="54" t="s">
        <v>666</v>
      </c>
      <c r="D26" s="15"/>
      <c r="E26" s="15"/>
    </row>
    <row r="27" spans="1:9" ht="51" x14ac:dyDescent="0.25">
      <c r="A27" s="126" t="s">
        <v>355</v>
      </c>
      <c r="B27" s="106" t="s">
        <v>138</v>
      </c>
      <c r="C27" s="106" t="s">
        <v>139</v>
      </c>
      <c r="D27" s="106" t="s">
        <v>477</v>
      </c>
      <c r="E27" s="106" t="s">
        <v>352</v>
      </c>
      <c r="F27" s="106" t="s">
        <v>646</v>
      </c>
      <c r="G27" s="106" t="s">
        <v>647</v>
      </c>
      <c r="H27" s="106" t="s">
        <v>648</v>
      </c>
      <c r="I27" s="106" t="s">
        <v>459</v>
      </c>
    </row>
    <row r="28" spans="1:9" x14ac:dyDescent="0.25">
      <c r="A28" s="171" t="s">
        <v>479</v>
      </c>
      <c r="B28" s="121">
        <v>3670</v>
      </c>
      <c r="C28" s="121">
        <v>3208</v>
      </c>
      <c r="D28" s="138">
        <v>0</v>
      </c>
      <c r="E28" s="137">
        <v>6878</v>
      </c>
      <c r="F28" s="257">
        <v>4.7316802106177874E-3</v>
      </c>
      <c r="G28" s="257">
        <v>4.7177233749369479E-3</v>
      </c>
      <c r="H28" s="257">
        <v>0</v>
      </c>
      <c r="I28" s="257">
        <v>4.7250726313323565E-3</v>
      </c>
    </row>
    <row r="29" spans="1:9" x14ac:dyDescent="0.25">
      <c r="A29" s="171" t="s">
        <v>480</v>
      </c>
      <c r="B29" s="121">
        <v>3031</v>
      </c>
      <c r="C29" s="121">
        <v>3876</v>
      </c>
      <c r="D29" s="138">
        <v>1</v>
      </c>
      <c r="E29" s="137">
        <v>6908</v>
      </c>
      <c r="F29" s="257">
        <v>3.9078263537827007E-3</v>
      </c>
      <c r="G29" s="257">
        <v>5.700092207373943E-3</v>
      </c>
      <c r="H29" s="257">
        <v>3.7037037037037035E-2</v>
      </c>
      <c r="I29" s="257">
        <v>4.7456821368484902E-3</v>
      </c>
    </row>
    <row r="30" spans="1:9" x14ac:dyDescent="0.25">
      <c r="A30" s="171" t="s">
        <v>481</v>
      </c>
      <c r="B30" s="121">
        <v>65</v>
      </c>
      <c r="C30" s="121">
        <v>93</v>
      </c>
      <c r="D30" s="138">
        <v>0</v>
      </c>
      <c r="E30" s="137">
        <v>158</v>
      </c>
      <c r="F30" s="257">
        <v>8.3803600460533018E-5</v>
      </c>
      <c r="G30" s="257">
        <v>1.3676691828838408E-4</v>
      </c>
      <c r="H30" s="257">
        <v>0</v>
      </c>
      <c r="I30" s="257">
        <v>1.0854339571830653E-4</v>
      </c>
    </row>
    <row r="31" spans="1:9" x14ac:dyDescent="0.25">
      <c r="A31" s="171" t="s">
        <v>482</v>
      </c>
      <c r="B31" s="121">
        <v>7</v>
      </c>
      <c r="C31" s="121">
        <v>8</v>
      </c>
      <c r="D31" s="138">
        <v>0</v>
      </c>
      <c r="E31" s="137">
        <v>15</v>
      </c>
      <c r="F31" s="257">
        <v>9.0250031265189403E-6</v>
      </c>
      <c r="G31" s="257">
        <v>1.1764896196850242E-5</v>
      </c>
      <c r="H31" s="257">
        <v>0</v>
      </c>
      <c r="I31" s="257">
        <v>1.0304752758067076E-5</v>
      </c>
    </row>
    <row r="32" spans="1:9" x14ac:dyDescent="0.25">
      <c r="A32" s="171" t="s">
        <v>483</v>
      </c>
      <c r="B32" s="121">
        <v>17</v>
      </c>
      <c r="C32" s="121">
        <v>26</v>
      </c>
      <c r="D32" s="138">
        <v>0</v>
      </c>
      <c r="E32" s="137">
        <v>43</v>
      </c>
      <c r="F32" s="257">
        <v>2.1917864735831711E-5</v>
      </c>
      <c r="G32" s="257">
        <v>3.8235912639763291E-5</v>
      </c>
      <c r="H32" s="257">
        <v>0</v>
      </c>
      <c r="I32" s="257">
        <v>2.9540291239792284E-5</v>
      </c>
    </row>
    <row r="33" spans="1:9" x14ac:dyDescent="0.25">
      <c r="A33" s="171" t="s">
        <v>484</v>
      </c>
      <c r="B33" s="121">
        <v>1430</v>
      </c>
      <c r="C33" s="121">
        <v>1439</v>
      </c>
      <c r="D33" s="138">
        <v>0</v>
      </c>
      <c r="E33" s="137">
        <v>2869</v>
      </c>
      <c r="F33" s="257">
        <v>1.8436792101317264E-3</v>
      </c>
      <c r="G33" s="257">
        <v>2.1162107034084373E-3</v>
      </c>
      <c r="H33" s="257">
        <v>0</v>
      </c>
      <c r="I33" s="257">
        <v>1.9709557108596293E-3</v>
      </c>
    </row>
    <row r="34" spans="1:9" x14ac:dyDescent="0.25">
      <c r="A34" s="171" t="s">
        <v>485</v>
      </c>
      <c r="B34" s="121">
        <v>44</v>
      </c>
      <c r="C34" s="121">
        <v>38</v>
      </c>
      <c r="D34" s="138">
        <v>0</v>
      </c>
      <c r="E34" s="137">
        <v>82</v>
      </c>
      <c r="F34" s="257">
        <v>5.6728591080976194E-5</v>
      </c>
      <c r="G34" s="257">
        <v>5.5883256935038654E-5</v>
      </c>
      <c r="H34" s="257">
        <v>0</v>
      </c>
      <c r="I34" s="257">
        <v>5.6332648410766678E-5</v>
      </c>
    </row>
    <row r="35" spans="1:9" x14ac:dyDescent="0.25">
      <c r="A35" s="175" t="s">
        <v>0</v>
      </c>
      <c r="B35" s="90">
        <v>8264</v>
      </c>
      <c r="C35" s="90">
        <v>8688</v>
      </c>
      <c r="D35" s="137">
        <v>1</v>
      </c>
      <c r="E35" s="137">
        <v>16953</v>
      </c>
      <c r="F35" s="258">
        <v>1.0654660833936075E-2</v>
      </c>
      <c r="G35" s="258">
        <v>1.2776677269779364E-2</v>
      </c>
      <c r="H35" s="258">
        <v>3.7037037037037035E-2</v>
      </c>
      <c r="I35" s="258">
        <v>1.1646431567167409E-2</v>
      </c>
    </row>
    <row r="36" spans="1:9" x14ac:dyDescent="0.25">
      <c r="A36" s="260"/>
      <c r="B36" s="261"/>
      <c r="C36" s="261"/>
      <c r="D36" s="152"/>
      <c r="E36" s="46"/>
      <c r="F36" s="198"/>
      <c r="G36" s="198"/>
      <c r="H36" s="198"/>
      <c r="I36" s="210"/>
    </row>
    <row r="37" spans="1:9" ht="15.75" x14ac:dyDescent="0.25">
      <c r="A37" s="22" t="s">
        <v>650</v>
      </c>
      <c r="B37" s="3"/>
      <c r="C37" s="3"/>
      <c r="E37" s="46"/>
      <c r="F37" s="198"/>
      <c r="G37" s="198"/>
      <c r="H37" s="198"/>
      <c r="I37" s="210"/>
    </row>
    <row r="38" spans="1:9" ht="51" x14ac:dyDescent="0.25">
      <c r="A38" s="126" t="s">
        <v>44</v>
      </c>
      <c r="B38" s="106" t="s">
        <v>138</v>
      </c>
      <c r="C38" s="106" t="s">
        <v>139</v>
      </c>
      <c r="D38" s="106" t="s">
        <v>477</v>
      </c>
      <c r="E38" s="106" t="s">
        <v>352</v>
      </c>
      <c r="F38" s="106" t="s">
        <v>646</v>
      </c>
      <c r="G38" s="106" t="s">
        <v>647</v>
      </c>
      <c r="H38" s="106" t="s">
        <v>648</v>
      </c>
      <c r="I38" s="106" t="s">
        <v>459</v>
      </c>
    </row>
    <row r="39" spans="1:9" x14ac:dyDescent="0.25">
      <c r="A39" s="84" t="s">
        <v>229</v>
      </c>
      <c r="B39" s="95">
        <v>111</v>
      </c>
      <c r="C39" s="95">
        <v>149</v>
      </c>
      <c r="D39" s="98">
        <v>0</v>
      </c>
      <c r="E39" s="137">
        <v>260</v>
      </c>
      <c r="F39" s="257">
        <v>1.4311076386337176E-4</v>
      </c>
      <c r="G39" s="257">
        <v>2.1912119166633579E-4</v>
      </c>
      <c r="H39" s="257">
        <v>0</v>
      </c>
      <c r="I39" s="257">
        <v>1.7861571447316265E-4</v>
      </c>
    </row>
    <row r="40" spans="1:9" x14ac:dyDescent="0.25">
      <c r="A40" s="84" t="s">
        <v>230</v>
      </c>
      <c r="B40" s="95">
        <v>133</v>
      </c>
      <c r="C40" s="95">
        <v>159</v>
      </c>
      <c r="D40" s="98">
        <v>0</v>
      </c>
      <c r="E40" s="137">
        <v>292</v>
      </c>
      <c r="F40" s="257">
        <v>1.7147505940385988E-4</v>
      </c>
      <c r="G40" s="257">
        <v>2.3382731191239859E-4</v>
      </c>
      <c r="H40" s="257">
        <v>0</v>
      </c>
      <c r="I40" s="257">
        <v>2.0059918702370575E-4</v>
      </c>
    </row>
    <row r="41" spans="1:9" x14ac:dyDescent="0.25">
      <c r="A41" s="84" t="s">
        <v>231</v>
      </c>
      <c r="B41" s="95">
        <v>223</v>
      </c>
      <c r="C41" s="95">
        <v>277</v>
      </c>
      <c r="D41" s="98">
        <v>0</v>
      </c>
      <c r="E41" s="137">
        <v>500</v>
      </c>
      <c r="F41" s="257">
        <v>2.875108138876748E-4</v>
      </c>
      <c r="G41" s="257">
        <v>4.0735953081593969E-4</v>
      </c>
      <c r="H41" s="257">
        <v>0</v>
      </c>
      <c r="I41" s="257">
        <v>3.4349175860223585E-4</v>
      </c>
    </row>
    <row r="42" spans="1:9" x14ac:dyDescent="0.25">
      <c r="A42" s="84" t="s">
        <v>232</v>
      </c>
      <c r="B42" s="95">
        <v>103</v>
      </c>
      <c r="C42" s="95">
        <v>96</v>
      </c>
      <c r="D42" s="98">
        <v>0</v>
      </c>
      <c r="E42" s="137">
        <v>199</v>
      </c>
      <c r="F42" s="257">
        <v>1.3279647457592155E-4</v>
      </c>
      <c r="G42" s="257">
        <v>1.4117875436220291E-4</v>
      </c>
      <c r="H42" s="257">
        <v>0</v>
      </c>
      <c r="I42" s="257">
        <v>1.3670971992368986E-4</v>
      </c>
    </row>
    <row r="43" spans="1:9" x14ac:dyDescent="0.25">
      <c r="A43" s="84" t="s">
        <v>233</v>
      </c>
      <c r="B43" s="95">
        <v>287</v>
      </c>
      <c r="C43" s="95">
        <v>354</v>
      </c>
      <c r="D43" s="98">
        <v>0</v>
      </c>
      <c r="E43" s="137">
        <v>641</v>
      </c>
      <c r="F43" s="257">
        <v>3.7002512818727656E-4</v>
      </c>
      <c r="G43" s="257">
        <v>5.2059665671062329E-4</v>
      </c>
      <c r="H43" s="257">
        <v>0</v>
      </c>
      <c r="I43" s="257">
        <v>4.4035643452806634E-4</v>
      </c>
    </row>
    <row r="44" spans="1:9" x14ac:dyDescent="0.25">
      <c r="A44" s="84" t="s">
        <v>234</v>
      </c>
      <c r="B44" s="95">
        <v>880</v>
      </c>
      <c r="C44" s="95">
        <v>912</v>
      </c>
      <c r="D44" s="98">
        <v>0</v>
      </c>
      <c r="E44" s="137">
        <v>1792</v>
      </c>
      <c r="F44" s="257">
        <v>1.134571821619524E-3</v>
      </c>
      <c r="G44" s="257">
        <v>1.3411981664409277E-3</v>
      </c>
      <c r="H44" s="257">
        <v>0</v>
      </c>
      <c r="I44" s="257">
        <v>1.2310744628304133E-3</v>
      </c>
    </row>
    <row r="45" spans="1:9" x14ac:dyDescent="0.25">
      <c r="A45" s="84" t="s">
        <v>235</v>
      </c>
      <c r="B45" s="95">
        <v>3614</v>
      </c>
      <c r="C45" s="95">
        <v>3778</v>
      </c>
      <c r="D45" s="98">
        <v>1</v>
      </c>
      <c r="E45" s="137">
        <v>7393</v>
      </c>
      <c r="F45" s="257">
        <v>4.6594801856056356E-3</v>
      </c>
      <c r="G45" s="257">
        <v>5.5559722289625271E-3</v>
      </c>
      <c r="H45" s="257">
        <v>3.7037037037037035E-2</v>
      </c>
      <c r="I45" s="257">
        <v>5.0788691426926595E-3</v>
      </c>
    </row>
    <row r="46" spans="1:9" x14ac:dyDescent="0.25">
      <c r="A46" s="84" t="s">
        <v>325</v>
      </c>
      <c r="B46" s="95">
        <v>251</v>
      </c>
      <c r="C46" s="95">
        <v>235</v>
      </c>
      <c r="D46" s="98">
        <v>0</v>
      </c>
      <c r="E46" s="137">
        <v>486</v>
      </c>
      <c r="F46" s="257">
        <v>3.2361082639375058E-4</v>
      </c>
      <c r="G46" s="257">
        <v>3.4559382578247587E-4</v>
      </c>
      <c r="H46" s="257">
        <v>0</v>
      </c>
      <c r="I46" s="257">
        <v>3.3387398936137326E-4</v>
      </c>
    </row>
    <row r="47" spans="1:9" x14ac:dyDescent="0.25">
      <c r="A47" s="84" t="s">
        <v>236</v>
      </c>
      <c r="B47" s="95">
        <v>422</v>
      </c>
      <c r="C47" s="95">
        <v>408</v>
      </c>
      <c r="D47" s="98">
        <v>0</v>
      </c>
      <c r="E47" s="137">
        <v>830</v>
      </c>
      <c r="F47" s="257">
        <v>5.4407875991299899E-4</v>
      </c>
      <c r="G47" s="257">
        <v>6.0000970603936237E-4</v>
      </c>
      <c r="H47" s="257">
        <v>0</v>
      </c>
      <c r="I47" s="257">
        <v>5.7019631927971153E-4</v>
      </c>
    </row>
    <row r="48" spans="1:9" x14ac:dyDescent="0.25">
      <c r="A48" s="84" t="s">
        <v>293</v>
      </c>
      <c r="B48" s="95">
        <v>184</v>
      </c>
      <c r="C48" s="95">
        <v>237</v>
      </c>
      <c r="D48" s="98">
        <v>0</v>
      </c>
      <c r="E48" s="137">
        <v>421</v>
      </c>
      <c r="F48" s="257">
        <v>2.3722865361135501E-4</v>
      </c>
      <c r="G48" s="257">
        <v>3.4853504983168844E-4</v>
      </c>
      <c r="H48" s="257">
        <v>0</v>
      </c>
      <c r="I48" s="257">
        <v>2.8922006074308257E-4</v>
      </c>
    </row>
    <row r="49" spans="1:10" x14ac:dyDescent="0.25">
      <c r="A49" s="84" t="s">
        <v>242</v>
      </c>
      <c r="B49" s="95">
        <v>942</v>
      </c>
      <c r="C49" s="95">
        <v>1044</v>
      </c>
      <c r="D49" s="98">
        <v>0</v>
      </c>
      <c r="E49" s="137">
        <v>1986</v>
      </c>
      <c r="F49" s="257">
        <v>1.2145075635972631E-3</v>
      </c>
      <c r="G49" s="257">
        <v>1.5353189536889567E-3</v>
      </c>
      <c r="H49" s="257">
        <v>0</v>
      </c>
      <c r="I49" s="257">
        <v>1.3643492651680808E-3</v>
      </c>
    </row>
    <row r="50" spans="1:10" x14ac:dyDescent="0.25">
      <c r="A50" s="84" t="s">
        <v>244</v>
      </c>
      <c r="B50" s="95">
        <v>494</v>
      </c>
      <c r="C50" s="95">
        <v>432</v>
      </c>
      <c r="D50" s="98">
        <v>0</v>
      </c>
      <c r="E50" s="137">
        <v>926</v>
      </c>
      <c r="F50" s="257">
        <v>6.3690736350005095E-4</v>
      </c>
      <c r="G50" s="257">
        <v>6.3530439462991311E-4</v>
      </c>
      <c r="H50" s="257">
        <v>0</v>
      </c>
      <c r="I50" s="257">
        <v>6.361467369313408E-4</v>
      </c>
    </row>
    <row r="51" spans="1:10" x14ac:dyDescent="0.25">
      <c r="A51" s="84" t="s">
        <v>238</v>
      </c>
      <c r="B51" s="95">
        <v>186</v>
      </c>
      <c r="C51" s="95">
        <v>172</v>
      </c>
      <c r="D51" s="98">
        <v>0</v>
      </c>
      <c r="E51" s="137">
        <v>358</v>
      </c>
      <c r="F51" s="257">
        <v>2.3980722593321756E-4</v>
      </c>
      <c r="G51" s="257">
        <v>2.5294526823228022E-4</v>
      </c>
      <c r="H51" s="257">
        <v>0</v>
      </c>
      <c r="I51" s="257">
        <v>2.4594009915920086E-4</v>
      </c>
    </row>
    <row r="52" spans="1:10" x14ac:dyDescent="0.25">
      <c r="A52" s="84" t="s">
        <v>239</v>
      </c>
      <c r="B52" s="95">
        <v>281</v>
      </c>
      <c r="C52" s="95">
        <v>301</v>
      </c>
      <c r="D52" s="98">
        <v>0</v>
      </c>
      <c r="E52" s="137">
        <v>582</v>
      </c>
      <c r="F52" s="257">
        <v>3.6228941122168888E-4</v>
      </c>
      <c r="G52" s="257">
        <v>4.4265421940649038E-4</v>
      </c>
      <c r="H52" s="257">
        <v>0</v>
      </c>
      <c r="I52" s="257">
        <v>3.9982440701300252E-4</v>
      </c>
    </row>
    <row r="53" spans="1:10" x14ac:dyDescent="0.25">
      <c r="A53" s="84" t="s">
        <v>240</v>
      </c>
      <c r="B53" s="95">
        <v>56</v>
      </c>
      <c r="C53" s="95">
        <v>49</v>
      </c>
      <c r="D53" s="98">
        <v>0</v>
      </c>
      <c r="E53" s="137">
        <v>105</v>
      </c>
      <c r="F53" s="257">
        <v>7.2200025012151523E-5</v>
      </c>
      <c r="G53" s="257">
        <v>7.2059989205707739E-5</v>
      </c>
      <c r="H53" s="257">
        <v>0</v>
      </c>
      <c r="I53" s="257">
        <v>7.2133269306469535E-5</v>
      </c>
    </row>
    <row r="54" spans="1:10" x14ac:dyDescent="0.25">
      <c r="A54" s="84" t="s">
        <v>241</v>
      </c>
      <c r="B54" s="95">
        <v>97</v>
      </c>
      <c r="C54" s="95">
        <v>85</v>
      </c>
      <c r="D54" s="98">
        <v>0</v>
      </c>
      <c r="E54" s="137">
        <v>182</v>
      </c>
      <c r="F54" s="257">
        <v>1.250607576103339E-4</v>
      </c>
      <c r="G54" s="257">
        <v>1.2500202209153382E-4</v>
      </c>
      <c r="H54" s="257">
        <v>0</v>
      </c>
      <c r="I54" s="257">
        <v>1.2503100013121386E-4</v>
      </c>
    </row>
    <row r="55" spans="1:10" x14ac:dyDescent="0.25">
      <c r="A55" s="66" t="s">
        <v>0</v>
      </c>
      <c r="B55" s="21">
        <v>8264</v>
      </c>
      <c r="C55" s="21">
        <v>8688</v>
      </c>
      <c r="D55" s="8">
        <v>1</v>
      </c>
      <c r="E55" s="137">
        <v>16953</v>
      </c>
      <c r="F55" s="258">
        <v>1.0654660833936075E-2</v>
      </c>
      <c r="G55" s="258">
        <v>1.2776677269779364E-2</v>
      </c>
      <c r="H55" s="258">
        <v>3.7037037037037035E-2</v>
      </c>
      <c r="I55" s="258">
        <v>1.1646431567167409E-2</v>
      </c>
    </row>
    <row r="56" spans="1:10" x14ac:dyDescent="0.25">
      <c r="A56" s="260"/>
      <c r="B56" s="261"/>
      <c r="C56" s="261"/>
      <c r="D56" s="152"/>
      <c r="E56" s="46"/>
      <c r="F56" s="198"/>
      <c r="G56" s="198"/>
      <c r="H56" s="198"/>
      <c r="I56" s="210"/>
    </row>
    <row r="57" spans="1:10" ht="15.75" x14ac:dyDescent="0.25">
      <c r="A57" s="259" t="s">
        <v>671</v>
      </c>
      <c r="B57"/>
      <c r="C57"/>
      <c r="D57"/>
      <c r="E57"/>
      <c r="F57"/>
      <c r="G57"/>
    </row>
    <row r="58" spans="1:10" ht="38.25" x14ac:dyDescent="0.25">
      <c r="A58" s="238" t="s">
        <v>390</v>
      </c>
      <c r="B58" s="105">
        <v>2021</v>
      </c>
      <c r="C58" s="105">
        <v>2022</v>
      </c>
      <c r="D58" s="105">
        <v>2023</v>
      </c>
      <c r="E58" s="105">
        <v>2024</v>
      </c>
      <c r="F58" s="105">
        <v>2025</v>
      </c>
      <c r="G58" s="106" t="s">
        <v>547</v>
      </c>
      <c r="H58" s="106" t="s">
        <v>548</v>
      </c>
      <c r="I58" s="106" t="s">
        <v>549</v>
      </c>
      <c r="J58" s="216" t="s">
        <v>563</v>
      </c>
    </row>
    <row r="59" spans="1:10" x14ac:dyDescent="0.25">
      <c r="A59" s="226" t="s">
        <v>2</v>
      </c>
      <c r="B59" s="263">
        <v>2053</v>
      </c>
      <c r="C59" s="263">
        <v>2038</v>
      </c>
      <c r="D59" s="263">
        <v>2212</v>
      </c>
      <c r="E59" s="263">
        <v>2606</v>
      </c>
      <c r="F59" s="8">
        <v>2943</v>
      </c>
      <c r="G59" s="150">
        <f>(F59-B59)/B59</f>
        <v>0.43351193375547981</v>
      </c>
      <c r="H59" s="150">
        <f>(F59-E59)/E59</f>
        <v>0.12931696085955488</v>
      </c>
      <c r="I59" s="220">
        <f>F59/F$69</f>
        <v>0.17359759334631039</v>
      </c>
      <c r="J59" s="221">
        <f>F59-E59</f>
        <v>337</v>
      </c>
    </row>
    <row r="60" spans="1:10" x14ac:dyDescent="0.25">
      <c r="A60" s="249" t="s">
        <v>68</v>
      </c>
      <c r="B60" s="264">
        <v>2053</v>
      </c>
      <c r="C60" s="264">
        <v>2038</v>
      </c>
      <c r="D60" s="264">
        <v>2212</v>
      </c>
      <c r="E60" s="264">
        <v>2606</v>
      </c>
      <c r="F60" s="98">
        <v>2942</v>
      </c>
      <c r="G60" s="149">
        <f t="shared" ref="G60:G69" si="0">(F60-B60)/B60</f>
        <v>0.43302484169508038</v>
      </c>
      <c r="H60" s="149">
        <f t="shared" ref="H60:H69" si="1">(F60-E60)/E60</f>
        <v>0.12893323100537221</v>
      </c>
      <c r="I60" s="218">
        <f t="shared" ref="I60:I69" si="2">F60/F$69</f>
        <v>0.17353860673627086</v>
      </c>
      <c r="J60" s="219">
        <f t="shared" ref="J60:J69" si="3">F60-E60</f>
        <v>336</v>
      </c>
    </row>
    <row r="61" spans="1:10" x14ac:dyDescent="0.25">
      <c r="A61" s="249" t="s">
        <v>34</v>
      </c>
      <c r="B61" s="264">
        <v>0</v>
      </c>
      <c r="C61" s="264">
        <v>0</v>
      </c>
      <c r="D61" s="264">
        <v>0</v>
      </c>
      <c r="E61" s="264">
        <v>0</v>
      </c>
      <c r="F61" s="98">
        <v>1</v>
      </c>
      <c r="G61" s="149" t="s">
        <v>130</v>
      </c>
      <c r="H61" s="149" t="s">
        <v>130</v>
      </c>
      <c r="I61" s="218">
        <f t="shared" si="2"/>
        <v>5.8986610039521029E-5</v>
      </c>
      <c r="J61" s="219">
        <f t="shared" si="3"/>
        <v>1</v>
      </c>
    </row>
    <row r="62" spans="1:10" x14ac:dyDescent="0.25">
      <c r="A62" s="226" t="s">
        <v>3</v>
      </c>
      <c r="B62" s="263">
        <v>4771</v>
      </c>
      <c r="C62" s="263">
        <v>4872</v>
      </c>
      <c r="D62" s="263">
        <v>5187</v>
      </c>
      <c r="E62" s="263">
        <v>5439</v>
      </c>
      <c r="F62" s="8">
        <v>5873</v>
      </c>
      <c r="G62" s="150">
        <f t="shared" si="0"/>
        <v>0.2309788304338713</v>
      </c>
      <c r="H62" s="150">
        <f t="shared" si="1"/>
        <v>7.9794079794079792E-2</v>
      </c>
      <c r="I62" s="220">
        <f t="shared" si="2"/>
        <v>0.34642836076210698</v>
      </c>
      <c r="J62" s="221">
        <f t="shared" si="3"/>
        <v>434</v>
      </c>
    </row>
    <row r="63" spans="1:10" x14ac:dyDescent="0.25">
      <c r="A63" s="249" t="s">
        <v>68</v>
      </c>
      <c r="B63" s="264">
        <v>4757</v>
      </c>
      <c r="C63" s="264">
        <v>4865</v>
      </c>
      <c r="D63" s="264">
        <v>5178</v>
      </c>
      <c r="E63" s="264">
        <v>5434</v>
      </c>
      <c r="F63" s="98">
        <v>5866</v>
      </c>
      <c r="G63" s="149">
        <f t="shared" si="0"/>
        <v>0.23313012402774858</v>
      </c>
      <c r="H63" s="149">
        <f t="shared" si="1"/>
        <v>7.9499447920500552E-2</v>
      </c>
      <c r="I63" s="218">
        <f t="shared" si="2"/>
        <v>0.34601545449183035</v>
      </c>
      <c r="J63" s="219">
        <f t="shared" si="3"/>
        <v>432</v>
      </c>
    </row>
    <row r="64" spans="1:10" x14ac:dyDescent="0.25">
      <c r="A64" s="249" t="s">
        <v>34</v>
      </c>
      <c r="B64" s="264">
        <v>14</v>
      </c>
      <c r="C64" s="264">
        <v>7</v>
      </c>
      <c r="D64" s="264">
        <v>9</v>
      </c>
      <c r="E64" s="264">
        <v>5</v>
      </c>
      <c r="F64" s="98">
        <v>7</v>
      </c>
      <c r="G64" s="149">
        <f t="shared" si="0"/>
        <v>-0.5</v>
      </c>
      <c r="H64" s="149">
        <f t="shared" si="1"/>
        <v>0.4</v>
      </c>
      <c r="I64" s="218">
        <f t="shared" si="2"/>
        <v>4.1290627027664719E-4</v>
      </c>
      <c r="J64" s="219">
        <f t="shared" si="3"/>
        <v>2</v>
      </c>
    </row>
    <row r="65" spans="1:10" x14ac:dyDescent="0.25">
      <c r="A65" s="226" t="s">
        <v>4</v>
      </c>
      <c r="B65" s="263">
        <v>6657</v>
      </c>
      <c r="C65" s="263">
        <v>6698</v>
      </c>
      <c r="D65" s="263">
        <v>6904</v>
      </c>
      <c r="E65" s="263">
        <v>7329</v>
      </c>
      <c r="F65" s="8">
        <v>8137</v>
      </c>
      <c r="G65" s="150">
        <f t="shared" si="0"/>
        <v>0.22232236743277753</v>
      </c>
      <c r="H65" s="150">
        <f t="shared" si="1"/>
        <v>0.11024696411515895</v>
      </c>
      <c r="I65" s="220">
        <f t="shared" si="2"/>
        <v>0.4799740458915826</v>
      </c>
      <c r="J65" s="221">
        <f t="shared" si="3"/>
        <v>808</v>
      </c>
    </row>
    <row r="66" spans="1:10" x14ac:dyDescent="0.25">
      <c r="A66" s="249" t="s">
        <v>68</v>
      </c>
      <c r="B66" s="264">
        <v>5946</v>
      </c>
      <c r="C66" s="264">
        <v>6021</v>
      </c>
      <c r="D66" s="264">
        <v>6201</v>
      </c>
      <c r="E66" s="264">
        <v>6570</v>
      </c>
      <c r="F66" s="98">
        <v>7185</v>
      </c>
      <c r="G66" s="149">
        <f t="shared" si="0"/>
        <v>0.20837537840565085</v>
      </c>
      <c r="H66" s="149">
        <f t="shared" si="1"/>
        <v>9.3607305936073054E-2</v>
      </c>
      <c r="I66" s="218">
        <f t="shared" si="2"/>
        <v>0.42381879313395859</v>
      </c>
      <c r="J66" s="219">
        <f t="shared" si="3"/>
        <v>615</v>
      </c>
    </row>
    <row r="67" spans="1:10" x14ac:dyDescent="0.25">
      <c r="A67" s="249" t="s">
        <v>35</v>
      </c>
      <c r="B67" s="264">
        <v>434</v>
      </c>
      <c r="C67" s="264">
        <v>445</v>
      </c>
      <c r="D67" s="264">
        <v>444</v>
      </c>
      <c r="E67" s="264">
        <v>395</v>
      </c>
      <c r="F67" s="98">
        <v>431</v>
      </c>
      <c r="G67" s="149">
        <f t="shared" si="0"/>
        <v>-6.9124423963133645E-3</v>
      </c>
      <c r="H67" s="149">
        <f t="shared" si="1"/>
        <v>9.1139240506329114E-2</v>
      </c>
      <c r="I67" s="218">
        <f t="shared" si="2"/>
        <v>2.5423228927033564E-2</v>
      </c>
      <c r="J67" s="219">
        <f t="shared" si="3"/>
        <v>36</v>
      </c>
    </row>
    <row r="68" spans="1:10" x14ac:dyDescent="0.25">
      <c r="A68" s="249" t="s">
        <v>34</v>
      </c>
      <c r="B68" s="264">
        <v>277</v>
      </c>
      <c r="C68" s="264">
        <v>232</v>
      </c>
      <c r="D68" s="264">
        <v>259</v>
      </c>
      <c r="E68" s="264">
        <v>364</v>
      </c>
      <c r="F68" s="98">
        <v>521</v>
      </c>
      <c r="G68" s="149">
        <f t="shared" si="0"/>
        <v>0.88086642599277976</v>
      </c>
      <c r="H68" s="149">
        <f t="shared" si="1"/>
        <v>0.43131868131868134</v>
      </c>
      <c r="I68" s="218">
        <f t="shared" si="2"/>
        <v>3.0732023830590455E-2</v>
      </c>
      <c r="J68" s="219">
        <f t="shared" si="3"/>
        <v>157</v>
      </c>
    </row>
    <row r="69" spans="1:10" x14ac:dyDescent="0.25">
      <c r="A69" s="252" t="s">
        <v>0</v>
      </c>
      <c r="B69" s="263">
        <v>13481</v>
      </c>
      <c r="C69" s="263">
        <v>13608</v>
      </c>
      <c r="D69" s="263">
        <v>14303</v>
      </c>
      <c r="E69" s="263">
        <v>15374</v>
      </c>
      <c r="F69" s="8">
        <v>16953</v>
      </c>
      <c r="G69" s="150">
        <f t="shared" si="0"/>
        <v>0.25754765966916399</v>
      </c>
      <c r="H69" s="150">
        <f t="shared" si="1"/>
        <v>0.1027058670482633</v>
      </c>
      <c r="I69" s="220">
        <f t="shared" si="2"/>
        <v>1</v>
      </c>
      <c r="J69" s="221">
        <f t="shared" si="3"/>
        <v>1579</v>
      </c>
    </row>
    <row r="71" spans="1:10" ht="15.75" x14ac:dyDescent="0.25">
      <c r="A71" s="54" t="s">
        <v>674</v>
      </c>
    </row>
    <row r="72" spans="1:10" ht="38.25" x14ac:dyDescent="0.25">
      <c r="A72" s="126" t="s">
        <v>54</v>
      </c>
      <c r="B72" s="105">
        <v>2021</v>
      </c>
      <c r="C72" s="105">
        <v>2022</v>
      </c>
      <c r="D72" s="105">
        <v>2023</v>
      </c>
      <c r="E72" s="105">
        <v>2024</v>
      </c>
      <c r="F72" s="105">
        <v>2025</v>
      </c>
      <c r="G72" s="106" t="s">
        <v>547</v>
      </c>
      <c r="H72" s="106" t="s">
        <v>548</v>
      </c>
      <c r="I72" s="106" t="s">
        <v>549</v>
      </c>
      <c r="J72" s="216" t="s">
        <v>563</v>
      </c>
    </row>
    <row r="73" spans="1:10" x14ac:dyDescent="0.25">
      <c r="A73" s="171" t="s">
        <v>45</v>
      </c>
      <c r="B73" s="264">
        <v>2416</v>
      </c>
      <c r="C73" s="264">
        <v>2367</v>
      </c>
      <c r="D73" s="264">
        <v>2424</v>
      </c>
      <c r="E73" s="264">
        <v>2591</v>
      </c>
      <c r="F73" s="98">
        <v>2829</v>
      </c>
      <c r="G73" s="149">
        <f>(F73-B73)/B73</f>
        <v>0.17094370860927152</v>
      </c>
      <c r="H73" s="149">
        <f>(F73-E73)/E73</f>
        <v>9.1856426090312623E-2</v>
      </c>
      <c r="I73" s="218">
        <f t="shared" ref="I73:I83" si="4">F73/F$97</f>
        <v>0.166873119801805</v>
      </c>
      <c r="J73" s="219">
        <f>F73-E73</f>
        <v>238</v>
      </c>
    </row>
    <row r="74" spans="1:10" x14ac:dyDescent="0.25">
      <c r="A74" s="171" t="s">
        <v>46</v>
      </c>
      <c r="B74" s="264">
        <v>350</v>
      </c>
      <c r="C74" s="264">
        <v>341</v>
      </c>
      <c r="D74" s="264">
        <v>360</v>
      </c>
      <c r="E74" s="264">
        <v>383</v>
      </c>
      <c r="F74" s="98">
        <v>430</v>
      </c>
      <c r="G74" s="149">
        <f t="shared" ref="G74:G83" si="5">(F74-B74)/B74</f>
        <v>0.22857142857142856</v>
      </c>
      <c r="H74" s="149">
        <f t="shared" ref="H74:H83" si="6">(F74-E74)/E74</f>
        <v>0.12271540469973891</v>
      </c>
      <c r="I74" s="218">
        <f t="shared" si="4"/>
        <v>2.5364242316994041E-2</v>
      </c>
      <c r="J74" s="219">
        <f t="shared" ref="J74:J83" si="7">F74-E74</f>
        <v>47</v>
      </c>
    </row>
    <row r="75" spans="1:10" x14ac:dyDescent="0.25">
      <c r="A75" s="171" t="s">
        <v>47</v>
      </c>
      <c r="B75" s="264">
        <v>885</v>
      </c>
      <c r="C75" s="264">
        <v>939</v>
      </c>
      <c r="D75" s="264">
        <v>1079</v>
      </c>
      <c r="E75" s="264">
        <v>1285</v>
      </c>
      <c r="F75" s="98">
        <v>1463</v>
      </c>
      <c r="G75" s="149">
        <f t="shared" si="5"/>
        <v>0.65310734463276832</v>
      </c>
      <c r="H75" s="149">
        <f t="shared" si="6"/>
        <v>0.13852140077821012</v>
      </c>
      <c r="I75" s="218">
        <f t="shared" si="4"/>
        <v>8.6297410487819262E-2</v>
      </c>
      <c r="J75" s="219">
        <f t="shared" si="7"/>
        <v>178</v>
      </c>
    </row>
    <row r="76" spans="1:10" x14ac:dyDescent="0.25">
      <c r="A76" s="171" t="s">
        <v>48</v>
      </c>
      <c r="B76" s="264">
        <v>268</v>
      </c>
      <c r="C76" s="264">
        <v>281</v>
      </c>
      <c r="D76" s="264">
        <v>286</v>
      </c>
      <c r="E76" s="264">
        <v>306</v>
      </c>
      <c r="F76" s="98">
        <v>344</v>
      </c>
      <c r="G76" s="149">
        <f t="shared" si="5"/>
        <v>0.28358208955223879</v>
      </c>
      <c r="H76" s="149">
        <f t="shared" si="6"/>
        <v>0.12418300653594772</v>
      </c>
      <c r="I76" s="218">
        <f t="shared" si="4"/>
        <v>2.0291393853595234E-2</v>
      </c>
      <c r="J76" s="219">
        <f t="shared" si="7"/>
        <v>38</v>
      </c>
    </row>
    <row r="77" spans="1:10" x14ac:dyDescent="0.25">
      <c r="A77" s="171" t="s">
        <v>49</v>
      </c>
      <c r="B77" s="264">
        <v>2022</v>
      </c>
      <c r="C77" s="264">
        <v>2092</v>
      </c>
      <c r="D77" s="264">
        <v>2200</v>
      </c>
      <c r="E77" s="264">
        <v>2269</v>
      </c>
      <c r="F77" s="98">
        <v>2546</v>
      </c>
      <c r="G77" s="149">
        <f t="shared" si="5"/>
        <v>0.25914935707220571</v>
      </c>
      <c r="H77" s="149">
        <f t="shared" si="6"/>
        <v>0.12208021154693698</v>
      </c>
      <c r="I77" s="218">
        <f t="shared" si="4"/>
        <v>0.15017990916062054</v>
      </c>
      <c r="J77" s="219">
        <f t="shared" si="7"/>
        <v>277</v>
      </c>
    </row>
    <row r="78" spans="1:10" x14ac:dyDescent="0.25">
      <c r="A78" s="171" t="s">
        <v>7</v>
      </c>
      <c r="B78" s="264">
        <v>542</v>
      </c>
      <c r="C78" s="264">
        <v>542</v>
      </c>
      <c r="D78" s="264">
        <v>610</v>
      </c>
      <c r="E78" s="264">
        <v>626</v>
      </c>
      <c r="F78" s="98">
        <v>697</v>
      </c>
      <c r="G78" s="149">
        <f t="shared" si="5"/>
        <v>0.2859778597785978</v>
      </c>
      <c r="H78" s="149">
        <f t="shared" si="6"/>
        <v>0.1134185303514377</v>
      </c>
      <c r="I78" s="218">
        <f t="shared" si="4"/>
        <v>4.111366719754616E-2</v>
      </c>
      <c r="J78" s="219">
        <f t="shared" si="7"/>
        <v>71</v>
      </c>
    </row>
    <row r="79" spans="1:10" x14ac:dyDescent="0.25">
      <c r="A79" s="171" t="s">
        <v>50</v>
      </c>
      <c r="B79" s="264">
        <v>1610</v>
      </c>
      <c r="C79" s="264">
        <v>1550</v>
      </c>
      <c r="D79" s="264">
        <v>1554</v>
      </c>
      <c r="E79" s="264">
        <v>1699</v>
      </c>
      <c r="F79" s="98">
        <v>1757</v>
      </c>
      <c r="G79" s="149">
        <f t="shared" si="5"/>
        <v>9.1304347826086957E-2</v>
      </c>
      <c r="H79" s="149">
        <f t="shared" si="6"/>
        <v>3.4137728075338436E-2</v>
      </c>
      <c r="I79" s="218">
        <f t="shared" si="4"/>
        <v>0.10363947383943845</v>
      </c>
      <c r="J79" s="219">
        <f t="shared" si="7"/>
        <v>58</v>
      </c>
    </row>
    <row r="80" spans="1:10" x14ac:dyDescent="0.25">
      <c r="A80" s="171" t="s">
        <v>51</v>
      </c>
      <c r="B80" s="264">
        <v>234</v>
      </c>
      <c r="C80" s="264">
        <v>226</v>
      </c>
      <c r="D80" s="264">
        <v>221</v>
      </c>
      <c r="E80" s="264">
        <v>237</v>
      </c>
      <c r="F80" s="98">
        <v>225</v>
      </c>
      <c r="G80" s="149">
        <f t="shared" si="5"/>
        <v>-3.8461538461538464E-2</v>
      </c>
      <c r="H80" s="149">
        <f t="shared" si="6"/>
        <v>-5.0632911392405063E-2</v>
      </c>
      <c r="I80" s="218">
        <f t="shared" si="4"/>
        <v>1.3271987258892231E-2</v>
      </c>
      <c r="J80" s="219">
        <f t="shared" si="7"/>
        <v>-12</v>
      </c>
    </row>
    <row r="81" spans="1:10" x14ac:dyDescent="0.25">
      <c r="A81" s="171" t="s">
        <v>52</v>
      </c>
      <c r="B81" s="264">
        <v>2024</v>
      </c>
      <c r="C81" s="264">
        <v>2078</v>
      </c>
      <c r="D81" s="264">
        <v>2180</v>
      </c>
      <c r="E81" s="264">
        <v>2288</v>
      </c>
      <c r="F81" s="98">
        <v>2439</v>
      </c>
      <c r="G81" s="149">
        <f t="shared" si="5"/>
        <v>0.20503952569169961</v>
      </c>
      <c r="H81" s="149">
        <f t="shared" si="6"/>
        <v>6.5996503496503503E-2</v>
      </c>
      <c r="I81" s="218">
        <f t="shared" si="4"/>
        <v>0.14386834188639178</v>
      </c>
      <c r="J81" s="219">
        <f t="shared" si="7"/>
        <v>151</v>
      </c>
    </row>
    <row r="82" spans="1:10" x14ac:dyDescent="0.25">
      <c r="A82" s="171" t="s">
        <v>53</v>
      </c>
      <c r="B82" s="264">
        <v>3130</v>
      </c>
      <c r="C82" s="264">
        <v>3192</v>
      </c>
      <c r="D82" s="264">
        <v>3389</v>
      </c>
      <c r="E82" s="264">
        <v>3690</v>
      </c>
      <c r="F82" s="98">
        <v>4223</v>
      </c>
      <c r="G82" s="149">
        <f t="shared" si="5"/>
        <v>0.34920127795527156</v>
      </c>
      <c r="H82" s="149">
        <f t="shared" si="6"/>
        <v>0.14444444444444443</v>
      </c>
      <c r="I82" s="218">
        <f t="shared" si="4"/>
        <v>0.2491004541968973</v>
      </c>
      <c r="J82" s="219">
        <f t="shared" si="7"/>
        <v>533</v>
      </c>
    </row>
    <row r="83" spans="1:10" x14ac:dyDescent="0.25">
      <c r="A83" s="80" t="s">
        <v>0</v>
      </c>
      <c r="B83" s="263">
        <v>13481</v>
      </c>
      <c r="C83" s="263">
        <v>13608</v>
      </c>
      <c r="D83" s="263">
        <v>14303</v>
      </c>
      <c r="E83" s="263">
        <v>15374</v>
      </c>
      <c r="F83" s="8">
        <v>16953</v>
      </c>
      <c r="G83" s="150">
        <f t="shared" si="5"/>
        <v>0.25754765966916399</v>
      </c>
      <c r="H83" s="150">
        <f t="shared" si="6"/>
        <v>0.1027058670482633</v>
      </c>
      <c r="I83" s="220">
        <f t="shared" si="4"/>
        <v>1</v>
      </c>
      <c r="J83" s="221">
        <f t="shared" si="7"/>
        <v>1579</v>
      </c>
    </row>
    <row r="85" spans="1:10" ht="15.75" x14ac:dyDescent="0.25">
      <c r="A85" s="54" t="s">
        <v>675</v>
      </c>
    </row>
    <row r="86" spans="1:10" ht="38.25" x14ac:dyDescent="0.25">
      <c r="A86" s="126" t="s">
        <v>54</v>
      </c>
      <c r="B86" s="105">
        <v>2021</v>
      </c>
      <c r="C86" s="105">
        <v>2022</v>
      </c>
      <c r="D86" s="105">
        <v>2023</v>
      </c>
      <c r="E86" s="105">
        <v>2024</v>
      </c>
      <c r="F86" s="105">
        <v>2025</v>
      </c>
      <c r="G86" s="106" t="s">
        <v>547</v>
      </c>
      <c r="H86" s="106" t="s">
        <v>548</v>
      </c>
      <c r="I86" s="106" t="s">
        <v>549</v>
      </c>
      <c r="J86" s="216" t="s">
        <v>563</v>
      </c>
    </row>
    <row r="87" spans="1:10" x14ac:dyDescent="0.25">
      <c r="A87" s="171" t="s">
        <v>552</v>
      </c>
      <c r="B87" s="264">
        <v>2899</v>
      </c>
      <c r="C87" s="264">
        <v>2839</v>
      </c>
      <c r="D87" s="264">
        <v>2968</v>
      </c>
      <c r="E87" s="264">
        <v>3104</v>
      </c>
      <c r="F87" s="98">
        <v>3401</v>
      </c>
      <c r="G87" s="149">
        <f>(F87-B87)/B87</f>
        <v>0.1731631597102449</v>
      </c>
      <c r="H87" s="149">
        <f>(F87-E87)/E87</f>
        <v>9.5682989690721643E-2</v>
      </c>
      <c r="I87" s="218">
        <f>F87/F$97</f>
        <v>0.20061346074441103</v>
      </c>
      <c r="J87" s="219">
        <f>F87-E87</f>
        <v>297</v>
      </c>
    </row>
    <row r="88" spans="1:10" x14ac:dyDescent="0.25">
      <c r="A88" s="171" t="s">
        <v>553</v>
      </c>
      <c r="B88" s="264">
        <v>347</v>
      </c>
      <c r="C88" s="264">
        <v>340</v>
      </c>
      <c r="D88" s="264">
        <v>361</v>
      </c>
      <c r="E88" s="264">
        <v>383</v>
      </c>
      <c r="F88" s="98">
        <v>429</v>
      </c>
      <c r="G88" s="149">
        <f t="shared" ref="G88:G97" si="8">(F88-B88)/B88</f>
        <v>0.23631123919308358</v>
      </c>
      <c r="H88" s="149">
        <f t="shared" ref="H88:H97" si="9">(F88-E88)/E88</f>
        <v>0.12010443864229765</v>
      </c>
      <c r="I88" s="218">
        <f t="shared" ref="I88:I97" si="10">F88/F$97</f>
        <v>2.5305255706954521E-2</v>
      </c>
      <c r="J88" s="219">
        <f t="shared" ref="J88:J97" si="11">F88-E88</f>
        <v>46</v>
      </c>
    </row>
    <row r="89" spans="1:10" x14ac:dyDescent="0.25">
      <c r="A89" s="171" t="s">
        <v>554</v>
      </c>
      <c r="B89" s="264">
        <v>941</v>
      </c>
      <c r="C89" s="264">
        <v>1004</v>
      </c>
      <c r="D89" s="264">
        <v>1111</v>
      </c>
      <c r="E89" s="264">
        <v>1314</v>
      </c>
      <c r="F89" s="98">
        <v>1462</v>
      </c>
      <c r="G89" s="149">
        <f t="shared" si="8"/>
        <v>0.55366631243358133</v>
      </c>
      <c r="H89" s="149">
        <f t="shared" si="9"/>
        <v>0.11263318112633181</v>
      </c>
      <c r="I89" s="218">
        <f t="shared" si="10"/>
        <v>8.6238423877779746E-2</v>
      </c>
      <c r="J89" s="219">
        <f t="shared" si="11"/>
        <v>148</v>
      </c>
    </row>
    <row r="90" spans="1:10" x14ac:dyDescent="0.25">
      <c r="A90" s="171" t="s">
        <v>555</v>
      </c>
      <c r="B90" s="264">
        <v>303</v>
      </c>
      <c r="C90" s="264">
        <v>323</v>
      </c>
      <c r="D90" s="264">
        <v>336</v>
      </c>
      <c r="E90" s="264">
        <v>356</v>
      </c>
      <c r="F90" s="98">
        <v>394</v>
      </c>
      <c r="G90" s="149">
        <f t="shared" si="8"/>
        <v>0.30033003300330036</v>
      </c>
      <c r="H90" s="149">
        <f t="shared" si="9"/>
        <v>0.10674157303370786</v>
      </c>
      <c r="I90" s="218">
        <f t="shared" si="10"/>
        <v>2.3240724355571285E-2</v>
      </c>
      <c r="J90" s="219">
        <f t="shared" si="11"/>
        <v>38</v>
      </c>
    </row>
    <row r="91" spans="1:10" x14ac:dyDescent="0.25">
      <c r="A91" s="171" t="s">
        <v>556</v>
      </c>
      <c r="B91" s="264">
        <v>846</v>
      </c>
      <c r="C91" s="264">
        <v>868</v>
      </c>
      <c r="D91" s="264">
        <v>939</v>
      </c>
      <c r="E91" s="264">
        <v>1011</v>
      </c>
      <c r="F91" s="98">
        <v>1182</v>
      </c>
      <c r="G91" s="149">
        <f t="shared" si="8"/>
        <v>0.3971631205673759</v>
      </c>
      <c r="H91" s="149">
        <f t="shared" si="9"/>
        <v>0.16913946587537093</v>
      </c>
      <c r="I91" s="218">
        <f t="shared" si="10"/>
        <v>6.9722173066713855E-2</v>
      </c>
      <c r="J91" s="219">
        <f t="shared" si="11"/>
        <v>171</v>
      </c>
    </row>
    <row r="92" spans="1:10" x14ac:dyDescent="0.25">
      <c r="A92" s="171" t="s">
        <v>50</v>
      </c>
      <c r="B92" s="264">
        <v>1460</v>
      </c>
      <c r="C92" s="264">
        <v>1409</v>
      </c>
      <c r="D92" s="264">
        <v>1423</v>
      </c>
      <c r="E92" s="264">
        <v>1558</v>
      </c>
      <c r="F92" s="98">
        <v>1580</v>
      </c>
      <c r="G92" s="149">
        <f t="shared" si="8"/>
        <v>8.2191780821917804E-2</v>
      </c>
      <c r="H92" s="149">
        <f t="shared" si="9"/>
        <v>1.4120667522464698E-2</v>
      </c>
      <c r="I92" s="218">
        <f t="shared" si="10"/>
        <v>9.3198843862443231E-2</v>
      </c>
      <c r="J92" s="219">
        <f t="shared" si="11"/>
        <v>22</v>
      </c>
    </row>
    <row r="93" spans="1:10" x14ac:dyDescent="0.25">
      <c r="A93" s="171" t="s">
        <v>557</v>
      </c>
      <c r="B93" s="264">
        <v>2083</v>
      </c>
      <c r="C93" s="264">
        <v>2014</v>
      </c>
      <c r="D93" s="264">
        <v>2118</v>
      </c>
      <c r="E93" s="264">
        <v>2193</v>
      </c>
      <c r="F93" s="98">
        <v>2475</v>
      </c>
      <c r="G93" s="149">
        <f t="shared" si="8"/>
        <v>0.18819011041766684</v>
      </c>
      <c r="H93" s="149">
        <f t="shared" si="9"/>
        <v>0.12859097127222982</v>
      </c>
      <c r="I93" s="218">
        <f t="shared" si="10"/>
        <v>0.14599185984781454</v>
      </c>
      <c r="J93" s="219">
        <f t="shared" si="11"/>
        <v>282</v>
      </c>
    </row>
    <row r="94" spans="1:10" x14ac:dyDescent="0.25">
      <c r="A94" s="171" t="s">
        <v>558</v>
      </c>
      <c r="B94" s="264">
        <v>2938</v>
      </c>
      <c r="C94" s="264">
        <v>3019</v>
      </c>
      <c r="D94" s="264">
        <v>3128</v>
      </c>
      <c r="E94" s="264">
        <v>3189</v>
      </c>
      <c r="F94" s="98">
        <v>3404</v>
      </c>
      <c r="G94" s="149">
        <f t="shared" si="8"/>
        <v>0.15861130020422057</v>
      </c>
      <c r="H94" s="149">
        <f t="shared" si="9"/>
        <v>6.7419253684540603E-2</v>
      </c>
      <c r="I94" s="218">
        <f t="shared" si="10"/>
        <v>0.20079042057452959</v>
      </c>
      <c r="J94" s="219">
        <f t="shared" si="11"/>
        <v>215</v>
      </c>
    </row>
    <row r="95" spans="1:10" x14ac:dyDescent="0.25">
      <c r="A95" s="171" t="s">
        <v>559</v>
      </c>
      <c r="B95" s="264">
        <v>756</v>
      </c>
      <c r="C95" s="264">
        <v>758</v>
      </c>
      <c r="D95" s="264">
        <v>777</v>
      </c>
      <c r="E95" s="264">
        <v>884</v>
      </c>
      <c r="F95" s="98">
        <v>1010</v>
      </c>
      <c r="G95" s="149">
        <f t="shared" si="8"/>
        <v>0.33597883597883599</v>
      </c>
      <c r="H95" s="149">
        <f t="shared" si="9"/>
        <v>0.1425339366515837</v>
      </c>
      <c r="I95" s="218">
        <f t="shared" si="10"/>
        <v>5.9576476139916242E-2</v>
      </c>
      <c r="J95" s="219">
        <f t="shared" si="11"/>
        <v>126</v>
      </c>
    </row>
    <row r="96" spans="1:10" x14ac:dyDescent="0.25">
      <c r="A96" s="171" t="s">
        <v>560</v>
      </c>
      <c r="B96" s="264">
        <v>908</v>
      </c>
      <c r="C96" s="264">
        <v>1034</v>
      </c>
      <c r="D96" s="264">
        <v>1142</v>
      </c>
      <c r="E96" s="264">
        <v>1382</v>
      </c>
      <c r="F96" s="98">
        <v>1616</v>
      </c>
      <c r="G96" s="149">
        <f t="shared" si="8"/>
        <v>0.77973568281938321</v>
      </c>
      <c r="H96" s="149">
        <f t="shared" si="9"/>
        <v>0.16931982633863965</v>
      </c>
      <c r="I96" s="218">
        <f t="shared" si="10"/>
        <v>9.5322361823865984E-2</v>
      </c>
      <c r="J96" s="219">
        <f t="shared" si="11"/>
        <v>234</v>
      </c>
    </row>
    <row r="97" spans="1:10" x14ac:dyDescent="0.25">
      <c r="A97" s="80" t="s">
        <v>0</v>
      </c>
      <c r="B97" s="263">
        <v>13481</v>
      </c>
      <c r="C97" s="263">
        <v>13608</v>
      </c>
      <c r="D97" s="263">
        <v>14303</v>
      </c>
      <c r="E97" s="263">
        <v>15374</v>
      </c>
      <c r="F97" s="8">
        <v>16953</v>
      </c>
      <c r="G97" s="150">
        <f t="shared" si="8"/>
        <v>0.25754765966916399</v>
      </c>
      <c r="H97" s="150">
        <f t="shared" si="9"/>
        <v>0.1027058670482633</v>
      </c>
      <c r="I97" s="220">
        <f t="shared" si="10"/>
        <v>1</v>
      </c>
      <c r="J97" s="221">
        <f t="shared" si="11"/>
        <v>1579</v>
      </c>
    </row>
    <row r="99" spans="1:10" ht="15.75" x14ac:dyDescent="0.25">
      <c r="A99" s="259" t="s">
        <v>679</v>
      </c>
    </row>
    <row r="100" spans="1:10" ht="38.25" x14ac:dyDescent="0.25">
      <c r="A100" s="238" t="s">
        <v>44</v>
      </c>
      <c r="B100" s="105">
        <v>2021</v>
      </c>
      <c r="C100" s="105">
        <v>2022</v>
      </c>
      <c r="D100" s="105">
        <v>2023</v>
      </c>
      <c r="E100" s="105">
        <v>2024</v>
      </c>
      <c r="F100" s="105">
        <v>2025</v>
      </c>
      <c r="G100" s="106" t="s">
        <v>547</v>
      </c>
      <c r="H100" s="106" t="s">
        <v>548</v>
      </c>
      <c r="I100" s="106" t="s">
        <v>549</v>
      </c>
      <c r="J100" s="216" t="s">
        <v>563</v>
      </c>
    </row>
    <row r="101" spans="1:10" x14ac:dyDescent="0.25">
      <c r="A101" s="225" t="s">
        <v>582</v>
      </c>
      <c r="B101" s="264">
        <v>239</v>
      </c>
      <c r="C101" s="264">
        <v>242</v>
      </c>
      <c r="D101" s="264">
        <v>252</v>
      </c>
      <c r="E101" s="264">
        <v>259</v>
      </c>
      <c r="F101" s="98">
        <v>260</v>
      </c>
      <c r="G101" s="149">
        <f t="shared" ref="G101:G117" si="12">(F101-B101)/B101</f>
        <v>8.7866108786610872E-2</v>
      </c>
      <c r="H101" s="149">
        <f t="shared" ref="H101:H117" si="13">(F101-E101)/E101</f>
        <v>3.8610038610038611E-3</v>
      </c>
      <c r="I101" s="218">
        <f>F101/F$117</f>
        <v>1.5336518610275468E-2</v>
      </c>
      <c r="J101" s="219">
        <f t="shared" ref="J101:J117" si="14">F101-E101</f>
        <v>1</v>
      </c>
    </row>
    <row r="102" spans="1:10" x14ac:dyDescent="0.25">
      <c r="A102" s="225" t="s">
        <v>583</v>
      </c>
      <c r="B102" s="264">
        <v>289</v>
      </c>
      <c r="C102" s="264">
        <v>265</v>
      </c>
      <c r="D102" s="264">
        <v>284</v>
      </c>
      <c r="E102" s="264">
        <v>267</v>
      </c>
      <c r="F102" s="98">
        <v>292</v>
      </c>
      <c r="G102" s="149">
        <f t="shared" si="12"/>
        <v>1.0380622837370242E-2</v>
      </c>
      <c r="H102" s="149">
        <f t="shared" si="13"/>
        <v>9.3632958801498134E-2</v>
      </c>
      <c r="I102" s="218">
        <f t="shared" ref="I102:I117" si="15">F102/F$117</f>
        <v>1.7224090131540141E-2</v>
      </c>
      <c r="J102" s="219">
        <f t="shared" si="14"/>
        <v>25</v>
      </c>
    </row>
    <row r="103" spans="1:10" x14ac:dyDescent="0.25">
      <c r="A103" s="225" t="s">
        <v>584</v>
      </c>
      <c r="B103" s="264">
        <v>448</v>
      </c>
      <c r="C103" s="264">
        <v>423</v>
      </c>
      <c r="D103" s="264">
        <v>460</v>
      </c>
      <c r="E103" s="264">
        <v>461</v>
      </c>
      <c r="F103" s="98">
        <v>500</v>
      </c>
      <c r="G103" s="149">
        <f t="shared" si="12"/>
        <v>0.11607142857142858</v>
      </c>
      <c r="H103" s="149">
        <f t="shared" si="13"/>
        <v>8.4598698481561818E-2</v>
      </c>
      <c r="I103" s="218">
        <f t="shared" si="15"/>
        <v>2.9493305019760514E-2</v>
      </c>
      <c r="J103" s="219">
        <f t="shared" si="14"/>
        <v>39</v>
      </c>
    </row>
    <row r="104" spans="1:10" x14ac:dyDescent="0.25">
      <c r="A104" s="225" t="s">
        <v>585</v>
      </c>
      <c r="B104" s="264">
        <v>170</v>
      </c>
      <c r="C104" s="264">
        <v>173</v>
      </c>
      <c r="D104" s="264">
        <v>190</v>
      </c>
      <c r="E104" s="264">
        <v>185</v>
      </c>
      <c r="F104" s="98">
        <v>199</v>
      </c>
      <c r="G104" s="149">
        <f t="shared" si="12"/>
        <v>0.17058823529411765</v>
      </c>
      <c r="H104" s="149">
        <f t="shared" si="13"/>
        <v>7.567567567567568E-2</v>
      </c>
      <c r="I104" s="218">
        <f t="shared" si="15"/>
        <v>1.1738335397864685E-2</v>
      </c>
      <c r="J104" s="219">
        <f t="shared" si="14"/>
        <v>14</v>
      </c>
    </row>
    <row r="105" spans="1:10" x14ac:dyDescent="0.25">
      <c r="A105" s="225" t="s">
        <v>586</v>
      </c>
      <c r="B105" s="264">
        <v>498</v>
      </c>
      <c r="C105" s="264">
        <v>503</v>
      </c>
      <c r="D105" s="264">
        <v>496</v>
      </c>
      <c r="E105" s="264">
        <v>569</v>
      </c>
      <c r="F105" s="98">
        <v>641</v>
      </c>
      <c r="G105" s="149">
        <f t="shared" si="12"/>
        <v>0.28714859437751006</v>
      </c>
      <c r="H105" s="149">
        <f t="shared" si="13"/>
        <v>0.1265377855887522</v>
      </c>
      <c r="I105" s="218">
        <f t="shared" si="15"/>
        <v>3.7810417035332979E-2</v>
      </c>
      <c r="J105" s="219">
        <f t="shared" si="14"/>
        <v>72</v>
      </c>
    </row>
    <row r="106" spans="1:10" x14ac:dyDescent="0.25">
      <c r="A106" s="225" t="s">
        <v>587</v>
      </c>
      <c r="B106" s="264">
        <v>1418</v>
      </c>
      <c r="C106" s="264">
        <v>1472</v>
      </c>
      <c r="D106" s="264">
        <v>1494</v>
      </c>
      <c r="E106" s="264">
        <v>1659</v>
      </c>
      <c r="F106" s="98">
        <v>1792</v>
      </c>
      <c r="G106" s="149">
        <f t="shared" si="12"/>
        <v>0.26375176304654441</v>
      </c>
      <c r="H106" s="149">
        <f t="shared" si="13"/>
        <v>8.0168776371308023E-2</v>
      </c>
      <c r="I106" s="218">
        <f t="shared" si="15"/>
        <v>0.10570400519082168</v>
      </c>
      <c r="J106" s="219">
        <f t="shared" si="14"/>
        <v>133</v>
      </c>
    </row>
    <row r="107" spans="1:10" x14ac:dyDescent="0.25">
      <c r="A107" s="225" t="s">
        <v>588</v>
      </c>
      <c r="B107" s="264">
        <v>5686</v>
      </c>
      <c r="C107" s="264">
        <v>5790</v>
      </c>
      <c r="D107" s="264">
        <v>6178</v>
      </c>
      <c r="E107" s="264">
        <v>6629</v>
      </c>
      <c r="F107" s="98">
        <v>7393</v>
      </c>
      <c r="G107" s="149">
        <f t="shared" si="12"/>
        <v>0.30021104467112203</v>
      </c>
      <c r="H107" s="149">
        <f t="shared" si="13"/>
        <v>0.11525116910544576</v>
      </c>
      <c r="I107" s="218">
        <f t="shared" si="15"/>
        <v>0.43608800802217895</v>
      </c>
      <c r="J107" s="219">
        <f t="shared" si="14"/>
        <v>764</v>
      </c>
    </row>
    <row r="108" spans="1:10" x14ac:dyDescent="0.25">
      <c r="A108" s="225" t="s">
        <v>589</v>
      </c>
      <c r="B108" s="264">
        <v>394</v>
      </c>
      <c r="C108" s="264">
        <v>391</v>
      </c>
      <c r="D108" s="264">
        <v>421</v>
      </c>
      <c r="E108" s="264">
        <v>432</v>
      </c>
      <c r="F108" s="98">
        <v>486</v>
      </c>
      <c r="G108" s="149">
        <f t="shared" si="12"/>
        <v>0.233502538071066</v>
      </c>
      <c r="H108" s="149">
        <f t="shared" si="13"/>
        <v>0.125</v>
      </c>
      <c r="I108" s="218">
        <f t="shared" si="15"/>
        <v>2.8667492479207218E-2</v>
      </c>
      <c r="J108" s="219">
        <f t="shared" si="14"/>
        <v>54</v>
      </c>
    </row>
    <row r="109" spans="1:10" x14ac:dyDescent="0.25">
      <c r="A109" s="225" t="s">
        <v>590</v>
      </c>
      <c r="B109" s="264">
        <v>687</v>
      </c>
      <c r="C109" s="264">
        <v>669</v>
      </c>
      <c r="D109" s="264">
        <v>717</v>
      </c>
      <c r="E109" s="264">
        <v>755</v>
      </c>
      <c r="F109" s="98">
        <v>830</v>
      </c>
      <c r="G109" s="149">
        <f t="shared" si="12"/>
        <v>0.20815138282387191</v>
      </c>
      <c r="H109" s="149">
        <f t="shared" si="13"/>
        <v>9.9337748344370855E-2</v>
      </c>
      <c r="I109" s="218">
        <f t="shared" si="15"/>
        <v>4.8958886332802452E-2</v>
      </c>
      <c r="J109" s="219">
        <f t="shared" si="14"/>
        <v>75</v>
      </c>
    </row>
    <row r="110" spans="1:10" x14ac:dyDescent="0.25">
      <c r="A110" s="225" t="s">
        <v>591</v>
      </c>
      <c r="B110" s="264">
        <v>323</v>
      </c>
      <c r="C110" s="264">
        <v>324</v>
      </c>
      <c r="D110" s="264">
        <v>356</v>
      </c>
      <c r="E110" s="264">
        <v>395</v>
      </c>
      <c r="F110" s="98">
        <v>421</v>
      </c>
      <c r="G110" s="149">
        <f t="shared" si="12"/>
        <v>0.30340557275541796</v>
      </c>
      <c r="H110" s="149">
        <f t="shared" si="13"/>
        <v>6.5822784810126586E-2</v>
      </c>
      <c r="I110" s="218">
        <f t="shared" si="15"/>
        <v>2.4833362826638353E-2</v>
      </c>
      <c r="J110" s="219">
        <f t="shared" si="14"/>
        <v>26</v>
      </c>
    </row>
    <row r="111" spans="1:10" x14ac:dyDescent="0.25">
      <c r="A111" s="225" t="s">
        <v>592</v>
      </c>
      <c r="B111" s="264">
        <v>1662</v>
      </c>
      <c r="C111" s="264">
        <v>1631</v>
      </c>
      <c r="D111" s="264">
        <v>1679</v>
      </c>
      <c r="E111" s="264">
        <v>1862</v>
      </c>
      <c r="F111" s="98">
        <v>1986</v>
      </c>
      <c r="G111" s="149">
        <f t="shared" si="12"/>
        <v>0.19494584837545126</v>
      </c>
      <c r="H111" s="149">
        <f t="shared" si="13"/>
        <v>6.6595059076262078E-2</v>
      </c>
      <c r="I111" s="218">
        <f t="shared" si="15"/>
        <v>0.11714740753848876</v>
      </c>
      <c r="J111" s="219">
        <f t="shared" si="14"/>
        <v>124</v>
      </c>
    </row>
    <row r="112" spans="1:10" x14ac:dyDescent="0.25">
      <c r="A112" s="225" t="s">
        <v>593</v>
      </c>
      <c r="B112" s="264">
        <v>720</v>
      </c>
      <c r="C112" s="264">
        <v>733</v>
      </c>
      <c r="D112" s="264">
        <v>777</v>
      </c>
      <c r="E112" s="264">
        <v>811</v>
      </c>
      <c r="F112" s="98">
        <v>926</v>
      </c>
      <c r="G112" s="149">
        <f t="shared" si="12"/>
        <v>0.28611111111111109</v>
      </c>
      <c r="H112" s="149">
        <f t="shared" si="13"/>
        <v>0.14180024660912455</v>
      </c>
      <c r="I112" s="218">
        <f t="shared" si="15"/>
        <v>5.462160089659647E-2</v>
      </c>
      <c r="J112" s="219">
        <f t="shared" si="14"/>
        <v>115</v>
      </c>
    </row>
    <row r="113" spans="1:108" x14ac:dyDescent="0.25">
      <c r="A113" s="225" t="s">
        <v>594</v>
      </c>
      <c r="B113" s="264">
        <v>290</v>
      </c>
      <c r="C113" s="264">
        <v>304</v>
      </c>
      <c r="D113" s="264">
        <v>308</v>
      </c>
      <c r="E113" s="264">
        <v>319</v>
      </c>
      <c r="F113" s="98">
        <v>358</v>
      </c>
      <c r="G113" s="149">
        <f t="shared" si="12"/>
        <v>0.23448275862068965</v>
      </c>
      <c r="H113" s="149">
        <f t="shared" si="13"/>
        <v>0.12225705329153605</v>
      </c>
      <c r="I113" s="218">
        <f t="shared" si="15"/>
        <v>2.1117206394148529E-2</v>
      </c>
      <c r="J113" s="219">
        <f t="shared" si="14"/>
        <v>39</v>
      </c>
    </row>
    <row r="114" spans="1:108" x14ac:dyDescent="0.25">
      <c r="A114" s="225" t="s">
        <v>595</v>
      </c>
      <c r="B114" s="264">
        <v>438</v>
      </c>
      <c r="C114" s="264">
        <v>469</v>
      </c>
      <c r="D114" s="264">
        <v>460</v>
      </c>
      <c r="E114" s="264">
        <v>529</v>
      </c>
      <c r="F114" s="98">
        <v>582</v>
      </c>
      <c r="G114" s="149">
        <f t="shared" si="12"/>
        <v>0.32876712328767121</v>
      </c>
      <c r="H114" s="149">
        <f t="shared" si="13"/>
        <v>0.1001890359168242</v>
      </c>
      <c r="I114" s="218">
        <f t="shared" si="15"/>
        <v>3.4330207043001236E-2</v>
      </c>
      <c r="J114" s="219">
        <f t="shared" si="14"/>
        <v>53</v>
      </c>
    </row>
    <row r="115" spans="1:108" x14ac:dyDescent="0.25">
      <c r="A115" s="225" t="s">
        <v>596</v>
      </c>
      <c r="B115" s="264">
        <v>82</v>
      </c>
      <c r="C115" s="264">
        <v>77</v>
      </c>
      <c r="D115" s="264">
        <v>79</v>
      </c>
      <c r="E115" s="264">
        <v>76</v>
      </c>
      <c r="F115" s="98">
        <v>105</v>
      </c>
      <c r="G115" s="149">
        <f t="shared" si="12"/>
        <v>0.28048780487804881</v>
      </c>
      <c r="H115" s="149">
        <f t="shared" si="13"/>
        <v>0.38157894736842107</v>
      </c>
      <c r="I115" s="218">
        <f t="shared" si="15"/>
        <v>6.1935940541497083E-3</v>
      </c>
      <c r="J115" s="219">
        <f t="shared" si="14"/>
        <v>29</v>
      </c>
    </row>
    <row r="116" spans="1:108" x14ac:dyDescent="0.25">
      <c r="A116" s="225" t="s">
        <v>597</v>
      </c>
      <c r="B116" s="264">
        <v>137</v>
      </c>
      <c r="C116" s="264">
        <v>142</v>
      </c>
      <c r="D116" s="264">
        <v>152</v>
      </c>
      <c r="E116" s="264">
        <v>166</v>
      </c>
      <c r="F116" s="98">
        <v>182</v>
      </c>
      <c r="G116" s="149">
        <f t="shared" si="12"/>
        <v>0.32846715328467152</v>
      </c>
      <c r="H116" s="149">
        <f t="shared" si="13"/>
        <v>9.6385542168674704E-2</v>
      </c>
      <c r="I116" s="218">
        <f t="shared" si="15"/>
        <v>1.0735563027192828E-2</v>
      </c>
      <c r="J116" s="219">
        <f t="shared" si="14"/>
        <v>16</v>
      </c>
    </row>
    <row r="117" spans="1:108" x14ac:dyDescent="0.25">
      <c r="A117" s="226" t="s">
        <v>598</v>
      </c>
      <c r="B117" s="263">
        <v>13481</v>
      </c>
      <c r="C117" s="263">
        <v>13608</v>
      </c>
      <c r="D117" s="263">
        <v>14303</v>
      </c>
      <c r="E117" s="263">
        <v>15374</v>
      </c>
      <c r="F117" s="8">
        <v>16953</v>
      </c>
      <c r="G117" s="150">
        <f t="shared" si="12"/>
        <v>0.25754765966916399</v>
      </c>
      <c r="H117" s="150">
        <f t="shared" si="13"/>
        <v>0.1027058670482633</v>
      </c>
      <c r="I117" s="220">
        <f t="shared" si="15"/>
        <v>1</v>
      </c>
      <c r="J117" s="221">
        <f t="shared" si="14"/>
        <v>1579</v>
      </c>
    </row>
    <row r="119" spans="1:108" ht="15.75" x14ac:dyDescent="0.25">
      <c r="A119" s="259" t="s">
        <v>651</v>
      </c>
    </row>
    <row r="120" spans="1:108" ht="38.25" x14ac:dyDescent="0.25">
      <c r="A120" s="238" t="s">
        <v>607</v>
      </c>
      <c r="B120" s="105">
        <v>2021</v>
      </c>
      <c r="C120" s="105">
        <v>2022</v>
      </c>
      <c r="D120" s="105">
        <v>2023</v>
      </c>
      <c r="E120" s="105">
        <v>2024</v>
      </c>
      <c r="F120" s="105">
        <v>2025</v>
      </c>
      <c r="G120" s="106" t="s">
        <v>547</v>
      </c>
      <c r="H120" s="106" t="s">
        <v>548</v>
      </c>
      <c r="I120" s="106" t="s">
        <v>549</v>
      </c>
      <c r="J120" s="216" t="s">
        <v>563</v>
      </c>
    </row>
    <row r="121" spans="1:108" s="42" customFormat="1" x14ac:dyDescent="0.25">
      <c r="A121" s="226" t="s">
        <v>2</v>
      </c>
      <c r="B121" s="263">
        <v>2053</v>
      </c>
      <c r="C121" s="263">
        <v>2038</v>
      </c>
      <c r="D121" s="263">
        <v>2212</v>
      </c>
      <c r="E121" s="263">
        <v>2606</v>
      </c>
      <c r="F121" s="8">
        <v>2942</v>
      </c>
      <c r="G121" s="150">
        <f>(F121-B121)/B121</f>
        <v>0.43302484169508038</v>
      </c>
      <c r="H121" s="150">
        <f>(F121-E121)/E121</f>
        <v>0.12893323100537221</v>
      </c>
      <c r="I121" s="220">
        <f t="shared" ref="I121:I132" si="16">F121/F$132</f>
        <v>0.1839554805227287</v>
      </c>
      <c r="J121" s="221">
        <f>F121-E121</f>
        <v>336</v>
      </c>
      <c r="K121" s="15"/>
      <c r="L121" s="15"/>
      <c r="M121" s="15"/>
      <c r="N121" s="15"/>
      <c r="O121" s="15"/>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c r="AS121" s="53"/>
      <c r="AT121" s="53"/>
      <c r="AU121" s="53"/>
      <c r="AV121" s="53"/>
      <c r="AW121" s="53"/>
      <c r="AX121" s="53"/>
      <c r="AY121" s="53"/>
      <c r="AZ121" s="53"/>
      <c r="BA121" s="53"/>
      <c r="BB121" s="53"/>
      <c r="BC121" s="53"/>
      <c r="BD121" s="53"/>
      <c r="BE121" s="53"/>
      <c r="BF121" s="53"/>
      <c r="BG121" s="53"/>
      <c r="BH121" s="53"/>
      <c r="BI121" s="53"/>
      <c r="BJ121" s="53"/>
      <c r="BK121" s="53"/>
      <c r="BL121" s="53"/>
      <c r="BM121" s="53"/>
      <c r="BN121" s="53"/>
      <c r="BO121" s="53"/>
      <c r="BP121" s="53"/>
      <c r="BQ121" s="53"/>
      <c r="BR121" s="53"/>
      <c r="BS121" s="53"/>
      <c r="BT121" s="53"/>
      <c r="BU121" s="53"/>
      <c r="BV121" s="53"/>
      <c r="BW121" s="53"/>
      <c r="BX121" s="53"/>
      <c r="BY121" s="53"/>
      <c r="BZ121" s="53"/>
      <c r="CA121" s="53"/>
      <c r="CB121" s="53"/>
      <c r="CC121" s="53"/>
      <c r="CD121" s="53"/>
      <c r="CE121" s="53"/>
      <c r="CF121" s="53"/>
      <c r="CG121" s="53"/>
      <c r="CH121" s="53"/>
      <c r="CI121" s="53"/>
      <c r="CJ121" s="53"/>
      <c r="CK121" s="53"/>
      <c r="CL121" s="53"/>
      <c r="CM121" s="53"/>
      <c r="CN121" s="53"/>
      <c r="CO121" s="53"/>
      <c r="CP121" s="53"/>
      <c r="CQ121" s="53"/>
      <c r="CR121" s="53"/>
      <c r="CS121" s="53"/>
      <c r="CT121" s="53"/>
      <c r="CU121" s="53"/>
      <c r="CV121" s="53"/>
      <c r="CW121" s="53"/>
      <c r="CX121" s="53"/>
      <c r="CY121" s="53"/>
      <c r="CZ121" s="53"/>
      <c r="DA121" s="53"/>
      <c r="DB121" s="53"/>
      <c r="DC121" s="53"/>
      <c r="DD121" s="53"/>
    </row>
    <row r="122" spans="1:108" x14ac:dyDescent="0.25">
      <c r="A122" s="232" t="s">
        <v>82</v>
      </c>
      <c r="B122" s="264">
        <v>2053</v>
      </c>
      <c r="C122" s="264">
        <v>2038</v>
      </c>
      <c r="D122" s="264">
        <v>2212</v>
      </c>
      <c r="E122" s="264">
        <v>2606</v>
      </c>
      <c r="F122" s="98">
        <v>2942</v>
      </c>
      <c r="G122" s="149">
        <f t="shared" ref="G122:G132" si="17">(F122-B122)/B122</f>
        <v>0.43302484169508038</v>
      </c>
      <c r="H122" s="149">
        <f t="shared" ref="H122:H132" si="18">(F122-E122)/E122</f>
        <v>0.12893323100537221</v>
      </c>
      <c r="I122" s="218">
        <f t="shared" si="16"/>
        <v>0.1839554805227287</v>
      </c>
      <c r="J122" s="219">
        <f t="shared" ref="J122:J132" si="19">F122-E122</f>
        <v>336</v>
      </c>
    </row>
    <row r="123" spans="1:108" x14ac:dyDescent="0.25">
      <c r="A123" s="226" t="s">
        <v>3</v>
      </c>
      <c r="B123" s="263">
        <v>4757</v>
      </c>
      <c r="C123" s="263">
        <v>4865</v>
      </c>
      <c r="D123" s="263">
        <v>5178</v>
      </c>
      <c r="E123" s="263">
        <v>5434</v>
      </c>
      <c r="F123" s="8">
        <v>5866</v>
      </c>
      <c r="G123" s="150">
        <f t="shared" si="17"/>
        <v>0.23313012402774858</v>
      </c>
      <c r="H123" s="150">
        <f t="shared" si="18"/>
        <v>7.9499447920500552E-2</v>
      </c>
      <c r="I123" s="220">
        <f t="shared" si="16"/>
        <v>0.36678546864253109</v>
      </c>
      <c r="J123" s="221">
        <f t="shared" si="19"/>
        <v>432</v>
      </c>
    </row>
    <row r="124" spans="1:108" s="42" customFormat="1" x14ac:dyDescent="0.25">
      <c r="A124" s="232" t="s">
        <v>82</v>
      </c>
      <c r="B124" s="264">
        <v>2231</v>
      </c>
      <c r="C124" s="264">
        <v>2283</v>
      </c>
      <c r="D124" s="264">
        <v>2326</v>
      </c>
      <c r="E124" s="264">
        <v>2222</v>
      </c>
      <c r="F124" s="98">
        <v>2229</v>
      </c>
      <c r="G124" s="149">
        <f t="shared" si="17"/>
        <v>-8.9645898700134474E-4</v>
      </c>
      <c r="H124" s="149">
        <f t="shared" si="18"/>
        <v>3.1503150315031502E-3</v>
      </c>
      <c r="I124" s="218">
        <f t="shared" si="16"/>
        <v>0.13937347589570437</v>
      </c>
      <c r="J124" s="219">
        <f t="shared" si="19"/>
        <v>7</v>
      </c>
      <c r="K124" s="15"/>
      <c r="L124" s="15"/>
      <c r="M124" s="15"/>
      <c r="N124" s="15"/>
      <c r="O124" s="15"/>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c r="BA124" s="53"/>
      <c r="BB124" s="53"/>
      <c r="BC124" s="53"/>
      <c r="BD124" s="53"/>
      <c r="BE124" s="53"/>
      <c r="BF124" s="53"/>
      <c r="BG124" s="53"/>
      <c r="BH124" s="53"/>
      <c r="BI124" s="53"/>
      <c r="BJ124" s="53"/>
      <c r="BK124" s="53"/>
      <c r="BL124" s="53"/>
      <c r="BM124" s="53"/>
      <c r="BN124" s="53"/>
      <c r="BO124" s="53"/>
      <c r="BP124" s="53"/>
      <c r="BQ124" s="53"/>
      <c r="BR124" s="53"/>
      <c r="BS124" s="53"/>
      <c r="BT124" s="53"/>
      <c r="BU124" s="53"/>
      <c r="BV124" s="53"/>
      <c r="BW124" s="53"/>
      <c r="BX124" s="53"/>
      <c r="BY124" s="53"/>
      <c r="BZ124" s="53"/>
      <c r="CA124" s="53"/>
      <c r="CB124" s="53"/>
      <c r="CC124" s="53"/>
      <c r="CD124" s="53"/>
      <c r="CE124" s="53"/>
      <c r="CF124" s="53"/>
      <c r="CG124" s="53"/>
      <c r="CH124" s="53"/>
      <c r="CI124" s="53"/>
      <c r="CJ124" s="53"/>
      <c r="CK124" s="53"/>
      <c r="CL124" s="53"/>
      <c r="CM124" s="53"/>
      <c r="CN124" s="53"/>
      <c r="CO124" s="53"/>
      <c r="CP124" s="53"/>
      <c r="CQ124" s="53"/>
      <c r="CR124" s="53"/>
      <c r="CS124" s="53"/>
      <c r="CT124" s="53"/>
      <c r="CU124" s="53"/>
      <c r="CV124" s="53"/>
      <c r="CW124" s="53"/>
      <c r="CX124" s="53"/>
      <c r="CY124" s="53"/>
      <c r="CZ124" s="53"/>
      <c r="DA124" s="53"/>
      <c r="DB124" s="53"/>
      <c r="DC124" s="53"/>
      <c r="DD124" s="53"/>
    </row>
    <row r="125" spans="1:108" x14ac:dyDescent="0.25">
      <c r="A125" s="232" t="s">
        <v>365</v>
      </c>
      <c r="B125" s="264">
        <v>2526</v>
      </c>
      <c r="C125" s="264">
        <v>2582</v>
      </c>
      <c r="D125" s="264">
        <v>2852</v>
      </c>
      <c r="E125" s="264">
        <v>3212</v>
      </c>
      <c r="F125" s="98">
        <v>3637</v>
      </c>
      <c r="G125" s="149">
        <f t="shared" si="17"/>
        <v>0.43982581155977829</v>
      </c>
      <c r="H125" s="149">
        <f t="shared" si="18"/>
        <v>0.13231631382316314</v>
      </c>
      <c r="I125" s="218">
        <f t="shared" si="16"/>
        <v>0.22741199274682675</v>
      </c>
      <c r="J125" s="219">
        <f t="shared" si="19"/>
        <v>425</v>
      </c>
    </row>
    <row r="126" spans="1:108" x14ac:dyDescent="0.25">
      <c r="A126" s="226" t="s">
        <v>4</v>
      </c>
      <c r="B126" s="263">
        <v>5946</v>
      </c>
      <c r="C126" s="263">
        <v>6021</v>
      </c>
      <c r="D126" s="263">
        <v>6201</v>
      </c>
      <c r="E126" s="263">
        <v>6570</v>
      </c>
      <c r="F126" s="8">
        <v>7185</v>
      </c>
      <c r="G126" s="150">
        <f t="shared" si="17"/>
        <v>0.20837537840565085</v>
      </c>
      <c r="H126" s="150">
        <f t="shared" si="18"/>
        <v>9.3607305936073054E-2</v>
      </c>
      <c r="I126" s="220">
        <f t="shared" si="16"/>
        <v>0.44925905083474021</v>
      </c>
      <c r="J126" s="221">
        <f t="shared" si="19"/>
        <v>615</v>
      </c>
    </row>
    <row r="127" spans="1:108" x14ac:dyDescent="0.25">
      <c r="A127" s="232" t="s">
        <v>82</v>
      </c>
      <c r="B127" s="264">
        <v>333</v>
      </c>
      <c r="C127" s="264">
        <v>320</v>
      </c>
      <c r="D127" s="264">
        <v>323</v>
      </c>
      <c r="E127" s="264">
        <v>360</v>
      </c>
      <c r="F127" s="98">
        <v>332</v>
      </c>
      <c r="G127" s="149">
        <f t="shared" si="17"/>
        <v>-3.003003003003003E-3</v>
      </c>
      <c r="H127" s="149">
        <f t="shared" si="18"/>
        <v>-7.7777777777777779E-2</v>
      </c>
      <c r="I127" s="218">
        <f t="shared" si="16"/>
        <v>2.0759082098418057E-2</v>
      </c>
      <c r="J127" s="219">
        <f t="shared" si="19"/>
        <v>-28</v>
      </c>
    </row>
    <row r="128" spans="1:108" s="42" customFormat="1" x14ac:dyDescent="0.25">
      <c r="A128" s="232" t="s">
        <v>365</v>
      </c>
      <c r="B128" s="264">
        <v>215</v>
      </c>
      <c r="C128" s="264">
        <v>186</v>
      </c>
      <c r="D128" s="264">
        <v>167</v>
      </c>
      <c r="E128" s="264">
        <v>133</v>
      </c>
      <c r="F128" s="98">
        <v>187</v>
      </c>
      <c r="G128" s="149">
        <f t="shared" si="17"/>
        <v>-0.13023255813953488</v>
      </c>
      <c r="H128" s="149">
        <f t="shared" si="18"/>
        <v>0.40601503759398494</v>
      </c>
      <c r="I128" s="218">
        <f t="shared" si="16"/>
        <v>1.1692615519289689E-2</v>
      </c>
      <c r="J128" s="219">
        <f t="shared" si="19"/>
        <v>54</v>
      </c>
      <c r="K128" s="15"/>
      <c r="L128" s="15"/>
      <c r="M128" s="15"/>
      <c r="N128" s="15"/>
      <c r="O128" s="15"/>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c r="BJ128" s="53"/>
      <c r="BK128" s="53"/>
      <c r="BL128" s="53"/>
      <c r="BM128" s="53"/>
      <c r="BN128" s="53"/>
      <c r="BO128" s="53"/>
      <c r="BP128" s="53"/>
      <c r="BQ128" s="53"/>
      <c r="BR128" s="53"/>
      <c r="BS128" s="53"/>
      <c r="BT128" s="53"/>
      <c r="BU128" s="53"/>
      <c r="BV128" s="53"/>
      <c r="BW128" s="53"/>
      <c r="BX128" s="53"/>
      <c r="BY128" s="53"/>
      <c r="BZ128" s="53"/>
      <c r="CA128" s="53"/>
      <c r="CB128" s="53"/>
      <c r="CC128" s="53"/>
      <c r="CD128" s="53"/>
      <c r="CE128" s="53"/>
      <c r="CF128" s="53"/>
      <c r="CG128" s="53"/>
      <c r="CH128" s="53"/>
      <c r="CI128" s="53"/>
      <c r="CJ128" s="53"/>
      <c r="CK128" s="53"/>
      <c r="CL128" s="53"/>
      <c r="CM128" s="53"/>
      <c r="CN128" s="53"/>
      <c r="CO128" s="53"/>
      <c r="CP128" s="53"/>
      <c r="CQ128" s="53"/>
      <c r="CR128" s="53"/>
      <c r="CS128" s="53"/>
      <c r="CT128" s="53"/>
      <c r="CU128" s="53"/>
      <c r="CV128" s="53"/>
      <c r="CW128" s="53"/>
      <c r="CX128" s="53"/>
      <c r="CY128" s="53"/>
      <c r="CZ128" s="53"/>
      <c r="DA128" s="53"/>
      <c r="DB128" s="53"/>
      <c r="DC128" s="53"/>
      <c r="DD128" s="53"/>
    </row>
    <row r="129" spans="1:108" x14ac:dyDescent="0.25">
      <c r="A129" s="232" t="s">
        <v>330</v>
      </c>
      <c r="B129" s="264">
        <v>80</v>
      </c>
      <c r="C129" s="264">
        <v>71</v>
      </c>
      <c r="D129" s="264">
        <v>95</v>
      </c>
      <c r="E129" s="264">
        <v>95</v>
      </c>
      <c r="F129" s="98">
        <v>105</v>
      </c>
      <c r="G129" s="149">
        <f t="shared" si="17"/>
        <v>0.3125</v>
      </c>
      <c r="H129" s="149">
        <f t="shared" si="18"/>
        <v>0.10526315789473684</v>
      </c>
      <c r="I129" s="218">
        <f t="shared" si="16"/>
        <v>6.5653723504033017E-3</v>
      </c>
      <c r="J129" s="219">
        <f t="shared" si="19"/>
        <v>10</v>
      </c>
    </row>
    <row r="130" spans="1:108" x14ac:dyDescent="0.25">
      <c r="A130" s="232" t="s">
        <v>366</v>
      </c>
      <c r="B130" s="264">
        <v>173</v>
      </c>
      <c r="C130" s="264">
        <v>189</v>
      </c>
      <c r="D130" s="264">
        <v>203</v>
      </c>
      <c r="E130" s="264">
        <v>231</v>
      </c>
      <c r="F130" s="98">
        <v>245</v>
      </c>
      <c r="G130" s="149">
        <f t="shared" si="17"/>
        <v>0.41618497109826591</v>
      </c>
      <c r="H130" s="149">
        <f t="shared" si="18"/>
        <v>6.0606060606060608E-2</v>
      </c>
      <c r="I130" s="218">
        <f t="shared" si="16"/>
        <v>1.5319202150941036E-2</v>
      </c>
      <c r="J130" s="219">
        <f t="shared" si="19"/>
        <v>14</v>
      </c>
    </row>
    <row r="131" spans="1:108" s="42" customFormat="1" x14ac:dyDescent="0.25">
      <c r="A131" s="232" t="s">
        <v>367</v>
      </c>
      <c r="B131" s="264">
        <v>5145</v>
      </c>
      <c r="C131" s="264">
        <v>5255</v>
      </c>
      <c r="D131" s="264">
        <v>5413</v>
      </c>
      <c r="E131" s="264">
        <v>5751</v>
      </c>
      <c r="F131" s="98">
        <v>6316</v>
      </c>
      <c r="G131" s="149">
        <f t="shared" si="17"/>
        <v>0.22759961127308065</v>
      </c>
      <c r="H131" s="149">
        <f t="shared" si="18"/>
        <v>9.8243783689793085E-2</v>
      </c>
      <c r="I131" s="218">
        <f t="shared" si="16"/>
        <v>0.39492277871568809</v>
      </c>
      <c r="J131" s="219">
        <f t="shared" si="19"/>
        <v>565</v>
      </c>
      <c r="K131" s="15"/>
      <c r="L131" s="15"/>
      <c r="M131" s="15"/>
      <c r="N131" s="15"/>
      <c r="O131" s="15"/>
      <c r="P131" s="53"/>
      <c r="Q131" s="53"/>
      <c r="R131" s="53"/>
      <c r="S131" s="53"/>
      <c r="T131" s="53"/>
      <c r="U131" s="53"/>
      <c r="V131" s="53"/>
      <c r="W131" s="53"/>
      <c r="X131" s="53"/>
      <c r="Y131" s="53"/>
      <c r="Z131" s="53"/>
      <c r="AA131" s="53"/>
      <c r="AB131" s="53"/>
      <c r="AC131" s="53"/>
      <c r="AD131" s="53"/>
      <c r="AE131" s="53"/>
      <c r="AF131" s="53"/>
      <c r="AG131" s="53"/>
      <c r="AH131" s="53"/>
      <c r="AI131" s="53"/>
      <c r="AJ131" s="53"/>
      <c r="AK131" s="53"/>
      <c r="AL131" s="53"/>
      <c r="AM131" s="53"/>
      <c r="AN131" s="53"/>
      <c r="AO131" s="53"/>
      <c r="AP131" s="53"/>
      <c r="AQ131" s="53"/>
      <c r="AR131" s="53"/>
      <c r="AS131" s="53"/>
      <c r="AT131" s="53"/>
      <c r="AU131" s="53"/>
      <c r="AV131" s="53"/>
      <c r="AW131" s="53"/>
      <c r="AX131" s="53"/>
      <c r="AY131" s="53"/>
      <c r="AZ131" s="53"/>
      <c r="BA131" s="53"/>
      <c r="BB131" s="53"/>
      <c r="BC131" s="53"/>
      <c r="BD131" s="53"/>
      <c r="BE131" s="53"/>
      <c r="BF131" s="53"/>
      <c r="BG131" s="53"/>
      <c r="BH131" s="53"/>
      <c r="BI131" s="53"/>
      <c r="BJ131" s="53"/>
      <c r="BK131" s="53"/>
      <c r="BL131" s="53"/>
      <c r="BM131" s="53"/>
      <c r="BN131" s="53"/>
      <c r="BO131" s="53"/>
      <c r="BP131" s="53"/>
      <c r="BQ131" s="53"/>
      <c r="BR131" s="53"/>
      <c r="BS131" s="53"/>
      <c r="BT131" s="53"/>
      <c r="BU131" s="53"/>
      <c r="BV131" s="53"/>
      <c r="BW131" s="53"/>
      <c r="BX131" s="53"/>
      <c r="BY131" s="53"/>
      <c r="BZ131" s="53"/>
      <c r="CA131" s="53"/>
      <c r="CB131" s="53"/>
      <c r="CC131" s="53"/>
      <c r="CD131" s="53"/>
      <c r="CE131" s="53"/>
      <c r="CF131" s="53"/>
      <c r="CG131" s="53"/>
      <c r="CH131" s="53"/>
      <c r="CI131" s="53"/>
      <c r="CJ131" s="53"/>
      <c r="CK131" s="53"/>
      <c r="CL131" s="53"/>
      <c r="CM131" s="53"/>
      <c r="CN131" s="53"/>
      <c r="CO131" s="53"/>
      <c r="CP131" s="53"/>
      <c r="CQ131" s="53"/>
      <c r="CR131" s="53"/>
      <c r="CS131" s="53"/>
      <c r="CT131" s="53"/>
      <c r="CU131" s="53"/>
      <c r="CV131" s="53"/>
      <c r="CW131" s="53"/>
      <c r="CX131" s="53"/>
      <c r="CY131" s="53"/>
      <c r="CZ131" s="53"/>
      <c r="DA131" s="53"/>
      <c r="DB131" s="53"/>
      <c r="DC131" s="53"/>
      <c r="DD131" s="53"/>
    </row>
    <row r="132" spans="1:108" x14ac:dyDescent="0.25">
      <c r="A132" s="226" t="s">
        <v>0</v>
      </c>
      <c r="B132" s="263">
        <v>12756</v>
      </c>
      <c r="C132" s="263">
        <v>12924</v>
      </c>
      <c r="D132" s="263">
        <v>13591</v>
      </c>
      <c r="E132" s="263">
        <v>14610</v>
      </c>
      <c r="F132" s="8">
        <v>15993</v>
      </c>
      <c r="G132" s="150">
        <f t="shared" si="17"/>
        <v>0.2537629350893697</v>
      </c>
      <c r="H132" s="150">
        <f t="shared" si="18"/>
        <v>9.4661190965092401E-2</v>
      </c>
      <c r="I132" s="220">
        <f t="shared" si="16"/>
        <v>1</v>
      </c>
      <c r="J132" s="221">
        <f t="shared" si="19"/>
        <v>1383</v>
      </c>
    </row>
    <row r="133" spans="1:108" x14ac:dyDescent="0.25">
      <c r="A133" s="260"/>
      <c r="B133" s="261"/>
      <c r="C133" s="261"/>
      <c r="D133" s="152"/>
      <c r="E133" s="46"/>
      <c r="F133" s="198"/>
      <c r="G133" s="198"/>
      <c r="H133" s="198"/>
      <c r="I133" s="210"/>
    </row>
    <row r="134" spans="1:108" ht="15.75" x14ac:dyDescent="0.25">
      <c r="A134" s="259" t="s">
        <v>652</v>
      </c>
    </row>
    <row r="135" spans="1:108" ht="38.25" x14ac:dyDescent="0.25">
      <c r="A135" s="238" t="s">
        <v>372</v>
      </c>
      <c r="B135" s="105">
        <v>2021</v>
      </c>
      <c r="C135" s="105">
        <v>2022</v>
      </c>
      <c r="D135" s="105">
        <v>2023</v>
      </c>
      <c r="E135" s="105">
        <v>2024</v>
      </c>
      <c r="F135" s="105">
        <v>2025</v>
      </c>
      <c r="G135" s="106" t="s">
        <v>547</v>
      </c>
      <c r="H135" s="106" t="s">
        <v>548</v>
      </c>
      <c r="I135" s="106" t="s">
        <v>549</v>
      </c>
      <c r="J135" s="216" t="s">
        <v>563</v>
      </c>
    </row>
    <row r="136" spans="1:108" x14ac:dyDescent="0.25">
      <c r="A136" s="226" t="s">
        <v>2</v>
      </c>
      <c r="B136" s="263">
        <v>2053</v>
      </c>
      <c r="C136" s="263">
        <v>2038</v>
      </c>
      <c r="D136" s="263">
        <v>2212</v>
      </c>
      <c r="E136" s="263">
        <v>2606</v>
      </c>
      <c r="F136" s="8">
        <v>2942</v>
      </c>
      <c r="G136" s="150">
        <f t="shared" ref="G136:G146" si="20">(F136-B136)/B136</f>
        <v>0.43302484169508038</v>
      </c>
      <c r="H136" s="150">
        <f t="shared" ref="H136:H146" si="21">(F136-E136)/E136</f>
        <v>0.12893323100537221</v>
      </c>
      <c r="I136" s="220">
        <f t="shared" ref="I136:I146" si="22">F136/F$132</f>
        <v>0.1839554805227287</v>
      </c>
      <c r="J136" s="221">
        <f t="shared" ref="J136:J146" si="23">F136-E136</f>
        <v>336</v>
      </c>
      <c r="K136" s="53"/>
    </row>
    <row r="137" spans="1:108" x14ac:dyDescent="0.25">
      <c r="A137" s="232" t="s">
        <v>138</v>
      </c>
      <c r="B137" s="264">
        <v>1071</v>
      </c>
      <c r="C137" s="264">
        <v>1055</v>
      </c>
      <c r="D137" s="264">
        <v>1160</v>
      </c>
      <c r="E137" s="264">
        <v>1321</v>
      </c>
      <c r="F137" s="98">
        <v>1480</v>
      </c>
      <c r="G137" s="149">
        <f t="shared" si="20"/>
        <v>0.38188608776844069</v>
      </c>
      <c r="H137" s="149">
        <f t="shared" si="21"/>
        <v>0.12036336109008328</v>
      </c>
      <c r="I137" s="218">
        <f t="shared" si="22"/>
        <v>9.254048646282749E-2</v>
      </c>
      <c r="J137" s="219">
        <f t="shared" si="23"/>
        <v>159</v>
      </c>
    </row>
    <row r="138" spans="1:108" x14ac:dyDescent="0.25">
      <c r="A138" s="232" t="s">
        <v>139</v>
      </c>
      <c r="B138" s="264">
        <v>982</v>
      </c>
      <c r="C138" s="264">
        <v>983</v>
      </c>
      <c r="D138" s="264">
        <v>1052</v>
      </c>
      <c r="E138" s="264">
        <v>1285</v>
      </c>
      <c r="F138" s="98">
        <v>1462</v>
      </c>
      <c r="G138" s="149">
        <f t="shared" si="20"/>
        <v>0.48879837067209775</v>
      </c>
      <c r="H138" s="149">
        <f t="shared" si="21"/>
        <v>0.13774319066147861</v>
      </c>
      <c r="I138" s="218">
        <f t="shared" si="22"/>
        <v>9.1414994059901208E-2</v>
      </c>
      <c r="J138" s="219">
        <f t="shared" si="23"/>
        <v>177</v>
      </c>
    </row>
    <row r="139" spans="1:108" x14ac:dyDescent="0.25">
      <c r="A139" s="226" t="s">
        <v>245</v>
      </c>
      <c r="B139" s="263">
        <v>4757</v>
      </c>
      <c r="C139" s="263">
        <v>4865</v>
      </c>
      <c r="D139" s="263">
        <v>5178</v>
      </c>
      <c r="E139" s="263">
        <v>5434</v>
      </c>
      <c r="F139" s="8">
        <v>5866</v>
      </c>
      <c r="G139" s="150">
        <f t="shared" si="20"/>
        <v>0.23313012402774858</v>
      </c>
      <c r="H139" s="150">
        <f t="shared" si="21"/>
        <v>7.9499447920500552E-2</v>
      </c>
      <c r="I139" s="220">
        <f t="shared" si="22"/>
        <v>0.36678546864253109</v>
      </c>
      <c r="J139" s="221">
        <f t="shared" si="23"/>
        <v>432</v>
      </c>
      <c r="K139" s="53"/>
    </row>
    <row r="140" spans="1:108" x14ac:dyDescent="0.25">
      <c r="A140" s="232" t="s">
        <v>138</v>
      </c>
      <c r="B140" s="264">
        <v>2244</v>
      </c>
      <c r="C140" s="264">
        <v>2282</v>
      </c>
      <c r="D140" s="264">
        <v>2369</v>
      </c>
      <c r="E140" s="264">
        <v>2428</v>
      </c>
      <c r="F140" s="98">
        <v>2503</v>
      </c>
      <c r="G140" s="149">
        <f t="shared" si="20"/>
        <v>0.11541889483065954</v>
      </c>
      <c r="H140" s="149">
        <f t="shared" si="21"/>
        <v>3.0889621087314661E-2</v>
      </c>
      <c r="I140" s="218">
        <f t="shared" si="22"/>
        <v>0.15650597136247107</v>
      </c>
      <c r="J140" s="219">
        <f t="shared" si="23"/>
        <v>75</v>
      </c>
    </row>
    <row r="141" spans="1:108" x14ac:dyDescent="0.25">
      <c r="A141" s="232" t="s">
        <v>139</v>
      </c>
      <c r="B141" s="264">
        <v>2513</v>
      </c>
      <c r="C141" s="264">
        <v>2583</v>
      </c>
      <c r="D141" s="264">
        <v>2809</v>
      </c>
      <c r="E141" s="264">
        <v>3006</v>
      </c>
      <c r="F141" s="98">
        <v>3362</v>
      </c>
      <c r="G141" s="149">
        <f t="shared" si="20"/>
        <v>0.33784321528054118</v>
      </c>
      <c r="H141" s="149">
        <f t="shared" si="21"/>
        <v>0.11842980705256155</v>
      </c>
      <c r="I141" s="218">
        <f t="shared" si="22"/>
        <v>0.21021696992434191</v>
      </c>
      <c r="J141" s="219">
        <f t="shared" si="23"/>
        <v>356</v>
      </c>
    </row>
    <row r="142" spans="1:108" x14ac:dyDescent="0.25">
      <c r="A142" s="232" t="s">
        <v>604</v>
      </c>
      <c r="B142" s="264">
        <v>0</v>
      </c>
      <c r="C142" s="264">
        <v>0</v>
      </c>
      <c r="D142" s="264">
        <v>0</v>
      </c>
      <c r="E142" s="264">
        <v>0</v>
      </c>
      <c r="F142" s="98">
        <v>1</v>
      </c>
      <c r="G142" s="149" t="s">
        <v>130</v>
      </c>
      <c r="H142" s="149" t="s">
        <v>130</v>
      </c>
      <c r="I142" s="218">
        <f t="shared" si="22"/>
        <v>6.2527355718126687E-5</v>
      </c>
      <c r="J142" s="219">
        <f t="shared" si="23"/>
        <v>1</v>
      </c>
    </row>
    <row r="143" spans="1:108" x14ac:dyDescent="0.25">
      <c r="A143" s="226" t="s">
        <v>4</v>
      </c>
      <c r="B143" s="263">
        <v>5946</v>
      </c>
      <c r="C143" s="263">
        <v>6021</v>
      </c>
      <c r="D143" s="263">
        <v>6201</v>
      </c>
      <c r="E143" s="263">
        <v>6570</v>
      </c>
      <c r="F143" s="8">
        <v>7185</v>
      </c>
      <c r="G143" s="150">
        <f t="shared" si="20"/>
        <v>0.20837537840565085</v>
      </c>
      <c r="H143" s="150">
        <f t="shared" si="21"/>
        <v>9.3607305936073054E-2</v>
      </c>
      <c r="I143" s="220">
        <f t="shared" si="22"/>
        <v>0.44925905083474021</v>
      </c>
      <c r="J143" s="221">
        <f t="shared" si="23"/>
        <v>615</v>
      </c>
      <c r="K143" s="53"/>
    </row>
    <row r="144" spans="1:108" x14ac:dyDescent="0.25">
      <c r="A144" s="232" t="s">
        <v>138</v>
      </c>
      <c r="B144" s="264">
        <v>3264</v>
      </c>
      <c r="C144" s="264">
        <v>3245</v>
      </c>
      <c r="D144" s="264">
        <v>3320</v>
      </c>
      <c r="E144" s="264">
        <v>3463</v>
      </c>
      <c r="F144" s="98">
        <v>3721</v>
      </c>
      <c r="G144" s="149">
        <f t="shared" si="20"/>
        <v>0.14001225490196079</v>
      </c>
      <c r="H144" s="149">
        <f t="shared" si="21"/>
        <v>7.4501876985272886E-2</v>
      </c>
      <c r="I144" s="218">
        <f t="shared" si="22"/>
        <v>0.23266429062714938</v>
      </c>
      <c r="J144" s="219">
        <f t="shared" si="23"/>
        <v>258</v>
      </c>
    </row>
    <row r="145" spans="1:11" x14ac:dyDescent="0.25">
      <c r="A145" s="232" t="s">
        <v>139</v>
      </c>
      <c r="B145" s="264">
        <v>2682</v>
      </c>
      <c r="C145" s="264">
        <v>2776</v>
      </c>
      <c r="D145" s="264">
        <v>2881</v>
      </c>
      <c r="E145" s="264">
        <v>3107</v>
      </c>
      <c r="F145" s="98">
        <v>3464</v>
      </c>
      <c r="G145" s="149">
        <f t="shared" si="20"/>
        <v>0.29157345264727813</v>
      </c>
      <c r="H145" s="149">
        <f t="shared" si="21"/>
        <v>0.11490183456710654</v>
      </c>
      <c r="I145" s="218">
        <f t="shared" si="22"/>
        <v>0.21659476020759083</v>
      </c>
      <c r="J145" s="219">
        <f t="shared" si="23"/>
        <v>357</v>
      </c>
    </row>
    <row r="146" spans="1:11" x14ac:dyDescent="0.25">
      <c r="A146" s="226" t="s">
        <v>0</v>
      </c>
      <c r="B146" s="263">
        <v>12756</v>
      </c>
      <c r="C146" s="263">
        <v>12924</v>
      </c>
      <c r="D146" s="263">
        <v>13591</v>
      </c>
      <c r="E146" s="263">
        <v>14610</v>
      </c>
      <c r="F146" s="8">
        <v>15993</v>
      </c>
      <c r="G146" s="150">
        <f t="shared" si="20"/>
        <v>0.2537629350893697</v>
      </c>
      <c r="H146" s="150">
        <f t="shared" si="21"/>
        <v>9.4661190965092401E-2</v>
      </c>
      <c r="I146" s="220">
        <f t="shared" si="22"/>
        <v>1</v>
      </c>
      <c r="J146" s="221">
        <f t="shared" si="23"/>
        <v>1383</v>
      </c>
      <c r="K146" s="53"/>
    </row>
    <row r="147" spans="1:11" x14ac:dyDescent="0.25">
      <c r="A147" s="3"/>
      <c r="B147" s="3"/>
      <c r="C147" s="3"/>
      <c r="D147" s="3"/>
      <c r="E147" s="3"/>
      <c r="F147" s="3"/>
      <c r="G147" s="3"/>
      <c r="H147" s="3"/>
      <c r="I147" s="3"/>
      <c r="J147" s="3"/>
    </row>
    <row r="148" spans="1:11" ht="15.75" x14ac:dyDescent="0.25">
      <c r="A148" s="259" t="s">
        <v>653</v>
      </c>
    </row>
    <row r="149" spans="1:11" ht="38.25" x14ac:dyDescent="0.25">
      <c r="A149" s="238" t="s">
        <v>44</v>
      </c>
      <c r="B149" s="105">
        <v>2021</v>
      </c>
      <c r="C149" s="105">
        <v>2022</v>
      </c>
      <c r="D149" s="105">
        <v>2023</v>
      </c>
      <c r="E149" s="105">
        <v>2024</v>
      </c>
      <c r="F149" s="105">
        <v>2025</v>
      </c>
      <c r="G149" s="106" t="s">
        <v>547</v>
      </c>
      <c r="H149" s="106" t="s">
        <v>548</v>
      </c>
      <c r="I149" s="106" t="s">
        <v>549</v>
      </c>
      <c r="J149" s="216" t="s">
        <v>563</v>
      </c>
    </row>
    <row r="150" spans="1:11" x14ac:dyDescent="0.25">
      <c r="A150" s="225" t="s">
        <v>582</v>
      </c>
      <c r="B150" s="264">
        <v>239</v>
      </c>
      <c r="C150" s="264">
        <v>241</v>
      </c>
      <c r="D150" s="264">
        <v>250</v>
      </c>
      <c r="E150" s="264">
        <v>259</v>
      </c>
      <c r="F150" s="98">
        <v>260</v>
      </c>
      <c r="G150" s="149">
        <f t="shared" ref="G150:G166" si="24">(F150-B150)/B150</f>
        <v>8.7866108786610872E-2</v>
      </c>
      <c r="H150" s="149">
        <f t="shared" ref="H150:H166" si="25">(F150-E150)/E150</f>
        <v>3.8610038610038611E-3</v>
      </c>
      <c r="I150" s="218">
        <f t="shared" ref="I150:I166" si="26">F150/F$132</f>
        <v>1.6257112486712938E-2</v>
      </c>
      <c r="J150" s="219">
        <f t="shared" ref="J150:J166" si="27">F150-E150</f>
        <v>1</v>
      </c>
    </row>
    <row r="151" spans="1:11" x14ac:dyDescent="0.25">
      <c r="A151" s="225" t="s">
        <v>583</v>
      </c>
      <c r="B151" s="264">
        <v>287</v>
      </c>
      <c r="C151" s="264">
        <v>264</v>
      </c>
      <c r="D151" s="264">
        <v>284</v>
      </c>
      <c r="E151" s="264">
        <v>267</v>
      </c>
      <c r="F151" s="98">
        <v>292</v>
      </c>
      <c r="G151" s="149">
        <f t="shared" si="24"/>
        <v>1.7421602787456445E-2</v>
      </c>
      <c r="H151" s="149">
        <f t="shared" si="25"/>
        <v>9.3632958801498134E-2</v>
      </c>
      <c r="I151" s="218">
        <f t="shared" si="26"/>
        <v>1.8257987869692991E-2</v>
      </c>
      <c r="J151" s="219">
        <f t="shared" si="27"/>
        <v>25</v>
      </c>
    </row>
    <row r="152" spans="1:11" x14ac:dyDescent="0.25">
      <c r="A152" s="225" t="s">
        <v>584</v>
      </c>
      <c r="B152" s="264">
        <v>445</v>
      </c>
      <c r="C152" s="264">
        <v>418</v>
      </c>
      <c r="D152" s="264">
        <v>453</v>
      </c>
      <c r="E152" s="264">
        <v>459</v>
      </c>
      <c r="F152" s="98">
        <v>498</v>
      </c>
      <c r="G152" s="149">
        <f t="shared" si="24"/>
        <v>0.11910112359550562</v>
      </c>
      <c r="H152" s="149">
        <f t="shared" si="25"/>
        <v>8.4967320261437912E-2</v>
      </c>
      <c r="I152" s="218">
        <f t="shared" si="26"/>
        <v>3.1138623147627088E-2</v>
      </c>
      <c r="J152" s="219">
        <f t="shared" si="27"/>
        <v>39</v>
      </c>
    </row>
    <row r="153" spans="1:11" x14ac:dyDescent="0.25">
      <c r="A153" s="225" t="s">
        <v>585</v>
      </c>
      <c r="B153" s="264">
        <v>169</v>
      </c>
      <c r="C153" s="264">
        <v>172</v>
      </c>
      <c r="D153" s="264">
        <v>190</v>
      </c>
      <c r="E153" s="264">
        <v>185</v>
      </c>
      <c r="F153" s="98">
        <v>199</v>
      </c>
      <c r="G153" s="149">
        <f t="shared" si="24"/>
        <v>0.17751479289940827</v>
      </c>
      <c r="H153" s="149">
        <f t="shared" si="25"/>
        <v>7.567567567567568E-2</v>
      </c>
      <c r="I153" s="218">
        <f t="shared" si="26"/>
        <v>1.244294378790721E-2</v>
      </c>
      <c r="J153" s="219">
        <f t="shared" si="27"/>
        <v>14</v>
      </c>
    </row>
    <row r="154" spans="1:11" x14ac:dyDescent="0.25">
      <c r="A154" s="225" t="s">
        <v>586</v>
      </c>
      <c r="B154" s="264">
        <v>493</v>
      </c>
      <c r="C154" s="264">
        <v>497</v>
      </c>
      <c r="D154" s="264">
        <v>489</v>
      </c>
      <c r="E154" s="264">
        <v>562</v>
      </c>
      <c r="F154" s="98">
        <v>635</v>
      </c>
      <c r="G154" s="149">
        <f t="shared" si="24"/>
        <v>0.28803245436105479</v>
      </c>
      <c r="H154" s="149">
        <f t="shared" si="25"/>
        <v>0.1298932384341637</v>
      </c>
      <c r="I154" s="218">
        <f t="shared" si="26"/>
        <v>3.9704870881010441E-2</v>
      </c>
      <c r="J154" s="219">
        <f t="shared" si="27"/>
        <v>73</v>
      </c>
    </row>
    <row r="155" spans="1:11" x14ac:dyDescent="0.25">
      <c r="A155" s="225" t="s">
        <v>587</v>
      </c>
      <c r="B155" s="264">
        <v>1369</v>
      </c>
      <c r="C155" s="264">
        <v>1418</v>
      </c>
      <c r="D155" s="264">
        <v>1441</v>
      </c>
      <c r="E155" s="264">
        <v>1610</v>
      </c>
      <c r="F155" s="98">
        <v>1739</v>
      </c>
      <c r="G155" s="149">
        <f t="shared" si="24"/>
        <v>0.27027027027027029</v>
      </c>
      <c r="H155" s="149">
        <f t="shared" si="25"/>
        <v>8.0124223602484473E-2</v>
      </c>
      <c r="I155" s="218">
        <f t="shared" si="26"/>
        <v>0.1087350715938223</v>
      </c>
      <c r="J155" s="219">
        <f t="shared" si="27"/>
        <v>129</v>
      </c>
    </row>
    <row r="156" spans="1:11" x14ac:dyDescent="0.25">
      <c r="A156" s="225" t="s">
        <v>588</v>
      </c>
      <c r="B156" s="264">
        <v>5153</v>
      </c>
      <c r="C156" s="264">
        <v>5314</v>
      </c>
      <c r="D156" s="264">
        <v>5693</v>
      </c>
      <c r="E156" s="264">
        <v>6042</v>
      </c>
      <c r="F156" s="98">
        <v>6698</v>
      </c>
      <c r="G156" s="149">
        <f t="shared" si="24"/>
        <v>0.29982534445953812</v>
      </c>
      <c r="H156" s="149">
        <f t="shared" si="25"/>
        <v>0.10857332009268454</v>
      </c>
      <c r="I156" s="218">
        <f t="shared" si="26"/>
        <v>0.41880822860001249</v>
      </c>
      <c r="J156" s="219">
        <f t="shared" si="27"/>
        <v>656</v>
      </c>
    </row>
    <row r="157" spans="1:11" x14ac:dyDescent="0.25">
      <c r="A157" s="225" t="s">
        <v>589</v>
      </c>
      <c r="B157" s="264">
        <v>394</v>
      </c>
      <c r="C157" s="264">
        <v>391</v>
      </c>
      <c r="D157" s="264">
        <v>421</v>
      </c>
      <c r="E157" s="264">
        <v>432</v>
      </c>
      <c r="F157" s="98">
        <v>485</v>
      </c>
      <c r="G157" s="149">
        <f t="shared" si="24"/>
        <v>0.23096446700507614</v>
      </c>
      <c r="H157" s="149">
        <f t="shared" si="25"/>
        <v>0.12268518518518519</v>
      </c>
      <c r="I157" s="218">
        <f t="shared" si="26"/>
        <v>3.0325767523291441E-2</v>
      </c>
      <c r="J157" s="219">
        <f t="shared" si="27"/>
        <v>53</v>
      </c>
    </row>
    <row r="158" spans="1:11" x14ac:dyDescent="0.25">
      <c r="A158" s="225" t="s">
        <v>590</v>
      </c>
      <c r="B158" s="264">
        <v>678</v>
      </c>
      <c r="C158" s="264">
        <v>663</v>
      </c>
      <c r="D158" s="264">
        <v>705</v>
      </c>
      <c r="E158" s="264">
        <v>742</v>
      </c>
      <c r="F158" s="98">
        <v>819</v>
      </c>
      <c r="G158" s="149">
        <f t="shared" si="24"/>
        <v>0.20796460176991149</v>
      </c>
      <c r="H158" s="149">
        <f t="shared" si="25"/>
        <v>0.10377358490566038</v>
      </c>
      <c r="I158" s="218">
        <f t="shared" si="26"/>
        <v>5.1209904333145755E-2</v>
      </c>
      <c r="J158" s="219">
        <f t="shared" si="27"/>
        <v>77</v>
      </c>
    </row>
    <row r="159" spans="1:11" x14ac:dyDescent="0.25">
      <c r="A159" s="225" t="s">
        <v>591</v>
      </c>
      <c r="B159" s="264">
        <v>321</v>
      </c>
      <c r="C159" s="264">
        <v>323</v>
      </c>
      <c r="D159" s="264">
        <v>348</v>
      </c>
      <c r="E159" s="264">
        <v>391</v>
      </c>
      <c r="F159" s="98">
        <v>416</v>
      </c>
      <c r="G159" s="149">
        <f t="shared" si="24"/>
        <v>0.29595015576323985</v>
      </c>
      <c r="H159" s="149">
        <f t="shared" si="25"/>
        <v>6.3938618925831206E-2</v>
      </c>
      <c r="I159" s="218">
        <f t="shared" si="26"/>
        <v>2.6011379978740701E-2</v>
      </c>
      <c r="J159" s="219">
        <f t="shared" si="27"/>
        <v>25</v>
      </c>
    </row>
    <row r="160" spans="1:11" x14ac:dyDescent="0.25">
      <c r="A160" s="225" t="s">
        <v>592</v>
      </c>
      <c r="B160" s="264">
        <v>1590</v>
      </c>
      <c r="C160" s="264">
        <v>1557</v>
      </c>
      <c r="D160" s="264">
        <v>1612</v>
      </c>
      <c r="E160" s="264">
        <v>1819</v>
      </c>
      <c r="F160" s="98">
        <v>1935</v>
      </c>
      <c r="G160" s="149">
        <f t="shared" si="24"/>
        <v>0.21698113207547171</v>
      </c>
      <c r="H160" s="149">
        <f t="shared" si="25"/>
        <v>6.3771302913688835E-2</v>
      </c>
      <c r="I160" s="218">
        <f t="shared" si="26"/>
        <v>0.12099043331457512</v>
      </c>
      <c r="J160" s="219">
        <f t="shared" si="27"/>
        <v>116</v>
      </c>
    </row>
    <row r="161" spans="1:10" x14ac:dyDescent="0.25">
      <c r="A161" s="225" t="s">
        <v>593</v>
      </c>
      <c r="B161" s="264">
        <v>681</v>
      </c>
      <c r="C161" s="264">
        <v>694</v>
      </c>
      <c r="D161" s="264">
        <v>729</v>
      </c>
      <c r="E161" s="264">
        <v>767</v>
      </c>
      <c r="F161" s="98">
        <v>809</v>
      </c>
      <c r="G161" s="149">
        <f t="shared" si="24"/>
        <v>0.18795888399412627</v>
      </c>
      <c r="H161" s="149">
        <f t="shared" si="25"/>
        <v>5.4758800521512385E-2</v>
      </c>
      <c r="I161" s="218">
        <f t="shared" si="26"/>
        <v>5.0584630775964486E-2</v>
      </c>
      <c r="J161" s="219">
        <f t="shared" si="27"/>
        <v>42</v>
      </c>
    </row>
    <row r="162" spans="1:10" x14ac:dyDescent="0.25">
      <c r="A162" s="225" t="s">
        <v>594</v>
      </c>
      <c r="B162" s="264">
        <v>282</v>
      </c>
      <c r="C162" s="264">
        <v>292</v>
      </c>
      <c r="D162" s="264">
        <v>294</v>
      </c>
      <c r="E162" s="264">
        <v>310</v>
      </c>
      <c r="F162" s="98">
        <v>349</v>
      </c>
      <c r="G162" s="149">
        <f t="shared" si="24"/>
        <v>0.23758865248226951</v>
      </c>
      <c r="H162" s="149">
        <f t="shared" si="25"/>
        <v>0.12580645161290321</v>
      </c>
      <c r="I162" s="218">
        <f t="shared" si="26"/>
        <v>2.1822047145626213E-2</v>
      </c>
      <c r="J162" s="219">
        <f t="shared" si="27"/>
        <v>39</v>
      </c>
    </row>
    <row r="163" spans="1:10" x14ac:dyDescent="0.25">
      <c r="A163" s="225" t="s">
        <v>595</v>
      </c>
      <c r="B163" s="264">
        <v>436</v>
      </c>
      <c r="C163" s="264">
        <v>461</v>
      </c>
      <c r="D163" s="264">
        <v>452</v>
      </c>
      <c r="E163" s="264">
        <v>525</v>
      </c>
      <c r="F163" s="98">
        <v>575</v>
      </c>
      <c r="G163" s="149">
        <f t="shared" si="24"/>
        <v>0.31880733944954126</v>
      </c>
      <c r="H163" s="149">
        <f t="shared" si="25"/>
        <v>9.5238095238095233E-2</v>
      </c>
      <c r="I163" s="218">
        <f t="shared" si="26"/>
        <v>3.5953229537922841E-2</v>
      </c>
      <c r="J163" s="219">
        <f t="shared" si="27"/>
        <v>50</v>
      </c>
    </row>
    <row r="164" spans="1:10" x14ac:dyDescent="0.25">
      <c r="A164" s="225" t="s">
        <v>596</v>
      </c>
      <c r="B164" s="264">
        <v>82</v>
      </c>
      <c r="C164" s="264">
        <v>77</v>
      </c>
      <c r="D164" s="264">
        <v>79</v>
      </c>
      <c r="E164" s="264">
        <v>76</v>
      </c>
      <c r="F164" s="98">
        <v>105</v>
      </c>
      <c r="G164" s="149">
        <f t="shared" si="24"/>
        <v>0.28048780487804881</v>
      </c>
      <c r="H164" s="149">
        <f t="shared" si="25"/>
        <v>0.38157894736842107</v>
      </c>
      <c r="I164" s="218">
        <f t="shared" si="26"/>
        <v>6.5653723504033017E-3</v>
      </c>
      <c r="J164" s="219">
        <f t="shared" si="27"/>
        <v>29</v>
      </c>
    </row>
    <row r="165" spans="1:10" x14ac:dyDescent="0.25">
      <c r="A165" s="225" t="s">
        <v>597</v>
      </c>
      <c r="B165" s="264">
        <v>137</v>
      </c>
      <c r="C165" s="264">
        <v>142</v>
      </c>
      <c r="D165" s="264">
        <v>151</v>
      </c>
      <c r="E165" s="264">
        <v>164</v>
      </c>
      <c r="F165" s="98">
        <v>179</v>
      </c>
      <c r="G165" s="149">
        <f t="shared" si="24"/>
        <v>0.30656934306569344</v>
      </c>
      <c r="H165" s="149">
        <f t="shared" si="25"/>
        <v>9.1463414634146339E-2</v>
      </c>
      <c r="I165" s="218">
        <f t="shared" si="26"/>
        <v>1.1192396673544675E-2</v>
      </c>
      <c r="J165" s="219">
        <f t="shared" si="27"/>
        <v>15</v>
      </c>
    </row>
    <row r="166" spans="1:10" x14ac:dyDescent="0.25">
      <c r="A166" s="226" t="s">
        <v>598</v>
      </c>
      <c r="B166" s="263">
        <v>12756</v>
      </c>
      <c r="C166" s="263">
        <v>12924</v>
      </c>
      <c r="D166" s="263">
        <v>13591</v>
      </c>
      <c r="E166" s="263">
        <v>14610</v>
      </c>
      <c r="F166" s="8">
        <v>15993</v>
      </c>
      <c r="G166" s="150">
        <f t="shared" si="24"/>
        <v>0.2537629350893697</v>
      </c>
      <c r="H166" s="150">
        <f t="shared" si="25"/>
        <v>9.4661190965092401E-2</v>
      </c>
      <c r="I166" s="220">
        <f t="shared" si="26"/>
        <v>1</v>
      </c>
      <c r="J166" s="221">
        <f t="shared" si="27"/>
        <v>1383</v>
      </c>
    </row>
    <row r="167" spans="1:10" x14ac:dyDescent="0.25">
      <c r="A167" s="3"/>
      <c r="B167" s="3"/>
      <c r="C167" s="3"/>
      <c r="D167" s="3"/>
      <c r="E167" s="3"/>
      <c r="F167" s="3"/>
      <c r="G167" s="3"/>
      <c r="H167" s="3"/>
      <c r="I167" s="3"/>
      <c r="J167" s="3"/>
    </row>
    <row r="168" spans="1:10" ht="15.75" x14ac:dyDescent="0.25">
      <c r="A168" s="259" t="s">
        <v>654</v>
      </c>
    </row>
    <row r="169" spans="1:10" ht="38.25" x14ac:dyDescent="0.25">
      <c r="A169" s="238" t="s">
        <v>632</v>
      </c>
      <c r="B169" s="105">
        <v>2021</v>
      </c>
      <c r="C169" s="105">
        <v>2022</v>
      </c>
      <c r="D169" s="105">
        <v>2023</v>
      </c>
      <c r="E169" s="105">
        <v>2024</v>
      </c>
      <c r="F169" s="105">
        <v>2025</v>
      </c>
      <c r="G169" s="106" t="s">
        <v>547</v>
      </c>
      <c r="H169" s="106" t="s">
        <v>548</v>
      </c>
      <c r="I169" s="106" t="s">
        <v>549</v>
      </c>
      <c r="J169" s="216" t="s">
        <v>563</v>
      </c>
    </row>
    <row r="170" spans="1:10" x14ac:dyDescent="0.25">
      <c r="A170" s="74" t="s">
        <v>96</v>
      </c>
      <c r="B170" s="264">
        <v>42</v>
      </c>
      <c r="C170" s="264">
        <v>43</v>
      </c>
      <c r="D170" s="264">
        <v>51</v>
      </c>
      <c r="E170" s="264">
        <v>50</v>
      </c>
      <c r="F170" s="98">
        <v>65</v>
      </c>
      <c r="G170" s="149">
        <f t="shared" ref="G170:G172" si="28">(F170-B170)/B170</f>
        <v>0.54761904761904767</v>
      </c>
      <c r="H170" s="149">
        <f t="shared" ref="H170:H172" si="29">(F170-E170)/E170</f>
        <v>0.3</v>
      </c>
      <c r="I170" s="218">
        <f>F170/F$172</f>
        <v>0.15081206496519722</v>
      </c>
      <c r="J170" s="219">
        <f t="shared" ref="J170:J172" si="30">F170-E170</f>
        <v>15</v>
      </c>
    </row>
    <row r="171" spans="1:10" x14ac:dyDescent="0.25">
      <c r="A171" s="74" t="s">
        <v>97</v>
      </c>
      <c r="B171" s="264">
        <v>392</v>
      </c>
      <c r="C171" s="264">
        <v>402</v>
      </c>
      <c r="D171" s="264">
        <v>393</v>
      </c>
      <c r="E171" s="264">
        <v>345</v>
      </c>
      <c r="F171" s="98">
        <v>366</v>
      </c>
      <c r="G171" s="149">
        <f t="shared" si="28"/>
        <v>-6.6326530612244902E-2</v>
      </c>
      <c r="H171" s="149">
        <f t="shared" si="29"/>
        <v>6.0869565217391307E-2</v>
      </c>
      <c r="I171" s="218">
        <f>F171/F$172</f>
        <v>0.84918793503480283</v>
      </c>
      <c r="J171" s="219">
        <f t="shared" si="30"/>
        <v>21</v>
      </c>
    </row>
    <row r="172" spans="1:10" x14ac:dyDescent="0.25">
      <c r="A172" s="92" t="s">
        <v>0</v>
      </c>
      <c r="B172" s="263">
        <v>434</v>
      </c>
      <c r="C172" s="263">
        <v>445</v>
      </c>
      <c r="D172" s="263">
        <v>444</v>
      </c>
      <c r="E172" s="263">
        <v>395</v>
      </c>
      <c r="F172" s="8">
        <v>431</v>
      </c>
      <c r="G172" s="150">
        <f t="shared" si="28"/>
        <v>-6.9124423963133645E-3</v>
      </c>
      <c r="H172" s="150">
        <f t="shared" si="29"/>
        <v>9.1139240506329114E-2</v>
      </c>
      <c r="I172" s="220">
        <f>F172/F$172</f>
        <v>1</v>
      </c>
      <c r="J172" s="221">
        <f t="shared" si="30"/>
        <v>36</v>
      </c>
    </row>
    <row r="173" spans="1:10" x14ac:dyDescent="0.25">
      <c r="A173"/>
      <c r="B173"/>
      <c r="C173"/>
      <c r="D173"/>
      <c r="E173"/>
      <c r="F173"/>
      <c r="G173"/>
      <c r="H173"/>
      <c r="I173"/>
      <c r="J173"/>
    </row>
    <row r="174" spans="1:10" ht="15.75" x14ac:dyDescent="0.25">
      <c r="A174" s="259" t="s">
        <v>655</v>
      </c>
    </row>
    <row r="175" spans="1:10" ht="38.25" x14ac:dyDescent="0.25">
      <c r="A175" s="238" t="s">
        <v>372</v>
      </c>
      <c r="B175" s="105">
        <v>2021</v>
      </c>
      <c r="C175" s="105">
        <v>2022</v>
      </c>
      <c r="D175" s="105">
        <v>2023</v>
      </c>
      <c r="E175" s="105">
        <v>2024</v>
      </c>
      <c r="F175" s="105">
        <v>2025</v>
      </c>
      <c r="G175" s="106" t="s">
        <v>547</v>
      </c>
      <c r="H175" s="106" t="s">
        <v>548</v>
      </c>
      <c r="I175" s="106" t="s">
        <v>549</v>
      </c>
      <c r="J175" s="216" t="s">
        <v>563</v>
      </c>
    </row>
    <row r="176" spans="1:10" x14ac:dyDescent="0.25">
      <c r="A176" s="226" t="s">
        <v>96</v>
      </c>
      <c r="B176" s="264">
        <v>42</v>
      </c>
      <c r="C176" s="264">
        <v>43</v>
      </c>
      <c r="D176" s="264">
        <v>51</v>
      </c>
      <c r="E176" s="264">
        <v>50</v>
      </c>
      <c r="F176" s="98">
        <v>65</v>
      </c>
      <c r="G176" s="149">
        <f t="shared" ref="G176:G182" si="31">(F176-B176)/B176</f>
        <v>0.54761904761904767</v>
      </c>
      <c r="H176" s="149">
        <f t="shared" ref="H176:H182" si="32">(F176-E176)/E176</f>
        <v>0.3</v>
      </c>
      <c r="I176" s="218">
        <f t="shared" ref="I176:I182" si="33">F176/F$172</f>
        <v>0.15081206496519722</v>
      </c>
      <c r="J176" s="219">
        <f t="shared" ref="J176:J182" si="34">F176-E176</f>
        <v>15</v>
      </c>
    </row>
    <row r="177" spans="1:10" x14ac:dyDescent="0.25">
      <c r="A177" s="232" t="s">
        <v>138</v>
      </c>
      <c r="B177" s="264">
        <v>23</v>
      </c>
      <c r="C177" s="264">
        <v>25</v>
      </c>
      <c r="D177" s="264">
        <v>28</v>
      </c>
      <c r="E177" s="264">
        <v>25</v>
      </c>
      <c r="F177" s="98">
        <v>38</v>
      </c>
      <c r="G177" s="149">
        <f t="shared" si="31"/>
        <v>0.65217391304347827</v>
      </c>
      <c r="H177" s="149">
        <f t="shared" si="32"/>
        <v>0.52</v>
      </c>
      <c r="I177" s="218">
        <f t="shared" si="33"/>
        <v>8.8167053364269138E-2</v>
      </c>
      <c r="J177" s="219">
        <f t="shared" si="34"/>
        <v>13</v>
      </c>
    </row>
    <row r="178" spans="1:10" x14ac:dyDescent="0.25">
      <c r="A178" s="232" t="s">
        <v>139</v>
      </c>
      <c r="B178" s="264">
        <v>19</v>
      </c>
      <c r="C178" s="264">
        <v>18</v>
      </c>
      <c r="D178" s="264">
        <v>23</v>
      </c>
      <c r="E178" s="264">
        <v>25</v>
      </c>
      <c r="F178" s="98">
        <v>27</v>
      </c>
      <c r="G178" s="149">
        <f t="shared" si="31"/>
        <v>0.42105263157894735</v>
      </c>
      <c r="H178" s="149">
        <f t="shared" si="32"/>
        <v>0.08</v>
      </c>
      <c r="I178" s="218">
        <f t="shared" si="33"/>
        <v>6.2645011600928072E-2</v>
      </c>
      <c r="J178" s="219">
        <f t="shared" si="34"/>
        <v>2</v>
      </c>
    </row>
    <row r="179" spans="1:10" x14ac:dyDescent="0.25">
      <c r="A179" s="226" t="s">
        <v>97</v>
      </c>
      <c r="B179" s="264">
        <v>392</v>
      </c>
      <c r="C179" s="264">
        <v>402</v>
      </c>
      <c r="D179" s="264">
        <v>393</v>
      </c>
      <c r="E179" s="264">
        <v>345</v>
      </c>
      <c r="F179" s="98">
        <v>366</v>
      </c>
      <c r="G179" s="149">
        <f t="shared" si="31"/>
        <v>-6.6326530612244902E-2</v>
      </c>
      <c r="H179" s="149">
        <f t="shared" si="32"/>
        <v>6.0869565217391307E-2</v>
      </c>
      <c r="I179" s="218">
        <f t="shared" si="33"/>
        <v>0.84918793503480283</v>
      </c>
      <c r="J179" s="219">
        <f t="shared" si="34"/>
        <v>21</v>
      </c>
    </row>
    <row r="180" spans="1:10" x14ac:dyDescent="0.25">
      <c r="A180" s="232" t="s">
        <v>138</v>
      </c>
      <c r="B180" s="264">
        <v>197</v>
      </c>
      <c r="C180" s="264">
        <v>209</v>
      </c>
      <c r="D180" s="264">
        <v>205</v>
      </c>
      <c r="E180" s="264">
        <v>168</v>
      </c>
      <c r="F180" s="98">
        <v>197</v>
      </c>
      <c r="G180" s="149">
        <f t="shared" si="31"/>
        <v>0</v>
      </c>
      <c r="H180" s="149">
        <f t="shared" si="32"/>
        <v>0.17261904761904762</v>
      </c>
      <c r="I180" s="218">
        <f t="shared" si="33"/>
        <v>0.45707656612529002</v>
      </c>
      <c r="J180" s="219">
        <f t="shared" si="34"/>
        <v>29</v>
      </c>
    </row>
    <row r="181" spans="1:10" x14ac:dyDescent="0.25">
      <c r="A181" s="232" t="s">
        <v>139</v>
      </c>
      <c r="B181" s="264">
        <v>195</v>
      </c>
      <c r="C181" s="264">
        <v>193</v>
      </c>
      <c r="D181" s="264">
        <v>188</v>
      </c>
      <c r="E181" s="264">
        <v>177</v>
      </c>
      <c r="F181" s="98">
        <v>169</v>
      </c>
      <c r="G181" s="149">
        <f t="shared" si="31"/>
        <v>-0.13333333333333333</v>
      </c>
      <c r="H181" s="149">
        <f t="shared" si="32"/>
        <v>-4.519774011299435E-2</v>
      </c>
      <c r="I181" s="218">
        <f t="shared" si="33"/>
        <v>0.39211136890951276</v>
      </c>
      <c r="J181" s="219">
        <f t="shared" si="34"/>
        <v>-8</v>
      </c>
    </row>
    <row r="182" spans="1:10" x14ac:dyDescent="0.25">
      <c r="A182" s="226" t="s">
        <v>0</v>
      </c>
      <c r="B182" s="263">
        <v>434</v>
      </c>
      <c r="C182" s="263">
        <v>445</v>
      </c>
      <c r="D182" s="263">
        <v>444</v>
      </c>
      <c r="E182" s="263">
        <v>395</v>
      </c>
      <c r="F182" s="8">
        <v>431</v>
      </c>
      <c r="G182" s="150">
        <f t="shared" si="31"/>
        <v>-6.9124423963133645E-3</v>
      </c>
      <c r="H182" s="150">
        <f t="shared" si="32"/>
        <v>9.1139240506329114E-2</v>
      </c>
      <c r="I182" s="220">
        <f t="shared" si="33"/>
        <v>1</v>
      </c>
      <c r="J182" s="221">
        <f t="shared" si="34"/>
        <v>36</v>
      </c>
    </row>
    <row r="183" spans="1:10" x14ac:dyDescent="0.25">
      <c r="A183" s="3"/>
      <c r="B183" s="3"/>
      <c r="C183" s="3"/>
      <c r="D183" s="3"/>
      <c r="E183" s="3"/>
      <c r="F183" s="3"/>
      <c r="G183" s="3"/>
      <c r="H183" s="3"/>
      <c r="I183" s="3"/>
      <c r="J183" s="3"/>
    </row>
    <row r="184" spans="1:10" ht="15.75" x14ac:dyDescent="0.25">
      <c r="A184" s="259" t="s">
        <v>656</v>
      </c>
    </row>
    <row r="185" spans="1:10" ht="38.25" x14ac:dyDescent="0.25">
      <c r="A185" s="238" t="s">
        <v>44</v>
      </c>
      <c r="B185" s="105">
        <v>2021</v>
      </c>
      <c r="C185" s="105">
        <v>2022</v>
      </c>
      <c r="D185" s="105">
        <v>2023</v>
      </c>
      <c r="E185" s="105">
        <v>2024</v>
      </c>
      <c r="F185" s="105">
        <v>2025</v>
      </c>
      <c r="G185" s="106" t="s">
        <v>547</v>
      </c>
      <c r="H185" s="106" t="s">
        <v>548</v>
      </c>
      <c r="I185" s="106" t="s">
        <v>549</v>
      </c>
      <c r="J185" s="216" t="s">
        <v>563</v>
      </c>
    </row>
    <row r="186" spans="1:10" x14ac:dyDescent="0.25">
      <c r="A186" s="225" t="s">
        <v>582</v>
      </c>
      <c r="B186" s="264">
        <v>0</v>
      </c>
      <c r="C186" s="264">
        <v>1</v>
      </c>
      <c r="D186" s="264">
        <v>2</v>
      </c>
      <c r="E186" s="264">
        <v>0</v>
      </c>
      <c r="F186" s="98">
        <v>0</v>
      </c>
      <c r="G186" s="149" t="s">
        <v>130</v>
      </c>
      <c r="H186" s="149" t="s">
        <v>130</v>
      </c>
      <c r="I186" s="218">
        <f t="shared" ref="I186:I202" si="35">F186/F$202</f>
        <v>0</v>
      </c>
      <c r="J186" s="219">
        <f t="shared" ref="J186:J202" si="36">F186-E186</f>
        <v>0</v>
      </c>
    </row>
    <row r="187" spans="1:10" x14ac:dyDescent="0.25">
      <c r="A187" s="225" t="s">
        <v>583</v>
      </c>
      <c r="B187" s="264">
        <v>1</v>
      </c>
      <c r="C187" s="264">
        <v>1</v>
      </c>
      <c r="D187" s="264">
        <v>0</v>
      </c>
      <c r="E187" s="264">
        <v>0</v>
      </c>
      <c r="F187" s="98">
        <v>0</v>
      </c>
      <c r="G187" s="149">
        <f t="shared" ref="G187:G202" si="37">(F187-B187)/B187</f>
        <v>-1</v>
      </c>
      <c r="H187" s="149" t="s">
        <v>130</v>
      </c>
      <c r="I187" s="218">
        <f t="shared" si="35"/>
        <v>0</v>
      </c>
      <c r="J187" s="219">
        <f t="shared" si="36"/>
        <v>0</v>
      </c>
    </row>
    <row r="188" spans="1:10" x14ac:dyDescent="0.25">
      <c r="A188" s="225" t="s">
        <v>584</v>
      </c>
      <c r="B188" s="264">
        <v>3</v>
      </c>
      <c r="C188" s="264">
        <v>5</v>
      </c>
      <c r="D188" s="264">
        <v>5</v>
      </c>
      <c r="E188" s="264">
        <v>2</v>
      </c>
      <c r="F188" s="98">
        <v>1</v>
      </c>
      <c r="G188" s="149">
        <f t="shared" si="37"/>
        <v>-0.66666666666666663</v>
      </c>
      <c r="H188" s="149">
        <f t="shared" ref="H188:H202" si="38">(F188-E188)/E188</f>
        <v>-0.5</v>
      </c>
      <c r="I188" s="218">
        <f t="shared" si="35"/>
        <v>2.3201856148491878E-3</v>
      </c>
      <c r="J188" s="219">
        <f t="shared" si="36"/>
        <v>-1</v>
      </c>
    </row>
    <row r="189" spans="1:10" x14ac:dyDescent="0.25">
      <c r="A189" s="225" t="s">
        <v>585</v>
      </c>
      <c r="B189" s="264">
        <v>0</v>
      </c>
      <c r="C189" s="264">
        <v>1</v>
      </c>
      <c r="D189" s="264">
        <v>0</v>
      </c>
      <c r="E189" s="264">
        <v>0</v>
      </c>
      <c r="F189" s="98">
        <v>0</v>
      </c>
      <c r="G189" s="149" t="s">
        <v>130</v>
      </c>
      <c r="H189" s="149" t="s">
        <v>130</v>
      </c>
      <c r="I189" s="218">
        <f t="shared" si="35"/>
        <v>0</v>
      </c>
      <c r="J189" s="219">
        <f t="shared" si="36"/>
        <v>0</v>
      </c>
    </row>
    <row r="190" spans="1:10" x14ac:dyDescent="0.25">
      <c r="A190" s="225" t="s">
        <v>586</v>
      </c>
      <c r="B190" s="264">
        <v>4</v>
      </c>
      <c r="C190" s="264">
        <v>5</v>
      </c>
      <c r="D190" s="264">
        <v>7</v>
      </c>
      <c r="E190" s="264">
        <v>4</v>
      </c>
      <c r="F190" s="98">
        <v>3</v>
      </c>
      <c r="G190" s="149">
        <f t="shared" si="37"/>
        <v>-0.25</v>
      </c>
      <c r="H190" s="149">
        <f t="shared" si="38"/>
        <v>-0.25</v>
      </c>
      <c r="I190" s="218">
        <f t="shared" si="35"/>
        <v>6.9605568445475635E-3</v>
      </c>
      <c r="J190" s="219">
        <f t="shared" si="36"/>
        <v>-1</v>
      </c>
    </row>
    <row r="191" spans="1:10" x14ac:dyDescent="0.25">
      <c r="A191" s="225" t="s">
        <v>587</v>
      </c>
      <c r="B191" s="264">
        <v>41</v>
      </c>
      <c r="C191" s="264">
        <v>44</v>
      </c>
      <c r="D191" s="264">
        <v>43</v>
      </c>
      <c r="E191" s="264">
        <v>38</v>
      </c>
      <c r="F191" s="98">
        <v>41</v>
      </c>
      <c r="G191" s="149">
        <f t="shared" si="37"/>
        <v>0</v>
      </c>
      <c r="H191" s="149">
        <f t="shared" si="38"/>
        <v>7.8947368421052627E-2</v>
      </c>
      <c r="I191" s="218">
        <f t="shared" si="35"/>
        <v>9.5127610208816701E-2</v>
      </c>
      <c r="J191" s="219">
        <f t="shared" si="36"/>
        <v>3</v>
      </c>
    </row>
    <row r="192" spans="1:10" x14ac:dyDescent="0.25">
      <c r="A192" s="225" t="s">
        <v>588</v>
      </c>
      <c r="B192" s="264">
        <v>293</v>
      </c>
      <c r="C192" s="264">
        <v>288</v>
      </c>
      <c r="D192" s="264">
        <v>275</v>
      </c>
      <c r="E192" s="264">
        <v>269</v>
      </c>
      <c r="F192" s="98">
        <v>287</v>
      </c>
      <c r="G192" s="149">
        <f t="shared" si="37"/>
        <v>-2.0477815699658702E-2</v>
      </c>
      <c r="H192" s="149">
        <f t="shared" si="38"/>
        <v>6.6914498141263934E-2</v>
      </c>
      <c r="I192" s="218">
        <f t="shared" si="35"/>
        <v>0.66589327146171695</v>
      </c>
      <c r="J192" s="219">
        <f t="shared" si="36"/>
        <v>18</v>
      </c>
    </row>
    <row r="193" spans="1:10" x14ac:dyDescent="0.25">
      <c r="A193" s="225" t="s">
        <v>589</v>
      </c>
      <c r="B193" s="264">
        <v>0</v>
      </c>
      <c r="C193" s="264">
        <v>0</v>
      </c>
      <c r="D193" s="264">
        <v>0</v>
      </c>
      <c r="E193" s="264">
        <v>0</v>
      </c>
      <c r="F193" s="98">
        <v>1</v>
      </c>
      <c r="G193" s="149" t="s">
        <v>130</v>
      </c>
      <c r="H193" s="149" t="s">
        <v>130</v>
      </c>
      <c r="I193" s="218">
        <f t="shared" si="35"/>
        <v>2.3201856148491878E-3</v>
      </c>
      <c r="J193" s="219">
        <f t="shared" si="36"/>
        <v>1</v>
      </c>
    </row>
    <row r="194" spans="1:10" x14ac:dyDescent="0.25">
      <c r="A194" s="225" t="s">
        <v>590</v>
      </c>
      <c r="B194" s="264">
        <v>5</v>
      </c>
      <c r="C194" s="264">
        <v>6</v>
      </c>
      <c r="D194" s="264">
        <v>10</v>
      </c>
      <c r="E194" s="264">
        <v>9</v>
      </c>
      <c r="F194" s="98">
        <v>10</v>
      </c>
      <c r="G194" s="149">
        <f t="shared" si="37"/>
        <v>1</v>
      </c>
      <c r="H194" s="149">
        <f t="shared" si="38"/>
        <v>0.1111111111111111</v>
      </c>
      <c r="I194" s="218">
        <f t="shared" si="35"/>
        <v>2.3201856148491878E-2</v>
      </c>
      <c r="J194" s="219">
        <f t="shared" si="36"/>
        <v>1</v>
      </c>
    </row>
    <row r="195" spans="1:10" x14ac:dyDescent="0.25">
      <c r="A195" s="225" t="s">
        <v>591</v>
      </c>
      <c r="B195" s="264">
        <v>2</v>
      </c>
      <c r="C195" s="264">
        <v>1</v>
      </c>
      <c r="D195" s="264">
        <v>3</v>
      </c>
      <c r="E195" s="264">
        <v>3</v>
      </c>
      <c r="F195" s="98">
        <v>3</v>
      </c>
      <c r="G195" s="149">
        <f t="shared" si="37"/>
        <v>0.5</v>
      </c>
      <c r="H195" s="149">
        <f t="shared" si="38"/>
        <v>0</v>
      </c>
      <c r="I195" s="218">
        <f t="shared" si="35"/>
        <v>6.9605568445475635E-3</v>
      </c>
      <c r="J195" s="219">
        <f t="shared" si="36"/>
        <v>0</v>
      </c>
    </row>
    <row r="196" spans="1:10" x14ac:dyDescent="0.25">
      <c r="A196" s="225" t="s">
        <v>592</v>
      </c>
      <c r="B196" s="264">
        <v>49</v>
      </c>
      <c r="C196" s="264">
        <v>54</v>
      </c>
      <c r="D196" s="264">
        <v>54</v>
      </c>
      <c r="E196" s="264">
        <v>32</v>
      </c>
      <c r="F196" s="98">
        <v>31</v>
      </c>
      <c r="G196" s="149">
        <f t="shared" si="37"/>
        <v>-0.36734693877551022</v>
      </c>
      <c r="H196" s="149">
        <f t="shared" si="38"/>
        <v>-3.125E-2</v>
      </c>
      <c r="I196" s="218">
        <f t="shared" si="35"/>
        <v>7.1925754060324823E-2</v>
      </c>
      <c r="J196" s="219">
        <f t="shared" si="36"/>
        <v>-1</v>
      </c>
    </row>
    <row r="197" spans="1:10" x14ac:dyDescent="0.25">
      <c r="A197" s="225" t="s">
        <v>593</v>
      </c>
      <c r="B197" s="264">
        <v>28</v>
      </c>
      <c r="C197" s="264">
        <v>24</v>
      </c>
      <c r="D197" s="264">
        <v>26</v>
      </c>
      <c r="E197" s="264">
        <v>24</v>
      </c>
      <c r="F197" s="98">
        <v>35</v>
      </c>
      <c r="G197" s="149">
        <f t="shared" si="37"/>
        <v>0.25</v>
      </c>
      <c r="H197" s="149">
        <f t="shared" si="38"/>
        <v>0.45833333333333331</v>
      </c>
      <c r="I197" s="218">
        <f t="shared" si="35"/>
        <v>8.1206496519721574E-2</v>
      </c>
      <c r="J197" s="219">
        <f t="shared" si="36"/>
        <v>11</v>
      </c>
    </row>
    <row r="198" spans="1:10" x14ac:dyDescent="0.25">
      <c r="A198" s="225" t="s">
        <v>594</v>
      </c>
      <c r="B198" s="264">
        <v>6</v>
      </c>
      <c r="C198" s="264">
        <v>10</v>
      </c>
      <c r="D198" s="264">
        <v>12</v>
      </c>
      <c r="E198" s="264">
        <v>8</v>
      </c>
      <c r="F198" s="98">
        <v>9</v>
      </c>
      <c r="G198" s="149">
        <f t="shared" si="37"/>
        <v>0.5</v>
      </c>
      <c r="H198" s="149">
        <f t="shared" si="38"/>
        <v>0.125</v>
      </c>
      <c r="I198" s="218">
        <f t="shared" si="35"/>
        <v>2.0881670533642691E-2</v>
      </c>
      <c r="J198" s="219">
        <f t="shared" si="36"/>
        <v>1</v>
      </c>
    </row>
    <row r="199" spans="1:10" x14ac:dyDescent="0.25">
      <c r="A199" s="225" t="s">
        <v>595</v>
      </c>
      <c r="B199" s="264">
        <v>2</v>
      </c>
      <c r="C199" s="264">
        <v>5</v>
      </c>
      <c r="D199" s="264">
        <v>6</v>
      </c>
      <c r="E199" s="264">
        <v>4</v>
      </c>
      <c r="F199" s="98">
        <v>7</v>
      </c>
      <c r="G199" s="149">
        <f t="shared" si="37"/>
        <v>2.5</v>
      </c>
      <c r="H199" s="149">
        <f t="shared" si="38"/>
        <v>0.75</v>
      </c>
      <c r="I199" s="218">
        <f t="shared" si="35"/>
        <v>1.6241299303944315E-2</v>
      </c>
      <c r="J199" s="219">
        <f t="shared" si="36"/>
        <v>3</v>
      </c>
    </row>
    <row r="200" spans="1:10" x14ac:dyDescent="0.25">
      <c r="A200" s="225" t="s">
        <v>596</v>
      </c>
      <c r="B200" s="264">
        <v>0</v>
      </c>
      <c r="C200" s="264">
        <v>0</v>
      </c>
      <c r="D200" s="264">
        <v>0</v>
      </c>
      <c r="E200" s="264">
        <v>0</v>
      </c>
      <c r="F200" s="98">
        <v>0</v>
      </c>
      <c r="G200" s="149" t="s">
        <v>130</v>
      </c>
      <c r="H200" s="149" t="s">
        <v>130</v>
      </c>
      <c r="I200" s="218">
        <f t="shared" si="35"/>
        <v>0</v>
      </c>
      <c r="J200" s="219">
        <f t="shared" si="36"/>
        <v>0</v>
      </c>
    </row>
    <row r="201" spans="1:10" x14ac:dyDescent="0.25">
      <c r="A201" s="225" t="s">
        <v>597</v>
      </c>
      <c r="B201" s="264">
        <v>0</v>
      </c>
      <c r="C201" s="264">
        <v>0</v>
      </c>
      <c r="D201" s="264">
        <v>1</v>
      </c>
      <c r="E201" s="264">
        <v>2</v>
      </c>
      <c r="F201" s="98">
        <v>3</v>
      </c>
      <c r="G201" s="149" t="s">
        <v>130</v>
      </c>
      <c r="H201" s="149">
        <f t="shared" si="38"/>
        <v>0.5</v>
      </c>
      <c r="I201" s="218">
        <f t="shared" si="35"/>
        <v>6.9605568445475635E-3</v>
      </c>
      <c r="J201" s="219">
        <f t="shared" si="36"/>
        <v>1</v>
      </c>
    </row>
    <row r="202" spans="1:10" x14ac:dyDescent="0.25">
      <c r="A202" s="226" t="s">
        <v>598</v>
      </c>
      <c r="B202" s="263">
        <v>434</v>
      </c>
      <c r="C202" s="263">
        <v>445</v>
      </c>
      <c r="D202" s="263">
        <v>444</v>
      </c>
      <c r="E202" s="263">
        <v>395</v>
      </c>
      <c r="F202" s="8">
        <v>431</v>
      </c>
      <c r="G202" s="150">
        <f t="shared" si="37"/>
        <v>-6.9124423963133645E-3</v>
      </c>
      <c r="H202" s="150">
        <f t="shared" si="38"/>
        <v>9.1139240506329114E-2</v>
      </c>
      <c r="I202" s="220">
        <f t="shared" si="35"/>
        <v>1</v>
      </c>
      <c r="J202" s="221">
        <f t="shared" si="36"/>
        <v>36</v>
      </c>
    </row>
    <row r="203" spans="1:10" x14ac:dyDescent="0.25">
      <c r="A203" s="3"/>
      <c r="B203" s="3"/>
      <c r="C203" s="3"/>
      <c r="D203" s="3"/>
      <c r="E203" s="3"/>
      <c r="F203" s="3"/>
      <c r="G203" s="3"/>
      <c r="H203" s="3"/>
      <c r="I203" s="3"/>
      <c r="J203" s="3"/>
    </row>
    <row r="204" spans="1:10" ht="15.75" x14ac:dyDescent="0.25">
      <c r="A204" s="259" t="s">
        <v>657</v>
      </c>
    </row>
    <row r="205" spans="1:10" ht="38.25" x14ac:dyDescent="0.25">
      <c r="A205" s="238" t="s">
        <v>632</v>
      </c>
      <c r="B205" s="105">
        <v>2021</v>
      </c>
      <c r="C205" s="105">
        <v>2022</v>
      </c>
      <c r="D205" s="105">
        <v>2023</v>
      </c>
      <c r="E205" s="105">
        <v>2024</v>
      </c>
      <c r="F205" s="105">
        <v>2025</v>
      </c>
      <c r="G205" s="106" t="s">
        <v>547</v>
      </c>
      <c r="H205" s="106" t="s">
        <v>548</v>
      </c>
      <c r="I205" s="106" t="s">
        <v>549</v>
      </c>
      <c r="J205" s="216" t="s">
        <v>563</v>
      </c>
    </row>
    <row r="206" spans="1:10" x14ac:dyDescent="0.25">
      <c r="A206" s="74" t="s">
        <v>102</v>
      </c>
      <c r="B206" s="264">
        <v>10</v>
      </c>
      <c r="C206" s="264">
        <v>12</v>
      </c>
      <c r="D206" s="264">
        <v>11</v>
      </c>
      <c r="E206" s="264">
        <v>16</v>
      </c>
      <c r="F206" s="98">
        <v>24</v>
      </c>
      <c r="G206" s="149">
        <f t="shared" ref="G206:G209" si="39">(F206-B206)/B206</f>
        <v>1.4</v>
      </c>
      <c r="H206" s="149">
        <f t="shared" ref="H206:H209" si="40">(F206-E206)/E206</f>
        <v>0.5</v>
      </c>
      <c r="I206" s="218">
        <f>F206/F$209</f>
        <v>4.5368620037807186E-2</v>
      </c>
      <c r="J206" s="219">
        <f t="shared" ref="J206:J209" si="41">F206-E206</f>
        <v>8</v>
      </c>
    </row>
    <row r="207" spans="1:10" x14ac:dyDescent="0.25">
      <c r="A207" s="74" t="s">
        <v>34</v>
      </c>
      <c r="B207" s="264">
        <v>55</v>
      </c>
      <c r="C207" s="264">
        <v>40</v>
      </c>
      <c r="D207" s="264">
        <v>35</v>
      </c>
      <c r="E207" s="264">
        <v>32</v>
      </c>
      <c r="F207" s="98">
        <v>33</v>
      </c>
      <c r="G207" s="149">
        <f t="shared" si="39"/>
        <v>-0.4</v>
      </c>
      <c r="H207" s="149">
        <f t="shared" si="40"/>
        <v>3.125E-2</v>
      </c>
      <c r="I207" s="218">
        <f>F207/F$209</f>
        <v>6.2381852551984876E-2</v>
      </c>
      <c r="J207" s="219">
        <f t="shared" si="41"/>
        <v>1</v>
      </c>
    </row>
    <row r="208" spans="1:10" x14ac:dyDescent="0.25">
      <c r="A208" s="74" t="s">
        <v>601</v>
      </c>
      <c r="B208" s="264">
        <v>226</v>
      </c>
      <c r="C208" s="264">
        <v>187</v>
      </c>
      <c r="D208" s="264">
        <v>222</v>
      </c>
      <c r="E208" s="264">
        <v>321</v>
      </c>
      <c r="F208" s="98">
        <v>472</v>
      </c>
      <c r="G208" s="149">
        <f t="shared" si="39"/>
        <v>1.0884955752212389</v>
      </c>
      <c r="H208" s="149">
        <f t="shared" si="40"/>
        <v>0.47040498442367601</v>
      </c>
      <c r="I208" s="218">
        <f>F208/F$209</f>
        <v>0.89224952741020791</v>
      </c>
      <c r="J208" s="219">
        <f t="shared" si="41"/>
        <v>151</v>
      </c>
    </row>
    <row r="209" spans="1:10" x14ac:dyDescent="0.25">
      <c r="A209" s="92" t="s">
        <v>0</v>
      </c>
      <c r="B209" s="263">
        <v>291</v>
      </c>
      <c r="C209" s="263">
        <v>239</v>
      </c>
      <c r="D209" s="263">
        <v>268</v>
      </c>
      <c r="E209" s="263">
        <v>369</v>
      </c>
      <c r="F209" s="8">
        <v>529</v>
      </c>
      <c r="G209" s="150">
        <f t="shared" si="39"/>
        <v>0.81786941580756012</v>
      </c>
      <c r="H209" s="150">
        <f t="shared" si="40"/>
        <v>0.43360433604336046</v>
      </c>
      <c r="I209" s="220">
        <f>F209/F$209</f>
        <v>1</v>
      </c>
      <c r="J209" s="221">
        <f t="shared" si="41"/>
        <v>160</v>
      </c>
    </row>
    <row r="210" spans="1:10" x14ac:dyDescent="0.25">
      <c r="A210"/>
      <c r="B210"/>
      <c r="C210"/>
      <c r="D210"/>
      <c r="E210"/>
      <c r="F210"/>
      <c r="G210"/>
      <c r="H210"/>
      <c r="I210"/>
      <c r="J210"/>
    </row>
    <row r="211" spans="1:10" ht="15.75" x14ac:dyDescent="0.25">
      <c r="A211" s="259" t="s">
        <v>658</v>
      </c>
    </row>
    <row r="212" spans="1:10" ht="38.25" x14ac:dyDescent="0.25">
      <c r="A212" s="238" t="s">
        <v>372</v>
      </c>
      <c r="B212" s="105">
        <v>2021</v>
      </c>
      <c r="C212" s="105">
        <v>2022</v>
      </c>
      <c r="D212" s="105">
        <v>2023</v>
      </c>
      <c r="E212" s="105">
        <v>2024</v>
      </c>
      <c r="F212" s="105">
        <v>2025</v>
      </c>
      <c r="G212" s="106" t="s">
        <v>547</v>
      </c>
      <c r="H212" s="106" t="s">
        <v>548</v>
      </c>
      <c r="I212" s="106" t="s">
        <v>549</v>
      </c>
      <c r="J212" s="216" t="s">
        <v>563</v>
      </c>
    </row>
    <row r="213" spans="1:10" x14ac:dyDescent="0.25">
      <c r="A213" s="226" t="s">
        <v>102</v>
      </c>
      <c r="B213" s="263">
        <v>10</v>
      </c>
      <c r="C213" s="263">
        <v>12</v>
      </c>
      <c r="D213" s="263">
        <v>11</v>
      </c>
      <c r="E213" s="263">
        <v>16</v>
      </c>
      <c r="F213" s="8">
        <v>24</v>
      </c>
      <c r="G213" s="150">
        <f t="shared" ref="G213:G222" si="42">(F213-B213)/B213</f>
        <v>1.4</v>
      </c>
      <c r="H213" s="150">
        <f t="shared" ref="H213:H222" si="43">(F213-E213)/E213</f>
        <v>0.5</v>
      </c>
      <c r="I213" s="220">
        <f t="shared" ref="I213:I222" si="44">F213/F$209</f>
        <v>4.5368620037807186E-2</v>
      </c>
      <c r="J213" s="221">
        <f t="shared" ref="J213:J222" si="45">F213-E213</f>
        <v>8</v>
      </c>
    </row>
    <row r="214" spans="1:10" x14ac:dyDescent="0.25">
      <c r="A214" s="232" t="s">
        <v>138</v>
      </c>
      <c r="B214" s="264">
        <v>3</v>
      </c>
      <c r="C214" s="264">
        <v>3</v>
      </c>
      <c r="D214" s="264">
        <v>4</v>
      </c>
      <c r="E214" s="264">
        <v>8</v>
      </c>
      <c r="F214" s="98">
        <v>14</v>
      </c>
      <c r="G214" s="149">
        <f t="shared" si="42"/>
        <v>3.6666666666666665</v>
      </c>
      <c r="H214" s="149">
        <f t="shared" si="43"/>
        <v>0.75</v>
      </c>
      <c r="I214" s="218">
        <f t="shared" si="44"/>
        <v>2.6465028355387523E-2</v>
      </c>
      <c r="J214" s="219">
        <f t="shared" si="45"/>
        <v>6</v>
      </c>
    </row>
    <row r="215" spans="1:10" x14ac:dyDescent="0.25">
      <c r="A215" s="232" t="s">
        <v>139</v>
      </c>
      <c r="B215" s="264">
        <v>7</v>
      </c>
      <c r="C215" s="264">
        <v>9</v>
      </c>
      <c r="D215" s="264">
        <v>7</v>
      </c>
      <c r="E215" s="264">
        <v>8</v>
      </c>
      <c r="F215" s="98">
        <v>10</v>
      </c>
      <c r="G215" s="149">
        <f t="shared" si="42"/>
        <v>0.42857142857142855</v>
      </c>
      <c r="H215" s="149">
        <f t="shared" si="43"/>
        <v>0.25</v>
      </c>
      <c r="I215" s="218">
        <f t="shared" si="44"/>
        <v>1.890359168241966E-2</v>
      </c>
      <c r="J215" s="219">
        <f t="shared" si="45"/>
        <v>2</v>
      </c>
    </row>
    <row r="216" spans="1:10" x14ac:dyDescent="0.25">
      <c r="A216" s="226" t="s">
        <v>34</v>
      </c>
      <c r="B216" s="263">
        <v>55</v>
      </c>
      <c r="C216" s="263">
        <v>40</v>
      </c>
      <c r="D216" s="263">
        <v>35</v>
      </c>
      <c r="E216" s="263">
        <v>32</v>
      </c>
      <c r="F216" s="8">
        <v>33</v>
      </c>
      <c r="G216" s="150">
        <f t="shared" si="42"/>
        <v>-0.4</v>
      </c>
      <c r="H216" s="150">
        <f t="shared" si="43"/>
        <v>3.125E-2</v>
      </c>
      <c r="I216" s="220">
        <f t="shared" si="44"/>
        <v>6.2381852551984876E-2</v>
      </c>
      <c r="J216" s="221">
        <f t="shared" si="45"/>
        <v>1</v>
      </c>
    </row>
    <row r="217" spans="1:10" x14ac:dyDescent="0.25">
      <c r="A217" s="232" t="s">
        <v>138</v>
      </c>
      <c r="B217" s="264">
        <v>39</v>
      </c>
      <c r="C217" s="264">
        <v>27</v>
      </c>
      <c r="D217" s="264">
        <v>23</v>
      </c>
      <c r="E217" s="264">
        <v>23</v>
      </c>
      <c r="F217" s="98">
        <v>20</v>
      </c>
      <c r="G217" s="149">
        <f t="shared" si="42"/>
        <v>-0.48717948717948717</v>
      </c>
      <c r="H217" s="149">
        <f t="shared" si="43"/>
        <v>-0.13043478260869565</v>
      </c>
      <c r="I217" s="218">
        <f t="shared" si="44"/>
        <v>3.780718336483932E-2</v>
      </c>
      <c r="J217" s="219">
        <f t="shared" si="45"/>
        <v>-3</v>
      </c>
    </row>
    <row r="218" spans="1:10" x14ac:dyDescent="0.25">
      <c r="A218" s="232" t="s">
        <v>139</v>
      </c>
      <c r="B218" s="264">
        <v>16</v>
      </c>
      <c r="C218" s="264">
        <v>13</v>
      </c>
      <c r="D218" s="264">
        <v>12</v>
      </c>
      <c r="E218" s="264">
        <v>9</v>
      </c>
      <c r="F218" s="98">
        <v>13</v>
      </c>
      <c r="G218" s="149">
        <f t="shared" si="42"/>
        <v>-0.1875</v>
      </c>
      <c r="H218" s="149">
        <f t="shared" si="43"/>
        <v>0.44444444444444442</v>
      </c>
      <c r="I218" s="218">
        <f t="shared" si="44"/>
        <v>2.4574669187145556E-2</v>
      </c>
      <c r="J218" s="219">
        <f t="shared" si="45"/>
        <v>4</v>
      </c>
    </row>
    <row r="219" spans="1:10" x14ac:dyDescent="0.25">
      <c r="A219" s="226" t="s">
        <v>601</v>
      </c>
      <c r="B219" s="263">
        <v>226</v>
      </c>
      <c r="C219" s="263">
        <v>187</v>
      </c>
      <c r="D219" s="263">
        <v>222</v>
      </c>
      <c r="E219" s="263">
        <v>321</v>
      </c>
      <c r="F219" s="8">
        <v>472</v>
      </c>
      <c r="G219" s="150">
        <f t="shared" si="42"/>
        <v>1.0884955752212389</v>
      </c>
      <c r="H219" s="150">
        <f t="shared" si="43"/>
        <v>0.47040498442367601</v>
      </c>
      <c r="I219" s="220">
        <f t="shared" si="44"/>
        <v>0.89224952741020791</v>
      </c>
      <c r="J219" s="221">
        <f t="shared" si="45"/>
        <v>151</v>
      </c>
    </row>
    <row r="220" spans="1:10" x14ac:dyDescent="0.25">
      <c r="A220" s="232" t="s">
        <v>138</v>
      </c>
      <c r="B220" s="264">
        <v>128</v>
      </c>
      <c r="C220" s="264">
        <v>123</v>
      </c>
      <c r="D220" s="264">
        <v>138</v>
      </c>
      <c r="E220" s="264">
        <v>194</v>
      </c>
      <c r="F220" s="98">
        <v>291</v>
      </c>
      <c r="G220" s="149">
        <f t="shared" si="42"/>
        <v>1.2734375</v>
      </c>
      <c r="H220" s="149">
        <f t="shared" si="43"/>
        <v>0.5</v>
      </c>
      <c r="I220" s="218">
        <f t="shared" si="44"/>
        <v>0.55009451795841213</v>
      </c>
      <c r="J220" s="219">
        <f t="shared" si="45"/>
        <v>97</v>
      </c>
    </row>
    <row r="221" spans="1:10" x14ac:dyDescent="0.25">
      <c r="A221" s="232" t="s">
        <v>139</v>
      </c>
      <c r="B221" s="264">
        <v>98</v>
      </c>
      <c r="C221" s="264">
        <v>64</v>
      </c>
      <c r="D221" s="264">
        <v>84</v>
      </c>
      <c r="E221" s="264">
        <v>127</v>
      </c>
      <c r="F221" s="98">
        <v>181</v>
      </c>
      <c r="G221" s="149">
        <f t="shared" si="42"/>
        <v>0.84693877551020413</v>
      </c>
      <c r="H221" s="149">
        <f t="shared" si="43"/>
        <v>0.42519685039370081</v>
      </c>
      <c r="I221" s="218">
        <f t="shared" si="44"/>
        <v>0.34215500945179583</v>
      </c>
      <c r="J221" s="219">
        <f t="shared" si="45"/>
        <v>54</v>
      </c>
    </row>
    <row r="222" spans="1:10" x14ac:dyDescent="0.25">
      <c r="A222" s="226" t="s">
        <v>0</v>
      </c>
      <c r="B222" s="263">
        <v>291</v>
      </c>
      <c r="C222" s="263">
        <v>239</v>
      </c>
      <c r="D222" s="263">
        <v>268</v>
      </c>
      <c r="E222" s="263">
        <v>369</v>
      </c>
      <c r="F222" s="8">
        <v>529</v>
      </c>
      <c r="G222" s="150">
        <f t="shared" si="42"/>
        <v>0.81786941580756012</v>
      </c>
      <c r="H222" s="150">
        <f t="shared" si="43"/>
        <v>0.43360433604336046</v>
      </c>
      <c r="I222" s="220">
        <f t="shared" si="44"/>
        <v>1</v>
      </c>
      <c r="J222" s="221">
        <f t="shared" si="45"/>
        <v>160</v>
      </c>
    </row>
    <row r="223" spans="1:10" x14ac:dyDescent="0.25">
      <c r="A223" s="3"/>
      <c r="B223" s="3"/>
      <c r="C223" s="3"/>
      <c r="D223" s="3"/>
      <c r="E223" s="3"/>
      <c r="F223" s="3"/>
      <c r="G223" s="3"/>
      <c r="H223" s="3"/>
      <c r="I223" s="3"/>
      <c r="J223" s="3"/>
    </row>
    <row r="224" spans="1:10" ht="15.75" x14ac:dyDescent="0.25">
      <c r="A224" s="259" t="s">
        <v>659</v>
      </c>
    </row>
    <row r="225" spans="1:10" ht="38.25" x14ac:dyDescent="0.25">
      <c r="A225" s="238" t="s">
        <v>44</v>
      </c>
      <c r="B225" s="105">
        <v>2021</v>
      </c>
      <c r="C225" s="105">
        <v>2022</v>
      </c>
      <c r="D225" s="105">
        <v>2023</v>
      </c>
      <c r="E225" s="105">
        <v>2024</v>
      </c>
      <c r="F225" s="105">
        <v>2025</v>
      </c>
      <c r="G225" s="106" t="s">
        <v>547</v>
      </c>
      <c r="H225" s="106" t="s">
        <v>548</v>
      </c>
      <c r="I225" s="106" t="s">
        <v>549</v>
      </c>
      <c r="J225" s="216" t="s">
        <v>563</v>
      </c>
    </row>
    <row r="226" spans="1:10" x14ac:dyDescent="0.25">
      <c r="A226" s="225" t="s">
        <v>582</v>
      </c>
      <c r="B226" s="264">
        <v>0</v>
      </c>
      <c r="C226" s="264">
        <v>0</v>
      </c>
      <c r="D226" s="264">
        <v>0</v>
      </c>
      <c r="E226" s="264">
        <v>0</v>
      </c>
      <c r="F226" s="98">
        <v>0</v>
      </c>
      <c r="G226" s="149" t="s">
        <v>130</v>
      </c>
      <c r="H226" s="149" t="s">
        <v>130</v>
      </c>
      <c r="I226" s="218">
        <f t="shared" ref="I226:I242" si="46">F226/F$242</f>
        <v>0</v>
      </c>
      <c r="J226" s="219">
        <f t="shared" ref="J226:J242" si="47">F226-E226</f>
        <v>0</v>
      </c>
    </row>
    <row r="227" spans="1:10" x14ac:dyDescent="0.25">
      <c r="A227" s="225" t="s">
        <v>583</v>
      </c>
      <c r="B227" s="264">
        <v>1</v>
      </c>
      <c r="C227" s="264">
        <v>0</v>
      </c>
      <c r="D227" s="264">
        <v>0</v>
      </c>
      <c r="E227" s="264">
        <v>0</v>
      </c>
      <c r="F227" s="98">
        <v>0</v>
      </c>
      <c r="G227" s="149">
        <f>(F227-B227)/B227</f>
        <v>-1</v>
      </c>
      <c r="H227" s="149" t="s">
        <v>130</v>
      </c>
      <c r="I227" s="218">
        <f t="shared" si="46"/>
        <v>0</v>
      </c>
      <c r="J227" s="219">
        <f t="shared" si="47"/>
        <v>0</v>
      </c>
    </row>
    <row r="228" spans="1:10" x14ac:dyDescent="0.25">
      <c r="A228" s="225" t="s">
        <v>584</v>
      </c>
      <c r="B228" s="264">
        <v>0</v>
      </c>
      <c r="C228" s="264">
        <v>0</v>
      </c>
      <c r="D228" s="264">
        <v>2</v>
      </c>
      <c r="E228" s="264">
        <v>0</v>
      </c>
      <c r="F228" s="98">
        <v>1</v>
      </c>
      <c r="G228" s="149" t="s">
        <v>130</v>
      </c>
      <c r="H228" s="149" t="s">
        <v>130</v>
      </c>
      <c r="I228" s="218">
        <f t="shared" si="46"/>
        <v>1.890359168241966E-3</v>
      </c>
      <c r="J228" s="219">
        <f t="shared" si="47"/>
        <v>1</v>
      </c>
    </row>
    <row r="229" spans="1:10" x14ac:dyDescent="0.25">
      <c r="A229" s="225" t="s">
        <v>585</v>
      </c>
      <c r="B229" s="264">
        <v>1</v>
      </c>
      <c r="C229" s="264">
        <v>0</v>
      </c>
      <c r="D229" s="264">
        <v>0</v>
      </c>
      <c r="E229" s="264">
        <v>0</v>
      </c>
      <c r="F229" s="98">
        <v>0</v>
      </c>
      <c r="G229" s="149">
        <f>(F229-B229)/B229</f>
        <v>-1</v>
      </c>
      <c r="H229" s="149" t="s">
        <v>130</v>
      </c>
      <c r="I229" s="218">
        <f t="shared" si="46"/>
        <v>0</v>
      </c>
      <c r="J229" s="219">
        <f t="shared" si="47"/>
        <v>0</v>
      </c>
    </row>
    <row r="230" spans="1:10" x14ac:dyDescent="0.25">
      <c r="A230" s="225" t="s">
        <v>586</v>
      </c>
      <c r="B230" s="264">
        <v>1</v>
      </c>
      <c r="C230" s="264">
        <v>1</v>
      </c>
      <c r="D230" s="264">
        <v>0</v>
      </c>
      <c r="E230" s="264">
        <v>3</v>
      </c>
      <c r="F230" s="98">
        <v>3</v>
      </c>
      <c r="G230" s="149">
        <f>(F230-B230)/B230</f>
        <v>2</v>
      </c>
      <c r="H230" s="149">
        <f>(F230-E230)/E230</f>
        <v>0</v>
      </c>
      <c r="I230" s="218">
        <f t="shared" si="46"/>
        <v>5.6710775047258983E-3</v>
      </c>
      <c r="J230" s="219">
        <f t="shared" si="47"/>
        <v>0</v>
      </c>
    </row>
    <row r="231" spans="1:10" x14ac:dyDescent="0.25">
      <c r="A231" s="225" t="s">
        <v>587</v>
      </c>
      <c r="B231" s="264">
        <v>8</v>
      </c>
      <c r="C231" s="264">
        <v>10</v>
      </c>
      <c r="D231" s="264">
        <v>10</v>
      </c>
      <c r="E231" s="264">
        <v>11</v>
      </c>
      <c r="F231" s="98">
        <v>12</v>
      </c>
      <c r="G231" s="149">
        <f>(F231-B231)/B231</f>
        <v>0.5</v>
      </c>
      <c r="H231" s="149">
        <f>(F231-E231)/E231</f>
        <v>9.0909090909090912E-2</v>
      </c>
      <c r="I231" s="218">
        <f t="shared" si="46"/>
        <v>2.2684310018903593E-2</v>
      </c>
      <c r="J231" s="219">
        <f t="shared" si="47"/>
        <v>1</v>
      </c>
    </row>
    <row r="232" spans="1:10" x14ac:dyDescent="0.25">
      <c r="A232" s="225" t="s">
        <v>588</v>
      </c>
      <c r="B232" s="264">
        <v>240</v>
      </c>
      <c r="C232" s="264">
        <v>188</v>
      </c>
      <c r="D232" s="264">
        <v>210</v>
      </c>
      <c r="E232" s="264">
        <v>318</v>
      </c>
      <c r="F232" s="98">
        <v>408</v>
      </c>
      <c r="G232" s="149">
        <f>(F232-B232)/B232</f>
        <v>0.7</v>
      </c>
      <c r="H232" s="149">
        <f>(F232-E232)/E232</f>
        <v>0.28301886792452829</v>
      </c>
      <c r="I232" s="218">
        <f t="shared" si="46"/>
        <v>0.77126654064272215</v>
      </c>
      <c r="J232" s="219">
        <f t="shared" si="47"/>
        <v>90</v>
      </c>
    </row>
    <row r="233" spans="1:10" x14ac:dyDescent="0.25">
      <c r="A233" s="225" t="s">
        <v>589</v>
      </c>
      <c r="B233" s="264">
        <v>0</v>
      </c>
      <c r="C233" s="264">
        <v>0</v>
      </c>
      <c r="D233" s="264">
        <v>0</v>
      </c>
      <c r="E233" s="264">
        <v>0</v>
      </c>
      <c r="F233" s="98">
        <v>0</v>
      </c>
      <c r="G233" s="149" t="s">
        <v>130</v>
      </c>
      <c r="H233" s="149" t="s">
        <v>130</v>
      </c>
      <c r="I233" s="218">
        <f t="shared" si="46"/>
        <v>0</v>
      </c>
      <c r="J233" s="219">
        <f t="shared" si="47"/>
        <v>0</v>
      </c>
    </row>
    <row r="234" spans="1:10" x14ac:dyDescent="0.25">
      <c r="A234" s="225" t="s">
        <v>590</v>
      </c>
      <c r="B234" s="264">
        <v>4</v>
      </c>
      <c r="C234" s="264">
        <v>0</v>
      </c>
      <c r="D234" s="264">
        <v>2</v>
      </c>
      <c r="E234" s="264">
        <v>4</v>
      </c>
      <c r="F234" s="98">
        <v>1</v>
      </c>
      <c r="G234" s="149">
        <f>(F234-B234)/B234</f>
        <v>-0.75</v>
      </c>
      <c r="H234" s="149">
        <f>(F234-E234)/E234</f>
        <v>-0.75</v>
      </c>
      <c r="I234" s="218">
        <f t="shared" si="46"/>
        <v>1.890359168241966E-3</v>
      </c>
      <c r="J234" s="219">
        <f t="shared" si="47"/>
        <v>-3</v>
      </c>
    </row>
    <row r="235" spans="1:10" x14ac:dyDescent="0.25">
      <c r="A235" s="225" t="s">
        <v>591</v>
      </c>
      <c r="B235" s="264">
        <v>0</v>
      </c>
      <c r="C235" s="264">
        <v>0</v>
      </c>
      <c r="D235" s="264">
        <v>5</v>
      </c>
      <c r="E235" s="264">
        <v>1</v>
      </c>
      <c r="F235" s="98">
        <v>2</v>
      </c>
      <c r="G235" s="149" t="s">
        <v>130</v>
      </c>
      <c r="H235" s="149">
        <f>(F235-E235)/E235</f>
        <v>1</v>
      </c>
      <c r="I235" s="218">
        <f t="shared" si="46"/>
        <v>3.780718336483932E-3</v>
      </c>
      <c r="J235" s="219">
        <f t="shared" si="47"/>
        <v>1</v>
      </c>
    </row>
    <row r="236" spans="1:10" x14ac:dyDescent="0.25">
      <c r="A236" s="225" t="s">
        <v>592</v>
      </c>
      <c r="B236" s="264">
        <v>23</v>
      </c>
      <c r="C236" s="264">
        <v>20</v>
      </c>
      <c r="D236" s="264">
        <v>13</v>
      </c>
      <c r="E236" s="264">
        <v>11</v>
      </c>
      <c r="F236" s="98">
        <v>20</v>
      </c>
      <c r="G236" s="149">
        <f>(F236-B236)/B236</f>
        <v>-0.13043478260869565</v>
      </c>
      <c r="H236" s="149">
        <f>(F236-E236)/E236</f>
        <v>0.81818181818181823</v>
      </c>
      <c r="I236" s="218">
        <f t="shared" si="46"/>
        <v>3.780718336483932E-2</v>
      </c>
      <c r="J236" s="219">
        <f t="shared" si="47"/>
        <v>9</v>
      </c>
    </row>
    <row r="237" spans="1:10" x14ac:dyDescent="0.25">
      <c r="A237" s="225" t="s">
        <v>593</v>
      </c>
      <c r="B237" s="264">
        <v>11</v>
      </c>
      <c r="C237" s="264">
        <v>15</v>
      </c>
      <c r="D237" s="264">
        <v>22</v>
      </c>
      <c r="E237" s="264">
        <v>20</v>
      </c>
      <c r="F237" s="98">
        <v>82</v>
      </c>
      <c r="G237" s="149">
        <f>(F237-B237)/B237</f>
        <v>6.4545454545454541</v>
      </c>
      <c r="H237" s="149">
        <f>(F237-E237)/E237</f>
        <v>3.1</v>
      </c>
      <c r="I237" s="218">
        <f t="shared" si="46"/>
        <v>0.15500945179584122</v>
      </c>
      <c r="J237" s="219">
        <f t="shared" si="47"/>
        <v>62</v>
      </c>
    </row>
    <row r="238" spans="1:10" x14ac:dyDescent="0.25">
      <c r="A238" s="225" t="s">
        <v>594</v>
      </c>
      <c r="B238" s="264">
        <v>2</v>
      </c>
      <c r="C238" s="264">
        <v>2</v>
      </c>
      <c r="D238" s="264">
        <v>2</v>
      </c>
      <c r="E238" s="264">
        <v>1</v>
      </c>
      <c r="F238" s="98">
        <v>0</v>
      </c>
      <c r="G238" s="149">
        <f>(F238-B238)/B238</f>
        <v>-1</v>
      </c>
      <c r="H238" s="149">
        <f>(F238-E238)/E238</f>
        <v>-1</v>
      </c>
      <c r="I238" s="218">
        <f t="shared" si="46"/>
        <v>0</v>
      </c>
      <c r="J238" s="219">
        <f t="shared" si="47"/>
        <v>-1</v>
      </c>
    </row>
    <row r="239" spans="1:10" x14ac:dyDescent="0.25">
      <c r="A239" s="225" t="s">
        <v>595</v>
      </c>
      <c r="B239" s="264">
        <v>0</v>
      </c>
      <c r="C239" s="264">
        <v>3</v>
      </c>
      <c r="D239" s="264">
        <v>2</v>
      </c>
      <c r="E239" s="264">
        <v>0</v>
      </c>
      <c r="F239" s="98">
        <v>0</v>
      </c>
      <c r="G239" s="149" t="s">
        <v>130</v>
      </c>
      <c r="H239" s="149" t="s">
        <v>130</v>
      </c>
      <c r="I239" s="218">
        <f t="shared" si="46"/>
        <v>0</v>
      </c>
      <c r="J239" s="219">
        <f t="shared" si="47"/>
        <v>0</v>
      </c>
    </row>
    <row r="240" spans="1:10" x14ac:dyDescent="0.25">
      <c r="A240" s="225" t="s">
        <v>596</v>
      </c>
      <c r="B240" s="264">
        <v>0</v>
      </c>
      <c r="C240" s="264">
        <v>0</v>
      </c>
      <c r="D240" s="264">
        <v>0</v>
      </c>
      <c r="E240" s="264">
        <v>0</v>
      </c>
      <c r="F240" s="98">
        <v>0</v>
      </c>
      <c r="G240" s="149" t="s">
        <v>130</v>
      </c>
      <c r="H240" s="149" t="s">
        <v>130</v>
      </c>
      <c r="I240" s="218">
        <f t="shared" si="46"/>
        <v>0</v>
      </c>
      <c r="J240" s="219">
        <f t="shared" si="47"/>
        <v>0</v>
      </c>
    </row>
    <row r="241" spans="1:10" x14ac:dyDescent="0.25">
      <c r="A241" s="225" t="s">
        <v>597</v>
      </c>
      <c r="B241" s="264">
        <v>0</v>
      </c>
      <c r="C241" s="264">
        <v>0</v>
      </c>
      <c r="D241" s="264">
        <v>0</v>
      </c>
      <c r="E241" s="264">
        <v>0</v>
      </c>
      <c r="F241" s="98">
        <v>0</v>
      </c>
      <c r="G241" s="149" t="s">
        <v>130</v>
      </c>
      <c r="H241" s="149" t="s">
        <v>130</v>
      </c>
      <c r="I241" s="218">
        <f t="shared" si="46"/>
        <v>0</v>
      </c>
      <c r="J241" s="219">
        <f t="shared" si="47"/>
        <v>0</v>
      </c>
    </row>
    <row r="242" spans="1:10" x14ac:dyDescent="0.25">
      <c r="A242" s="226" t="s">
        <v>598</v>
      </c>
      <c r="B242" s="263">
        <v>291</v>
      </c>
      <c r="C242" s="263">
        <v>239</v>
      </c>
      <c r="D242" s="263">
        <v>268</v>
      </c>
      <c r="E242" s="263">
        <v>369</v>
      </c>
      <c r="F242" s="8">
        <v>529</v>
      </c>
      <c r="G242" s="150">
        <f>(F242-B242)/B242</f>
        <v>0.81786941580756012</v>
      </c>
      <c r="H242" s="150">
        <f>(F242-E242)/E242</f>
        <v>0.43360433604336046</v>
      </c>
      <c r="I242" s="220">
        <f t="shared" si="46"/>
        <v>1</v>
      </c>
      <c r="J242" s="221">
        <f t="shared" si="47"/>
        <v>160</v>
      </c>
    </row>
    <row r="243" spans="1:10" x14ac:dyDescent="0.25">
      <c r="A243" s="3"/>
      <c r="B243" s="3"/>
      <c r="C243" s="3"/>
      <c r="D243" s="3"/>
      <c r="E243" s="3"/>
      <c r="F243" s="3"/>
      <c r="G243" s="3"/>
      <c r="H243" s="3"/>
      <c r="I243" s="3"/>
      <c r="J243" s="3"/>
    </row>
    <row r="244" spans="1:10" ht="15.75" x14ac:dyDescent="0.25">
      <c r="A244" s="54" t="s">
        <v>538</v>
      </c>
      <c r="D244" s="187"/>
      <c r="E244" s="187"/>
    </row>
    <row r="245" spans="1:10" ht="51" x14ac:dyDescent="0.25">
      <c r="A245" s="126" t="s">
        <v>353</v>
      </c>
      <c r="B245" s="106" t="s">
        <v>458</v>
      </c>
      <c r="C245" s="106" t="s">
        <v>413</v>
      </c>
      <c r="D245" s="106" t="s">
        <v>486</v>
      </c>
      <c r="E245" s="106" t="s">
        <v>459</v>
      </c>
    </row>
    <row r="246" spans="1:10" x14ac:dyDescent="0.25">
      <c r="A246" s="80" t="s">
        <v>2</v>
      </c>
      <c r="B246" s="137">
        <v>2943</v>
      </c>
      <c r="C246" s="137">
        <v>152545</v>
      </c>
      <c r="D246" s="173">
        <f>B246/C246</f>
        <v>1.9292667737388969E-2</v>
      </c>
      <c r="E246" s="173">
        <f t="shared" ref="E246:E277" si="48">B246/B$371</f>
        <v>0.17359759334631039</v>
      </c>
    </row>
    <row r="247" spans="1:10" x14ac:dyDescent="0.25">
      <c r="A247" s="167" t="s">
        <v>470</v>
      </c>
      <c r="B247" s="138">
        <v>1</v>
      </c>
      <c r="C247" s="138">
        <v>94</v>
      </c>
      <c r="D247" s="172">
        <f t="shared" ref="D247:D310" si="49">B247/C247</f>
        <v>1.0638297872340425E-2</v>
      </c>
      <c r="E247" s="172">
        <f t="shared" si="48"/>
        <v>5.8986610039521029E-5</v>
      </c>
    </row>
    <row r="248" spans="1:10" x14ac:dyDescent="0.25">
      <c r="A248" s="167" t="s">
        <v>141</v>
      </c>
      <c r="B248" s="138">
        <v>9</v>
      </c>
      <c r="C248" s="138">
        <v>191</v>
      </c>
      <c r="D248" s="172">
        <f t="shared" si="49"/>
        <v>4.712041884816754E-2</v>
      </c>
      <c r="E248" s="172">
        <f t="shared" si="48"/>
        <v>5.3087949035568926E-4</v>
      </c>
    </row>
    <row r="249" spans="1:10" x14ac:dyDescent="0.25">
      <c r="A249" s="167" t="s">
        <v>471</v>
      </c>
      <c r="B249" s="138">
        <v>8</v>
      </c>
      <c r="C249" s="138">
        <v>323</v>
      </c>
      <c r="D249" s="172">
        <f t="shared" si="49"/>
        <v>2.4767801857585141E-2</v>
      </c>
      <c r="E249" s="172">
        <f t="shared" si="48"/>
        <v>4.7189288031616823E-4</v>
      </c>
    </row>
    <row r="250" spans="1:10" x14ac:dyDescent="0.25">
      <c r="A250" s="167" t="s">
        <v>142</v>
      </c>
      <c r="B250" s="138">
        <v>115</v>
      </c>
      <c r="C250" s="138">
        <v>6221</v>
      </c>
      <c r="D250" s="172">
        <f t="shared" si="49"/>
        <v>1.8485773991319725E-2</v>
      </c>
      <c r="E250" s="172">
        <f t="shared" si="48"/>
        <v>6.7834601545449184E-3</v>
      </c>
    </row>
    <row r="251" spans="1:10" x14ac:dyDescent="0.25">
      <c r="A251" s="167" t="s">
        <v>143</v>
      </c>
      <c r="B251" s="138">
        <v>82</v>
      </c>
      <c r="C251" s="138">
        <v>5190</v>
      </c>
      <c r="D251" s="172">
        <f t="shared" si="49"/>
        <v>1.579961464354528E-2</v>
      </c>
      <c r="E251" s="172">
        <f t="shared" si="48"/>
        <v>4.8369020232407241E-3</v>
      </c>
    </row>
    <row r="252" spans="1:10" x14ac:dyDescent="0.25">
      <c r="A252" s="167" t="s">
        <v>144</v>
      </c>
      <c r="B252" s="138">
        <v>161</v>
      </c>
      <c r="C252" s="138">
        <v>8890</v>
      </c>
      <c r="D252" s="172">
        <f t="shared" si="49"/>
        <v>1.8110236220472441E-2</v>
      </c>
      <c r="E252" s="172">
        <f t="shared" si="48"/>
        <v>9.496844216362885E-3</v>
      </c>
    </row>
    <row r="253" spans="1:10" x14ac:dyDescent="0.25">
      <c r="A253" s="167" t="s">
        <v>318</v>
      </c>
      <c r="B253" s="138">
        <v>4</v>
      </c>
      <c r="C253" s="138">
        <v>526</v>
      </c>
      <c r="D253" s="172">
        <f t="shared" si="49"/>
        <v>7.6045627376425855E-3</v>
      </c>
      <c r="E253" s="172">
        <f t="shared" si="48"/>
        <v>2.3594644015808411E-4</v>
      </c>
    </row>
    <row r="254" spans="1:10" x14ac:dyDescent="0.25">
      <c r="A254" s="167" t="s">
        <v>338</v>
      </c>
      <c r="B254" s="138">
        <v>50</v>
      </c>
      <c r="C254" s="138">
        <v>2816</v>
      </c>
      <c r="D254" s="172">
        <f t="shared" si="49"/>
        <v>1.775568181818182E-2</v>
      </c>
      <c r="E254" s="172">
        <f t="shared" si="48"/>
        <v>2.9493305019760514E-3</v>
      </c>
    </row>
    <row r="255" spans="1:10" x14ac:dyDescent="0.25">
      <c r="A255" s="167" t="s">
        <v>339</v>
      </c>
      <c r="B255" s="138">
        <v>5</v>
      </c>
      <c r="C255" s="138">
        <v>402</v>
      </c>
      <c r="D255" s="172">
        <f t="shared" si="49"/>
        <v>1.2437810945273632E-2</v>
      </c>
      <c r="E255" s="172">
        <f t="shared" si="48"/>
        <v>2.9493305019760512E-4</v>
      </c>
    </row>
    <row r="256" spans="1:10" x14ac:dyDescent="0.25">
      <c r="A256" s="167" t="s">
        <v>348</v>
      </c>
      <c r="B256" s="138">
        <v>27</v>
      </c>
      <c r="C256" s="138">
        <v>633</v>
      </c>
      <c r="D256" s="172">
        <f t="shared" si="49"/>
        <v>4.2654028436018961E-2</v>
      </c>
      <c r="E256" s="172">
        <f t="shared" si="48"/>
        <v>1.5926384710670677E-3</v>
      </c>
    </row>
    <row r="257" spans="1:5" x14ac:dyDescent="0.25">
      <c r="A257" s="167" t="s">
        <v>299</v>
      </c>
      <c r="B257" s="138">
        <v>27</v>
      </c>
      <c r="C257" s="138">
        <v>1496</v>
      </c>
      <c r="D257" s="172">
        <f t="shared" si="49"/>
        <v>1.8048128342245989E-2</v>
      </c>
      <c r="E257" s="172">
        <f t="shared" si="48"/>
        <v>1.5926384710670677E-3</v>
      </c>
    </row>
    <row r="258" spans="1:5" x14ac:dyDescent="0.25">
      <c r="A258" s="167" t="s">
        <v>265</v>
      </c>
      <c r="B258" s="138">
        <v>51</v>
      </c>
      <c r="C258" s="138">
        <v>1886</v>
      </c>
      <c r="D258" s="172">
        <f t="shared" si="49"/>
        <v>2.7041357370095439E-2</v>
      </c>
      <c r="E258" s="172">
        <f t="shared" si="48"/>
        <v>3.0083171120155725E-3</v>
      </c>
    </row>
    <row r="259" spans="1:5" x14ac:dyDescent="0.25">
      <c r="A259" s="167" t="s">
        <v>300</v>
      </c>
      <c r="B259" s="138">
        <v>19</v>
      </c>
      <c r="C259" s="138">
        <v>644</v>
      </c>
      <c r="D259" s="172">
        <f t="shared" si="49"/>
        <v>2.9503105590062112E-2</v>
      </c>
      <c r="E259" s="172">
        <f t="shared" si="48"/>
        <v>1.1207455907508996E-3</v>
      </c>
    </row>
    <row r="260" spans="1:5" x14ac:dyDescent="0.25">
      <c r="A260" s="167" t="s">
        <v>319</v>
      </c>
      <c r="B260" s="138">
        <v>37</v>
      </c>
      <c r="C260" s="138">
        <v>1596</v>
      </c>
      <c r="D260" s="172">
        <f t="shared" si="49"/>
        <v>2.3182957393483708E-2</v>
      </c>
      <c r="E260" s="172">
        <f t="shared" si="48"/>
        <v>2.1825045714622781E-3</v>
      </c>
    </row>
    <row r="261" spans="1:5" x14ac:dyDescent="0.25">
      <c r="A261" s="167" t="s">
        <v>320</v>
      </c>
      <c r="B261" s="138">
        <v>10</v>
      </c>
      <c r="C261" s="138">
        <v>182</v>
      </c>
      <c r="D261" s="172">
        <f t="shared" si="49"/>
        <v>5.4945054945054944E-2</v>
      </c>
      <c r="E261" s="172">
        <f t="shared" si="48"/>
        <v>5.8986610039521025E-4</v>
      </c>
    </row>
    <row r="262" spans="1:5" x14ac:dyDescent="0.25">
      <c r="A262" s="167" t="s">
        <v>301</v>
      </c>
      <c r="B262" s="138">
        <v>33</v>
      </c>
      <c r="C262" s="138">
        <v>1778</v>
      </c>
      <c r="D262" s="172">
        <f t="shared" si="49"/>
        <v>1.8560179977502811E-2</v>
      </c>
      <c r="E262" s="172">
        <f t="shared" si="48"/>
        <v>1.946558131304194E-3</v>
      </c>
    </row>
    <row r="263" spans="1:5" x14ac:dyDescent="0.25">
      <c r="A263" s="167" t="s">
        <v>321</v>
      </c>
      <c r="B263" s="138">
        <v>40</v>
      </c>
      <c r="C263" s="138">
        <v>1934</v>
      </c>
      <c r="D263" s="172">
        <f t="shared" si="49"/>
        <v>2.0682523267838676E-2</v>
      </c>
      <c r="E263" s="172">
        <f t="shared" si="48"/>
        <v>2.359464401580841E-3</v>
      </c>
    </row>
    <row r="264" spans="1:5" x14ac:dyDescent="0.25">
      <c r="A264" s="167" t="s">
        <v>349</v>
      </c>
      <c r="B264" s="138">
        <v>27</v>
      </c>
      <c r="C264" s="138">
        <v>635</v>
      </c>
      <c r="D264" s="172">
        <f t="shared" si="49"/>
        <v>4.2519685039370078E-2</v>
      </c>
      <c r="E264" s="172">
        <f t="shared" si="48"/>
        <v>1.5926384710670677E-3</v>
      </c>
    </row>
    <row r="265" spans="1:5" x14ac:dyDescent="0.25">
      <c r="A265" s="167" t="s">
        <v>350</v>
      </c>
      <c r="B265" s="138">
        <v>39</v>
      </c>
      <c r="C265" s="138">
        <v>1599</v>
      </c>
      <c r="D265" s="172">
        <f t="shared" si="49"/>
        <v>2.4390243902439025E-2</v>
      </c>
      <c r="E265" s="172">
        <f t="shared" si="48"/>
        <v>2.3004777915413203E-3</v>
      </c>
    </row>
    <row r="266" spans="1:5" x14ac:dyDescent="0.25">
      <c r="A266" s="167" t="s">
        <v>266</v>
      </c>
      <c r="B266" s="138">
        <v>30</v>
      </c>
      <c r="C266" s="138">
        <v>1447</v>
      </c>
      <c r="D266" s="172">
        <f t="shared" si="49"/>
        <v>2.0732550103662751E-2</v>
      </c>
      <c r="E266" s="172">
        <f t="shared" si="48"/>
        <v>1.769598301185631E-3</v>
      </c>
    </row>
    <row r="267" spans="1:5" x14ac:dyDescent="0.25">
      <c r="A267" s="167" t="s">
        <v>322</v>
      </c>
      <c r="B267" s="138">
        <v>25</v>
      </c>
      <c r="C267" s="138">
        <v>959</v>
      </c>
      <c r="D267" s="172">
        <f t="shared" si="49"/>
        <v>2.6068821689259645E-2</v>
      </c>
      <c r="E267" s="172">
        <f t="shared" si="48"/>
        <v>1.4746652509880257E-3</v>
      </c>
    </row>
    <row r="268" spans="1:5" x14ac:dyDescent="0.25">
      <c r="A268" s="167" t="s">
        <v>145</v>
      </c>
      <c r="B268" s="138">
        <v>8</v>
      </c>
      <c r="C268" s="138">
        <v>604</v>
      </c>
      <c r="D268" s="172">
        <f t="shared" si="49"/>
        <v>1.3245033112582781E-2</v>
      </c>
      <c r="E268" s="172">
        <f t="shared" si="48"/>
        <v>4.7189288031616823E-4</v>
      </c>
    </row>
    <row r="269" spans="1:5" x14ac:dyDescent="0.25">
      <c r="A269" s="167" t="s">
        <v>302</v>
      </c>
      <c r="B269" s="138">
        <v>2</v>
      </c>
      <c r="C269" s="138">
        <v>211</v>
      </c>
      <c r="D269" s="172">
        <f t="shared" si="49"/>
        <v>9.4786729857819912E-3</v>
      </c>
      <c r="E269" s="172">
        <f t="shared" si="48"/>
        <v>1.1797322007904206E-4</v>
      </c>
    </row>
    <row r="270" spans="1:5" x14ac:dyDescent="0.25">
      <c r="A270" s="167" t="s">
        <v>472</v>
      </c>
      <c r="B270" s="138">
        <v>2</v>
      </c>
      <c r="C270" s="138">
        <v>89</v>
      </c>
      <c r="D270" s="172">
        <f t="shared" si="49"/>
        <v>2.247191011235955E-2</v>
      </c>
      <c r="E270" s="172">
        <f t="shared" si="48"/>
        <v>1.1797322007904206E-4</v>
      </c>
    </row>
    <row r="271" spans="1:5" x14ac:dyDescent="0.25">
      <c r="A271" s="167" t="s">
        <v>61</v>
      </c>
      <c r="B271" s="138">
        <v>947</v>
      </c>
      <c r="C271" s="138">
        <v>50433</v>
      </c>
      <c r="D271" s="172">
        <f t="shared" si="49"/>
        <v>1.8777387821466103E-2</v>
      </c>
      <c r="E271" s="172">
        <f t="shared" si="48"/>
        <v>5.5860319707426415E-2</v>
      </c>
    </row>
    <row r="272" spans="1:5" x14ac:dyDescent="0.25">
      <c r="A272" s="167" t="s">
        <v>146</v>
      </c>
      <c r="B272" s="138">
        <v>15</v>
      </c>
      <c r="C272" s="138">
        <v>1036</v>
      </c>
      <c r="D272" s="172">
        <f t="shared" si="49"/>
        <v>1.4478764478764479E-2</v>
      </c>
      <c r="E272" s="172">
        <f t="shared" si="48"/>
        <v>8.8479915059281548E-4</v>
      </c>
    </row>
    <row r="273" spans="1:5" x14ac:dyDescent="0.25">
      <c r="A273" s="167" t="s">
        <v>147</v>
      </c>
      <c r="B273" s="138">
        <v>0</v>
      </c>
      <c r="C273" s="138">
        <v>76</v>
      </c>
      <c r="D273" s="172">
        <f t="shared" si="49"/>
        <v>0</v>
      </c>
      <c r="E273" s="172">
        <f t="shared" si="48"/>
        <v>0</v>
      </c>
    </row>
    <row r="274" spans="1:5" x14ac:dyDescent="0.25">
      <c r="A274" s="167" t="s">
        <v>148</v>
      </c>
      <c r="B274" s="138">
        <v>1</v>
      </c>
      <c r="C274" s="138">
        <v>54</v>
      </c>
      <c r="D274" s="172">
        <f t="shared" si="49"/>
        <v>1.8518518518518517E-2</v>
      </c>
      <c r="E274" s="172">
        <f t="shared" si="48"/>
        <v>5.8986610039521029E-5</v>
      </c>
    </row>
    <row r="275" spans="1:5" x14ac:dyDescent="0.25">
      <c r="A275" s="167" t="s">
        <v>149</v>
      </c>
      <c r="B275" s="138">
        <v>1</v>
      </c>
      <c r="C275" s="138">
        <v>44</v>
      </c>
      <c r="D275" s="172">
        <f t="shared" si="49"/>
        <v>2.2727272727272728E-2</v>
      </c>
      <c r="E275" s="172">
        <f t="shared" si="48"/>
        <v>5.8986610039521029E-5</v>
      </c>
    </row>
    <row r="276" spans="1:5" x14ac:dyDescent="0.25">
      <c r="A276" s="167" t="s">
        <v>150</v>
      </c>
      <c r="B276" s="138">
        <v>13</v>
      </c>
      <c r="C276" s="138">
        <v>1219</v>
      </c>
      <c r="D276" s="172">
        <f t="shared" si="49"/>
        <v>1.0664479081214109E-2</v>
      </c>
      <c r="E276" s="172">
        <f t="shared" si="48"/>
        <v>7.6682593051377341E-4</v>
      </c>
    </row>
    <row r="277" spans="1:5" x14ac:dyDescent="0.25">
      <c r="A277" s="167" t="s">
        <v>151</v>
      </c>
      <c r="B277" s="138">
        <v>10</v>
      </c>
      <c r="C277" s="138">
        <v>563</v>
      </c>
      <c r="D277" s="172">
        <f t="shared" si="49"/>
        <v>1.7761989342806393E-2</v>
      </c>
      <c r="E277" s="172">
        <f t="shared" si="48"/>
        <v>5.8986610039521025E-4</v>
      </c>
    </row>
    <row r="278" spans="1:5" x14ac:dyDescent="0.25">
      <c r="A278" s="167" t="s">
        <v>152</v>
      </c>
      <c r="B278" s="138">
        <v>80</v>
      </c>
      <c r="C278" s="138">
        <v>2022</v>
      </c>
      <c r="D278" s="172">
        <f t="shared" si="49"/>
        <v>3.9564787339268048E-2</v>
      </c>
      <c r="E278" s="172">
        <f t="shared" ref="E278:E309" si="50">B278/B$371</f>
        <v>4.718928803161682E-3</v>
      </c>
    </row>
    <row r="279" spans="1:5" x14ac:dyDescent="0.25">
      <c r="A279" s="167" t="s">
        <v>153</v>
      </c>
      <c r="B279" s="138">
        <v>14</v>
      </c>
      <c r="C279" s="138">
        <v>1110</v>
      </c>
      <c r="D279" s="172">
        <f t="shared" si="49"/>
        <v>1.2612612612612612E-2</v>
      </c>
      <c r="E279" s="172">
        <f t="shared" si="50"/>
        <v>8.2581254055329439E-4</v>
      </c>
    </row>
    <row r="280" spans="1:5" x14ac:dyDescent="0.25">
      <c r="A280" s="167" t="s">
        <v>154</v>
      </c>
      <c r="B280" s="138">
        <v>1</v>
      </c>
      <c r="C280" s="138">
        <v>176</v>
      </c>
      <c r="D280" s="172">
        <f t="shared" si="49"/>
        <v>5.681818181818182E-3</v>
      </c>
      <c r="E280" s="172">
        <f t="shared" si="50"/>
        <v>5.8986610039521029E-5</v>
      </c>
    </row>
    <row r="281" spans="1:5" x14ac:dyDescent="0.25">
      <c r="A281" s="167" t="s">
        <v>155</v>
      </c>
      <c r="B281" s="138">
        <v>0</v>
      </c>
      <c r="C281" s="138">
        <v>14</v>
      </c>
      <c r="D281" s="172">
        <f t="shared" si="49"/>
        <v>0</v>
      </c>
      <c r="E281" s="172">
        <f t="shared" si="50"/>
        <v>0</v>
      </c>
    </row>
    <row r="282" spans="1:5" x14ac:dyDescent="0.25">
      <c r="A282" s="167" t="s">
        <v>303</v>
      </c>
      <c r="B282" s="138">
        <v>238</v>
      </c>
      <c r="C282" s="138">
        <v>8316</v>
      </c>
      <c r="D282" s="172">
        <f t="shared" si="49"/>
        <v>2.8619528619528621E-2</v>
      </c>
      <c r="E282" s="172">
        <f t="shared" si="50"/>
        <v>1.4038813189406005E-2</v>
      </c>
    </row>
    <row r="283" spans="1:5" x14ac:dyDescent="0.25">
      <c r="A283" s="167" t="s">
        <v>304</v>
      </c>
      <c r="B283" s="138">
        <v>164</v>
      </c>
      <c r="C283" s="138">
        <v>7591</v>
      </c>
      <c r="D283" s="172">
        <f t="shared" si="49"/>
        <v>2.1604531682255301E-2</v>
      </c>
      <c r="E283" s="172">
        <f t="shared" si="50"/>
        <v>9.6738040464814483E-3</v>
      </c>
    </row>
    <row r="284" spans="1:5" x14ac:dyDescent="0.25">
      <c r="A284" s="167" t="s">
        <v>156</v>
      </c>
      <c r="B284" s="138">
        <v>639</v>
      </c>
      <c r="C284" s="138">
        <v>39233</v>
      </c>
      <c r="D284" s="172">
        <f t="shared" si="49"/>
        <v>1.6287309153008946E-2</v>
      </c>
      <c r="E284" s="172">
        <f t="shared" si="50"/>
        <v>3.769244381525394E-2</v>
      </c>
    </row>
    <row r="285" spans="1:5" x14ac:dyDescent="0.25">
      <c r="A285" s="167" t="s">
        <v>157</v>
      </c>
      <c r="B285" s="138">
        <v>8</v>
      </c>
      <c r="C285" s="138">
        <v>312</v>
      </c>
      <c r="D285" s="172">
        <f t="shared" si="49"/>
        <v>2.564102564102564E-2</v>
      </c>
      <c r="E285" s="172">
        <f t="shared" si="50"/>
        <v>4.7189288031616823E-4</v>
      </c>
    </row>
    <row r="286" spans="1:5" x14ac:dyDescent="0.25">
      <c r="A286" s="80" t="s">
        <v>3</v>
      </c>
      <c r="B286" s="137">
        <v>5873</v>
      </c>
      <c r="C286" s="137">
        <v>444054</v>
      </c>
      <c r="D286" s="173">
        <f t="shared" si="49"/>
        <v>1.3225868925851361E-2</v>
      </c>
      <c r="E286" s="173">
        <f t="shared" si="50"/>
        <v>0.34642836076210698</v>
      </c>
    </row>
    <row r="287" spans="1:5" x14ac:dyDescent="0.25">
      <c r="A287" s="167" t="s">
        <v>158</v>
      </c>
      <c r="B287" s="138">
        <v>5</v>
      </c>
      <c r="C287" s="138">
        <v>825</v>
      </c>
      <c r="D287" s="172">
        <f t="shared" si="49"/>
        <v>6.0606060606060606E-3</v>
      </c>
      <c r="E287" s="172">
        <f t="shared" si="50"/>
        <v>2.9493305019760512E-4</v>
      </c>
    </row>
    <row r="288" spans="1:5" x14ac:dyDescent="0.25">
      <c r="A288" s="167" t="s">
        <v>62</v>
      </c>
      <c r="B288" s="138">
        <v>1082</v>
      </c>
      <c r="C288" s="138">
        <v>81655</v>
      </c>
      <c r="D288" s="172">
        <f t="shared" si="49"/>
        <v>1.3250872573632968E-2</v>
      </c>
      <c r="E288" s="172">
        <f t="shared" si="50"/>
        <v>6.3823512062761753E-2</v>
      </c>
    </row>
    <row r="289" spans="1:5" x14ac:dyDescent="0.25">
      <c r="A289" s="167" t="s">
        <v>473</v>
      </c>
      <c r="B289" s="138">
        <v>51</v>
      </c>
      <c r="C289" s="138">
        <v>1963</v>
      </c>
      <c r="D289" s="172">
        <f t="shared" si="49"/>
        <v>2.5980641874681611E-2</v>
      </c>
      <c r="E289" s="172">
        <f t="shared" si="50"/>
        <v>3.0083171120155725E-3</v>
      </c>
    </row>
    <row r="290" spans="1:5" x14ac:dyDescent="0.25">
      <c r="A290" s="167" t="s">
        <v>305</v>
      </c>
      <c r="B290" s="138">
        <v>6</v>
      </c>
      <c r="C290" s="138">
        <v>329</v>
      </c>
      <c r="D290" s="172">
        <f t="shared" si="49"/>
        <v>1.82370820668693E-2</v>
      </c>
      <c r="E290" s="172">
        <f t="shared" si="50"/>
        <v>3.5391966023712616E-4</v>
      </c>
    </row>
    <row r="291" spans="1:5" x14ac:dyDescent="0.25">
      <c r="A291" s="167" t="s">
        <v>377</v>
      </c>
      <c r="B291" s="138">
        <v>2</v>
      </c>
      <c r="C291" s="138">
        <v>38</v>
      </c>
      <c r="D291" s="172">
        <f t="shared" si="49"/>
        <v>5.2631578947368418E-2</v>
      </c>
      <c r="E291" s="172">
        <f t="shared" si="50"/>
        <v>1.1797322007904206E-4</v>
      </c>
    </row>
    <row r="292" spans="1:5" x14ac:dyDescent="0.25">
      <c r="A292" s="167" t="s">
        <v>159</v>
      </c>
      <c r="B292" s="138">
        <v>343</v>
      </c>
      <c r="C292" s="138">
        <v>21477</v>
      </c>
      <c r="D292" s="172">
        <f t="shared" si="49"/>
        <v>1.5970573171299528E-2</v>
      </c>
      <c r="E292" s="172">
        <f t="shared" si="50"/>
        <v>2.0232407243555711E-2</v>
      </c>
    </row>
    <row r="293" spans="1:5" x14ac:dyDescent="0.25">
      <c r="A293" s="167" t="s">
        <v>160</v>
      </c>
      <c r="B293" s="138">
        <v>17</v>
      </c>
      <c r="C293" s="138">
        <v>1565</v>
      </c>
      <c r="D293" s="172">
        <f t="shared" si="49"/>
        <v>1.0862619808306708E-2</v>
      </c>
      <c r="E293" s="172">
        <f t="shared" si="50"/>
        <v>1.0027723706718574E-3</v>
      </c>
    </row>
    <row r="294" spans="1:5" x14ac:dyDescent="0.25">
      <c r="A294" s="167" t="s">
        <v>161</v>
      </c>
      <c r="B294" s="138">
        <v>31</v>
      </c>
      <c r="C294" s="138">
        <v>2039</v>
      </c>
      <c r="D294" s="172">
        <f t="shared" si="49"/>
        <v>1.5203531142717018E-2</v>
      </c>
      <c r="E294" s="172">
        <f t="shared" si="50"/>
        <v>1.8285849112251518E-3</v>
      </c>
    </row>
    <row r="295" spans="1:5" x14ac:dyDescent="0.25">
      <c r="A295" s="167" t="s">
        <v>162</v>
      </c>
      <c r="B295" s="138">
        <v>152</v>
      </c>
      <c r="C295" s="138">
        <v>8776</v>
      </c>
      <c r="D295" s="172">
        <f t="shared" si="49"/>
        <v>1.7319963536918871E-2</v>
      </c>
      <c r="E295" s="172">
        <f t="shared" si="50"/>
        <v>8.9659647260071969E-3</v>
      </c>
    </row>
    <row r="296" spans="1:5" x14ac:dyDescent="0.25">
      <c r="A296" s="167" t="s">
        <v>63</v>
      </c>
      <c r="B296" s="138">
        <v>1252</v>
      </c>
      <c r="C296" s="138">
        <v>108955</v>
      </c>
      <c r="D296" s="172">
        <f t="shared" si="49"/>
        <v>1.1490982515717498E-2</v>
      </c>
      <c r="E296" s="172">
        <f t="shared" si="50"/>
        <v>7.3851235769480328E-2</v>
      </c>
    </row>
    <row r="297" spans="1:5" x14ac:dyDescent="0.25">
      <c r="A297" s="167" t="s">
        <v>474</v>
      </c>
      <c r="B297" s="138">
        <v>18</v>
      </c>
      <c r="C297" s="138">
        <v>801</v>
      </c>
      <c r="D297" s="172">
        <f t="shared" si="49"/>
        <v>2.247191011235955E-2</v>
      </c>
      <c r="E297" s="172">
        <f t="shared" si="50"/>
        <v>1.0617589807113785E-3</v>
      </c>
    </row>
    <row r="298" spans="1:5" x14ac:dyDescent="0.25">
      <c r="A298" s="167" t="s">
        <v>378</v>
      </c>
      <c r="B298" s="138">
        <v>87</v>
      </c>
      <c r="C298" s="138">
        <v>7102</v>
      </c>
      <c r="D298" s="172">
        <f t="shared" si="49"/>
        <v>1.2250070402703464E-2</v>
      </c>
      <c r="E298" s="172">
        <f t="shared" si="50"/>
        <v>5.1318350734383296E-3</v>
      </c>
    </row>
    <row r="299" spans="1:5" x14ac:dyDescent="0.25">
      <c r="A299" s="167" t="s">
        <v>163</v>
      </c>
      <c r="B299" s="138">
        <v>14</v>
      </c>
      <c r="C299" s="138">
        <v>1895</v>
      </c>
      <c r="D299" s="172">
        <f t="shared" si="49"/>
        <v>7.3878627968337728E-3</v>
      </c>
      <c r="E299" s="172">
        <f t="shared" si="50"/>
        <v>8.2581254055329439E-4</v>
      </c>
    </row>
    <row r="300" spans="1:5" x14ac:dyDescent="0.25">
      <c r="A300" s="167" t="s">
        <v>306</v>
      </c>
      <c r="B300" s="138">
        <v>0</v>
      </c>
      <c r="C300" s="138">
        <v>143</v>
      </c>
      <c r="D300" s="172">
        <f t="shared" si="49"/>
        <v>0</v>
      </c>
      <c r="E300" s="172">
        <f t="shared" si="50"/>
        <v>0</v>
      </c>
    </row>
    <row r="301" spans="1:5" x14ac:dyDescent="0.25">
      <c r="A301" s="167" t="s">
        <v>164</v>
      </c>
      <c r="B301" s="138">
        <v>13</v>
      </c>
      <c r="C301" s="138">
        <v>843</v>
      </c>
      <c r="D301" s="172">
        <f t="shared" si="49"/>
        <v>1.542111506524318E-2</v>
      </c>
      <c r="E301" s="172">
        <f t="shared" si="50"/>
        <v>7.6682593051377341E-4</v>
      </c>
    </row>
    <row r="302" spans="1:5" x14ac:dyDescent="0.25">
      <c r="A302" s="167" t="s">
        <v>475</v>
      </c>
      <c r="B302" s="138">
        <v>469</v>
      </c>
      <c r="C302" s="138">
        <v>32951</v>
      </c>
      <c r="D302" s="172">
        <f t="shared" si="49"/>
        <v>1.4233255439895603E-2</v>
      </c>
      <c r="E302" s="172">
        <f t="shared" si="50"/>
        <v>2.7664720108535362E-2</v>
      </c>
    </row>
    <row r="303" spans="1:5" x14ac:dyDescent="0.25">
      <c r="A303" s="167" t="s">
        <v>64</v>
      </c>
      <c r="B303" s="138">
        <v>696</v>
      </c>
      <c r="C303" s="138">
        <v>61410</v>
      </c>
      <c r="D303" s="172">
        <f t="shared" si="49"/>
        <v>1.1333659013190034E-2</v>
      </c>
      <c r="E303" s="172">
        <f t="shared" si="50"/>
        <v>4.1054680587506637E-2</v>
      </c>
    </row>
    <row r="304" spans="1:5" x14ac:dyDescent="0.25">
      <c r="A304" s="167" t="s">
        <v>165</v>
      </c>
      <c r="B304" s="138">
        <v>8</v>
      </c>
      <c r="C304" s="138">
        <v>502</v>
      </c>
      <c r="D304" s="172">
        <f t="shared" si="49"/>
        <v>1.5936254980079681E-2</v>
      </c>
      <c r="E304" s="172">
        <f t="shared" si="50"/>
        <v>4.7189288031616823E-4</v>
      </c>
    </row>
    <row r="305" spans="1:5" x14ac:dyDescent="0.25">
      <c r="A305" s="167" t="s">
        <v>166</v>
      </c>
      <c r="B305" s="138">
        <v>1</v>
      </c>
      <c r="C305" s="138">
        <v>604</v>
      </c>
      <c r="D305" s="172">
        <f t="shared" si="49"/>
        <v>1.6556291390728477E-3</v>
      </c>
      <c r="E305" s="172">
        <f t="shared" si="50"/>
        <v>5.8986610039521029E-5</v>
      </c>
    </row>
    <row r="306" spans="1:5" x14ac:dyDescent="0.25">
      <c r="A306" s="167" t="s">
        <v>167</v>
      </c>
      <c r="B306" s="138">
        <v>7</v>
      </c>
      <c r="C306" s="138">
        <v>822</v>
      </c>
      <c r="D306" s="172">
        <f t="shared" si="49"/>
        <v>8.5158150851581509E-3</v>
      </c>
      <c r="E306" s="172">
        <f t="shared" si="50"/>
        <v>4.1290627027664719E-4</v>
      </c>
    </row>
    <row r="307" spans="1:5" x14ac:dyDescent="0.25">
      <c r="A307" s="167" t="s">
        <v>168</v>
      </c>
      <c r="B307" s="138">
        <v>86</v>
      </c>
      <c r="C307" s="138">
        <v>6035</v>
      </c>
      <c r="D307" s="172">
        <f t="shared" si="49"/>
        <v>1.4250207125103562E-2</v>
      </c>
      <c r="E307" s="172">
        <f t="shared" si="50"/>
        <v>5.0728484633988085E-3</v>
      </c>
    </row>
    <row r="308" spans="1:5" x14ac:dyDescent="0.25">
      <c r="A308" s="167" t="s">
        <v>307</v>
      </c>
      <c r="B308" s="138">
        <v>615</v>
      </c>
      <c r="C308" s="138">
        <v>52137</v>
      </c>
      <c r="D308" s="172">
        <f t="shared" si="49"/>
        <v>1.1795845560734219E-2</v>
      </c>
      <c r="E308" s="172">
        <f t="shared" si="50"/>
        <v>3.6276765174305434E-2</v>
      </c>
    </row>
    <row r="309" spans="1:5" x14ac:dyDescent="0.25">
      <c r="A309" s="167" t="s">
        <v>169</v>
      </c>
      <c r="B309" s="138">
        <v>2</v>
      </c>
      <c r="C309" s="138">
        <v>88</v>
      </c>
      <c r="D309" s="172">
        <f t="shared" si="49"/>
        <v>2.2727272727272728E-2</v>
      </c>
      <c r="E309" s="172">
        <f t="shared" si="50"/>
        <v>1.1797322007904206E-4</v>
      </c>
    </row>
    <row r="310" spans="1:5" x14ac:dyDescent="0.25">
      <c r="A310" s="167" t="s">
        <v>170</v>
      </c>
      <c r="B310" s="138">
        <v>43</v>
      </c>
      <c r="C310" s="138">
        <v>3116</v>
      </c>
      <c r="D310" s="172">
        <f t="shared" si="49"/>
        <v>1.37997432605905E-2</v>
      </c>
      <c r="E310" s="172">
        <f t="shared" ref="E310:E341" si="51">B310/B$371</f>
        <v>2.5364242316994043E-3</v>
      </c>
    </row>
    <row r="311" spans="1:5" x14ac:dyDescent="0.25">
      <c r="A311" s="167" t="s">
        <v>171</v>
      </c>
      <c r="B311" s="138">
        <v>6</v>
      </c>
      <c r="C311" s="138">
        <v>390</v>
      </c>
      <c r="D311" s="172">
        <f t="shared" ref="D311:D371" si="52">B311/C311</f>
        <v>1.5384615384615385E-2</v>
      </c>
      <c r="E311" s="172">
        <f t="shared" si="51"/>
        <v>3.5391966023712616E-4</v>
      </c>
    </row>
    <row r="312" spans="1:5" x14ac:dyDescent="0.25">
      <c r="A312" s="167" t="s">
        <v>172</v>
      </c>
      <c r="B312" s="138">
        <v>225</v>
      </c>
      <c r="C312" s="138">
        <v>14341</v>
      </c>
      <c r="D312" s="172">
        <f t="shared" si="52"/>
        <v>1.5689282476814725E-2</v>
      </c>
      <c r="E312" s="172">
        <f t="shared" si="51"/>
        <v>1.3271987258892231E-2</v>
      </c>
    </row>
    <row r="313" spans="1:5" x14ac:dyDescent="0.25">
      <c r="A313" s="167" t="s">
        <v>476</v>
      </c>
      <c r="B313" s="138">
        <v>37</v>
      </c>
      <c r="C313" s="138">
        <v>2522</v>
      </c>
      <c r="D313" s="172">
        <f t="shared" si="52"/>
        <v>1.4670896114195083E-2</v>
      </c>
      <c r="E313" s="172">
        <f t="shared" si="51"/>
        <v>2.1825045714622781E-3</v>
      </c>
    </row>
    <row r="314" spans="1:5" x14ac:dyDescent="0.25">
      <c r="A314" s="167" t="s">
        <v>173</v>
      </c>
      <c r="B314" s="138">
        <v>605</v>
      </c>
      <c r="C314" s="138">
        <v>30730</v>
      </c>
      <c r="D314" s="172">
        <f t="shared" si="52"/>
        <v>1.96876016921575E-2</v>
      </c>
      <c r="E314" s="172">
        <f t="shared" si="51"/>
        <v>3.5686899073910219E-2</v>
      </c>
    </row>
    <row r="315" spans="1:5" x14ac:dyDescent="0.25">
      <c r="A315" s="80" t="s">
        <v>4</v>
      </c>
      <c r="B315" s="138">
        <v>8137</v>
      </c>
      <c r="C315" s="137">
        <v>859040</v>
      </c>
      <c r="D315" s="173">
        <f t="shared" si="52"/>
        <v>9.4722015272862732E-3</v>
      </c>
      <c r="E315" s="173">
        <f t="shared" si="51"/>
        <v>0.4799740458915826</v>
      </c>
    </row>
    <row r="316" spans="1:5" x14ac:dyDescent="0.25">
      <c r="A316" s="167" t="s">
        <v>174</v>
      </c>
      <c r="B316" s="138">
        <v>388</v>
      </c>
      <c r="C316" s="138">
        <v>55730</v>
      </c>
      <c r="D316" s="172">
        <f t="shared" si="52"/>
        <v>6.9621388839045395E-3</v>
      </c>
      <c r="E316" s="172">
        <f t="shared" si="51"/>
        <v>2.2886804695334158E-2</v>
      </c>
    </row>
    <row r="317" spans="1:5" x14ac:dyDescent="0.25">
      <c r="A317" s="167" t="s">
        <v>175</v>
      </c>
      <c r="B317" s="138">
        <v>250</v>
      </c>
      <c r="C317" s="138">
        <v>20167</v>
      </c>
      <c r="D317" s="172">
        <f t="shared" si="52"/>
        <v>1.2396489314226211E-2</v>
      </c>
      <c r="E317" s="172">
        <f t="shared" si="51"/>
        <v>1.4746652509880257E-2</v>
      </c>
    </row>
    <row r="318" spans="1:5" x14ac:dyDescent="0.25">
      <c r="A318" s="167" t="s">
        <v>176</v>
      </c>
      <c r="B318" s="138">
        <v>50</v>
      </c>
      <c r="C318" s="138">
        <v>4207</v>
      </c>
      <c r="D318" s="172">
        <f t="shared" si="52"/>
        <v>1.1884953648680771E-2</v>
      </c>
      <c r="E318" s="172">
        <f t="shared" si="51"/>
        <v>2.9493305019760514E-3</v>
      </c>
    </row>
    <row r="319" spans="1:5" x14ac:dyDescent="0.25">
      <c r="A319" s="167" t="s">
        <v>177</v>
      </c>
      <c r="B319" s="138">
        <v>38</v>
      </c>
      <c r="C319" s="138">
        <v>14038</v>
      </c>
      <c r="D319" s="172">
        <f t="shared" si="52"/>
        <v>2.7069383103006128E-3</v>
      </c>
      <c r="E319" s="172">
        <f t="shared" si="51"/>
        <v>2.2414911815017992E-3</v>
      </c>
    </row>
    <row r="320" spans="1:5" x14ac:dyDescent="0.25">
      <c r="A320" s="167" t="s">
        <v>178</v>
      </c>
      <c r="B320" s="138">
        <v>28</v>
      </c>
      <c r="C320" s="138">
        <v>2823</v>
      </c>
      <c r="D320" s="172">
        <f t="shared" si="52"/>
        <v>9.9185263903648607E-3</v>
      </c>
      <c r="E320" s="172">
        <f t="shared" si="51"/>
        <v>1.6516250811065888E-3</v>
      </c>
    </row>
    <row r="321" spans="1:5" x14ac:dyDescent="0.25">
      <c r="A321" s="167" t="s">
        <v>179</v>
      </c>
      <c r="B321" s="138">
        <v>95</v>
      </c>
      <c r="C321" s="138">
        <v>8960</v>
      </c>
      <c r="D321" s="172">
        <f t="shared" si="52"/>
        <v>1.0602678571428572E-2</v>
      </c>
      <c r="E321" s="172">
        <f t="shared" si="51"/>
        <v>5.6037279537544974E-3</v>
      </c>
    </row>
    <row r="322" spans="1:5" x14ac:dyDescent="0.25">
      <c r="A322" s="167" t="s">
        <v>180</v>
      </c>
      <c r="B322" s="138">
        <v>522</v>
      </c>
      <c r="C322" s="138">
        <v>72385</v>
      </c>
      <c r="D322" s="172">
        <f t="shared" si="52"/>
        <v>7.2114388340125714E-3</v>
      </c>
      <c r="E322" s="172">
        <f t="shared" si="51"/>
        <v>3.0791010440629978E-2</v>
      </c>
    </row>
    <row r="323" spans="1:5" x14ac:dyDescent="0.25">
      <c r="A323" s="167" t="s">
        <v>181</v>
      </c>
      <c r="B323" s="138">
        <v>134</v>
      </c>
      <c r="C323" s="138">
        <v>9819</v>
      </c>
      <c r="D323" s="172">
        <f t="shared" si="52"/>
        <v>1.3647010897240045E-2</v>
      </c>
      <c r="E323" s="172">
        <f t="shared" si="51"/>
        <v>7.9042057452958173E-3</v>
      </c>
    </row>
    <row r="324" spans="1:5" x14ac:dyDescent="0.25">
      <c r="A324" s="167" t="s">
        <v>182</v>
      </c>
      <c r="B324" s="138">
        <v>183</v>
      </c>
      <c r="C324" s="138">
        <v>18125</v>
      </c>
      <c r="D324" s="172">
        <f t="shared" si="52"/>
        <v>1.0096551724137931E-2</v>
      </c>
      <c r="E324" s="172">
        <f t="shared" si="51"/>
        <v>1.0794549637232349E-2</v>
      </c>
    </row>
    <row r="325" spans="1:5" x14ac:dyDescent="0.25">
      <c r="A325" s="167" t="s">
        <v>183</v>
      </c>
      <c r="B325" s="138">
        <v>387</v>
      </c>
      <c r="C325" s="138">
        <v>41899</v>
      </c>
      <c r="D325" s="172">
        <f t="shared" si="52"/>
        <v>9.2364972911047998E-3</v>
      </c>
      <c r="E325" s="172">
        <f t="shared" si="51"/>
        <v>2.2827818085294639E-2</v>
      </c>
    </row>
    <row r="326" spans="1:5" x14ac:dyDescent="0.25">
      <c r="A326" s="167" t="s">
        <v>228</v>
      </c>
      <c r="B326" s="138">
        <v>77</v>
      </c>
      <c r="C326" s="138">
        <v>8858</v>
      </c>
      <c r="D326" s="172">
        <f t="shared" si="52"/>
        <v>8.6927071573718664E-3</v>
      </c>
      <c r="E326" s="172">
        <f t="shared" si="51"/>
        <v>4.5419689730431196E-3</v>
      </c>
    </row>
    <row r="327" spans="1:5" x14ac:dyDescent="0.25">
      <c r="A327" s="167" t="s">
        <v>184</v>
      </c>
      <c r="B327" s="138">
        <v>3</v>
      </c>
      <c r="C327" s="138">
        <v>294</v>
      </c>
      <c r="D327" s="172">
        <f t="shared" si="52"/>
        <v>1.020408163265306E-2</v>
      </c>
      <c r="E327" s="172">
        <f t="shared" si="51"/>
        <v>1.7695983011856308E-4</v>
      </c>
    </row>
    <row r="328" spans="1:5" x14ac:dyDescent="0.25">
      <c r="A328" s="167" t="s">
        <v>308</v>
      </c>
      <c r="B328" s="138">
        <v>58</v>
      </c>
      <c r="C328" s="138">
        <v>5827</v>
      </c>
      <c r="D328" s="172">
        <f t="shared" si="52"/>
        <v>9.953663978033293E-3</v>
      </c>
      <c r="E328" s="172">
        <f t="shared" si="51"/>
        <v>3.4212233822922197E-3</v>
      </c>
    </row>
    <row r="329" spans="1:5" x14ac:dyDescent="0.25">
      <c r="A329" s="167" t="s">
        <v>185</v>
      </c>
      <c r="B329" s="138">
        <v>281</v>
      </c>
      <c r="C329" s="138">
        <v>16576</v>
      </c>
      <c r="D329" s="172">
        <f t="shared" si="52"/>
        <v>1.6952220077220078E-2</v>
      </c>
      <c r="E329" s="172">
        <f t="shared" si="51"/>
        <v>1.6575237421105411E-2</v>
      </c>
    </row>
    <row r="330" spans="1:5" x14ac:dyDescent="0.25">
      <c r="A330" s="167" t="s">
        <v>186</v>
      </c>
      <c r="B330" s="138">
        <v>169</v>
      </c>
      <c r="C330" s="138">
        <v>11804</v>
      </c>
      <c r="D330" s="172">
        <f t="shared" si="52"/>
        <v>1.4317180616740088E-2</v>
      </c>
      <c r="E330" s="172">
        <f t="shared" si="51"/>
        <v>9.9687370966790537E-3</v>
      </c>
    </row>
    <row r="331" spans="1:5" x14ac:dyDescent="0.25">
      <c r="A331" s="167" t="s">
        <v>187</v>
      </c>
      <c r="B331" s="138">
        <v>145</v>
      </c>
      <c r="C331" s="138">
        <v>13968</v>
      </c>
      <c r="D331" s="172">
        <f t="shared" si="52"/>
        <v>1.0380870561282932E-2</v>
      </c>
      <c r="E331" s="172">
        <f t="shared" si="51"/>
        <v>8.5530584557305493E-3</v>
      </c>
    </row>
    <row r="332" spans="1:5" x14ac:dyDescent="0.25">
      <c r="A332" s="167" t="s">
        <v>188</v>
      </c>
      <c r="B332" s="138">
        <v>142</v>
      </c>
      <c r="C332" s="138">
        <v>12329</v>
      </c>
      <c r="D332" s="172">
        <f t="shared" si="52"/>
        <v>1.1517560223862439E-2</v>
      </c>
      <c r="E332" s="172">
        <f t="shared" si="51"/>
        <v>8.3760986256119861E-3</v>
      </c>
    </row>
    <row r="333" spans="1:5" x14ac:dyDescent="0.25">
      <c r="A333" s="167" t="s">
        <v>189</v>
      </c>
      <c r="B333" s="138">
        <v>152</v>
      </c>
      <c r="C333" s="138">
        <v>17338</v>
      </c>
      <c r="D333" s="172">
        <f t="shared" si="52"/>
        <v>8.7668704579536277E-3</v>
      </c>
      <c r="E333" s="172">
        <f t="shared" si="51"/>
        <v>8.9659647260071969E-3</v>
      </c>
    </row>
    <row r="334" spans="1:5" x14ac:dyDescent="0.25">
      <c r="A334" s="167" t="s">
        <v>190</v>
      </c>
      <c r="B334" s="138">
        <v>48</v>
      </c>
      <c r="C334" s="138">
        <v>3842</v>
      </c>
      <c r="D334" s="172">
        <f t="shared" si="52"/>
        <v>1.2493492972410203E-2</v>
      </c>
      <c r="E334" s="172">
        <f t="shared" si="51"/>
        <v>2.8313572818970093E-3</v>
      </c>
    </row>
    <row r="335" spans="1:5" x14ac:dyDescent="0.25">
      <c r="A335" s="167" t="s">
        <v>191</v>
      </c>
      <c r="B335" s="138">
        <v>93</v>
      </c>
      <c r="C335" s="138">
        <v>7279</v>
      </c>
      <c r="D335" s="172">
        <f t="shared" si="52"/>
        <v>1.2776480285753537E-2</v>
      </c>
      <c r="E335" s="172">
        <f t="shared" si="51"/>
        <v>5.4857547336754553E-3</v>
      </c>
    </row>
    <row r="336" spans="1:5" x14ac:dyDescent="0.25">
      <c r="A336" s="167" t="s">
        <v>192</v>
      </c>
      <c r="B336" s="138">
        <v>107</v>
      </c>
      <c r="C336" s="138">
        <v>6893</v>
      </c>
      <c r="D336" s="172">
        <f t="shared" si="52"/>
        <v>1.5522994342086174E-2</v>
      </c>
      <c r="E336" s="172">
        <f t="shared" si="51"/>
        <v>6.3115672742287496E-3</v>
      </c>
    </row>
    <row r="337" spans="1:5" x14ac:dyDescent="0.25">
      <c r="A337" s="167" t="s">
        <v>193</v>
      </c>
      <c r="B337" s="138">
        <v>120</v>
      </c>
      <c r="C337" s="138">
        <v>8144</v>
      </c>
      <c r="D337" s="172">
        <f t="shared" si="52"/>
        <v>1.4734774066797643E-2</v>
      </c>
      <c r="E337" s="172">
        <f t="shared" si="51"/>
        <v>7.0783932047425238E-3</v>
      </c>
    </row>
    <row r="338" spans="1:5" x14ac:dyDescent="0.25">
      <c r="A338" s="167" t="s">
        <v>226</v>
      </c>
      <c r="B338" s="138">
        <v>27</v>
      </c>
      <c r="C338" s="138">
        <v>793</v>
      </c>
      <c r="D338" s="172">
        <f t="shared" si="52"/>
        <v>3.4047919293820936E-2</v>
      </c>
      <c r="E338" s="172">
        <f t="shared" si="51"/>
        <v>1.5926384710670677E-3</v>
      </c>
    </row>
    <row r="339" spans="1:5" x14ac:dyDescent="0.25">
      <c r="A339" s="167" t="s">
        <v>194</v>
      </c>
      <c r="B339" s="138">
        <v>402</v>
      </c>
      <c r="C339" s="138">
        <v>54202</v>
      </c>
      <c r="D339" s="172">
        <f t="shared" si="52"/>
        <v>7.4167004907567989E-3</v>
      </c>
      <c r="E339" s="172">
        <f t="shared" si="51"/>
        <v>2.3712617235887454E-2</v>
      </c>
    </row>
    <row r="340" spans="1:5" x14ac:dyDescent="0.25">
      <c r="A340" s="167" t="s">
        <v>195</v>
      </c>
      <c r="B340" s="138">
        <v>322</v>
      </c>
      <c r="C340" s="138">
        <v>28017</v>
      </c>
      <c r="D340" s="172">
        <f t="shared" si="52"/>
        <v>1.1493022093728808E-2</v>
      </c>
      <c r="E340" s="172">
        <f t="shared" si="51"/>
        <v>1.899368843272577E-2</v>
      </c>
    </row>
    <row r="341" spans="1:5" x14ac:dyDescent="0.25">
      <c r="A341" s="167" t="s">
        <v>196</v>
      </c>
      <c r="B341" s="138">
        <v>165</v>
      </c>
      <c r="C341" s="138">
        <v>12165</v>
      </c>
      <c r="D341" s="172">
        <f t="shared" si="52"/>
        <v>1.3563501849568433E-2</v>
      </c>
      <c r="E341" s="172">
        <f t="shared" si="51"/>
        <v>9.7327906565209694E-3</v>
      </c>
    </row>
    <row r="342" spans="1:5" x14ac:dyDescent="0.25">
      <c r="A342" s="167" t="s">
        <v>197</v>
      </c>
      <c r="B342" s="138">
        <v>104</v>
      </c>
      <c r="C342" s="138">
        <v>7763</v>
      </c>
      <c r="D342" s="172">
        <f t="shared" si="52"/>
        <v>1.3396882648460647E-2</v>
      </c>
      <c r="E342" s="172">
        <f t="shared" ref="E342:E371" si="53">B342/B$371</f>
        <v>6.1346074441101872E-3</v>
      </c>
    </row>
    <row r="343" spans="1:5" x14ac:dyDescent="0.25">
      <c r="A343" s="167" t="s">
        <v>198</v>
      </c>
      <c r="B343" s="138">
        <v>343</v>
      </c>
      <c r="C343" s="138">
        <v>34925</v>
      </c>
      <c r="D343" s="172">
        <f t="shared" si="52"/>
        <v>9.8210450966356479E-3</v>
      </c>
      <c r="E343" s="172">
        <f t="shared" si="53"/>
        <v>2.0232407243555711E-2</v>
      </c>
    </row>
    <row r="344" spans="1:5" x14ac:dyDescent="0.25">
      <c r="A344" s="167" t="s">
        <v>199</v>
      </c>
      <c r="B344" s="138">
        <v>92</v>
      </c>
      <c r="C344" s="138">
        <v>20595</v>
      </c>
      <c r="D344" s="172">
        <f t="shared" si="52"/>
        <v>4.4671036659383349E-3</v>
      </c>
      <c r="E344" s="172">
        <f t="shared" si="53"/>
        <v>5.426768123635935E-3</v>
      </c>
    </row>
    <row r="345" spans="1:5" x14ac:dyDescent="0.25">
      <c r="A345" s="167" t="s">
        <v>200</v>
      </c>
      <c r="B345" s="138">
        <v>135</v>
      </c>
      <c r="C345" s="138">
        <v>11390</v>
      </c>
      <c r="D345" s="172">
        <f t="shared" si="52"/>
        <v>1.1852502194907815E-2</v>
      </c>
      <c r="E345" s="172">
        <f t="shared" si="53"/>
        <v>7.9631923553353384E-3</v>
      </c>
    </row>
    <row r="346" spans="1:5" x14ac:dyDescent="0.25">
      <c r="A346" s="167" t="s">
        <v>201</v>
      </c>
      <c r="B346" s="138">
        <v>108</v>
      </c>
      <c r="C346" s="138">
        <v>4500</v>
      </c>
      <c r="D346" s="172">
        <f t="shared" si="52"/>
        <v>2.4E-2</v>
      </c>
      <c r="E346" s="172">
        <f t="shared" si="53"/>
        <v>6.3705538842682707E-3</v>
      </c>
    </row>
    <row r="347" spans="1:5" x14ac:dyDescent="0.25">
      <c r="A347" s="167" t="s">
        <v>227</v>
      </c>
      <c r="B347" s="138">
        <v>165</v>
      </c>
      <c r="C347" s="138">
        <v>8953</v>
      </c>
      <c r="D347" s="172">
        <f t="shared" si="52"/>
        <v>1.8429576678208423E-2</v>
      </c>
      <c r="E347" s="172">
        <f t="shared" si="53"/>
        <v>9.7327906565209694E-3</v>
      </c>
    </row>
    <row r="348" spans="1:5" x14ac:dyDescent="0.25">
      <c r="A348" s="167" t="s">
        <v>202</v>
      </c>
      <c r="B348" s="138">
        <v>141</v>
      </c>
      <c r="C348" s="138">
        <v>6798</v>
      </c>
      <c r="D348" s="172">
        <f t="shared" si="52"/>
        <v>2.0741394527802295E-2</v>
      </c>
      <c r="E348" s="172">
        <f t="shared" si="53"/>
        <v>8.317112015572465E-3</v>
      </c>
    </row>
    <row r="349" spans="1:5" x14ac:dyDescent="0.25">
      <c r="A349" s="167" t="s">
        <v>203</v>
      </c>
      <c r="B349" s="138">
        <v>197</v>
      </c>
      <c r="C349" s="138">
        <v>25075</v>
      </c>
      <c r="D349" s="172">
        <f t="shared" si="52"/>
        <v>7.8564307078763714E-3</v>
      </c>
      <c r="E349" s="172">
        <f t="shared" si="53"/>
        <v>1.1620362177785643E-2</v>
      </c>
    </row>
    <row r="350" spans="1:5" x14ac:dyDescent="0.25">
      <c r="A350" s="167" t="s">
        <v>323</v>
      </c>
      <c r="B350" s="138">
        <v>0</v>
      </c>
      <c r="C350" s="138">
        <v>26</v>
      </c>
      <c r="D350" s="172">
        <f t="shared" si="52"/>
        <v>0</v>
      </c>
      <c r="E350" s="172">
        <f t="shared" si="53"/>
        <v>0</v>
      </c>
    </row>
    <row r="351" spans="1:5" x14ac:dyDescent="0.25">
      <c r="A351" s="167" t="s">
        <v>204</v>
      </c>
      <c r="B351" s="138">
        <v>121</v>
      </c>
      <c r="C351" s="138">
        <v>12654</v>
      </c>
      <c r="D351" s="172">
        <f t="shared" si="52"/>
        <v>9.5621937727200877E-3</v>
      </c>
      <c r="E351" s="172">
        <f t="shared" si="53"/>
        <v>7.1373798147820449E-3</v>
      </c>
    </row>
    <row r="352" spans="1:5" x14ac:dyDescent="0.25">
      <c r="A352" s="167" t="s">
        <v>205</v>
      </c>
      <c r="B352" s="138">
        <v>147</v>
      </c>
      <c r="C352" s="138">
        <v>10848</v>
      </c>
      <c r="D352" s="172">
        <f t="shared" si="52"/>
        <v>1.3550884955752213E-2</v>
      </c>
      <c r="E352" s="172">
        <f t="shared" si="53"/>
        <v>8.6710316758095915E-3</v>
      </c>
    </row>
    <row r="353" spans="1:5" x14ac:dyDescent="0.25">
      <c r="A353" s="167" t="s">
        <v>206</v>
      </c>
      <c r="B353" s="138">
        <v>171</v>
      </c>
      <c r="C353" s="138">
        <v>17066</v>
      </c>
      <c r="D353" s="172">
        <f t="shared" si="52"/>
        <v>1.0019922653228642E-2</v>
      </c>
      <c r="E353" s="172">
        <f t="shared" si="53"/>
        <v>1.0086710316758096E-2</v>
      </c>
    </row>
    <row r="354" spans="1:5" x14ac:dyDescent="0.25">
      <c r="A354" s="167" t="s">
        <v>207</v>
      </c>
      <c r="B354" s="138">
        <v>113</v>
      </c>
      <c r="C354" s="138">
        <v>10806</v>
      </c>
      <c r="D354" s="172">
        <f t="shared" si="52"/>
        <v>1.0457153433277808E-2</v>
      </c>
      <c r="E354" s="172">
        <f t="shared" si="53"/>
        <v>6.6654869344658762E-3</v>
      </c>
    </row>
    <row r="355" spans="1:5" x14ac:dyDescent="0.25">
      <c r="A355" s="167" t="s">
        <v>354</v>
      </c>
      <c r="B355" s="138">
        <v>112</v>
      </c>
      <c r="C355" s="138">
        <v>9296</v>
      </c>
      <c r="D355" s="172">
        <f t="shared" si="52"/>
        <v>1.2048192771084338E-2</v>
      </c>
      <c r="E355" s="172">
        <f t="shared" si="53"/>
        <v>6.6065003244263551E-3</v>
      </c>
    </row>
    <row r="356" spans="1:5" x14ac:dyDescent="0.25">
      <c r="A356" s="167" t="s">
        <v>208</v>
      </c>
      <c r="B356" s="138">
        <v>176</v>
      </c>
      <c r="C356" s="138">
        <v>12051</v>
      </c>
      <c r="D356" s="172">
        <f t="shared" si="52"/>
        <v>1.4604597128868973E-2</v>
      </c>
      <c r="E356" s="172">
        <f t="shared" si="53"/>
        <v>1.0381643366955701E-2</v>
      </c>
    </row>
    <row r="357" spans="1:5" x14ac:dyDescent="0.25">
      <c r="A357" s="167" t="s">
        <v>209</v>
      </c>
      <c r="B357" s="138">
        <v>79</v>
      </c>
      <c r="C357" s="138">
        <v>23008</v>
      </c>
      <c r="D357" s="172">
        <f t="shared" si="52"/>
        <v>3.4335883171070932E-3</v>
      </c>
      <c r="E357" s="172">
        <f t="shared" si="53"/>
        <v>4.6599421931221609E-3</v>
      </c>
    </row>
    <row r="358" spans="1:5" x14ac:dyDescent="0.25">
      <c r="A358" s="167" t="s">
        <v>210</v>
      </c>
      <c r="B358" s="138">
        <v>155</v>
      </c>
      <c r="C358" s="138">
        <v>22187</v>
      </c>
      <c r="D358" s="172">
        <f t="shared" si="52"/>
        <v>6.9860729255870552E-3</v>
      </c>
      <c r="E358" s="172">
        <f t="shared" si="53"/>
        <v>9.1429245561257602E-3</v>
      </c>
    </row>
    <row r="359" spans="1:5" x14ac:dyDescent="0.25">
      <c r="A359" s="167" t="s">
        <v>211</v>
      </c>
      <c r="B359" s="138">
        <v>58</v>
      </c>
      <c r="C359" s="138">
        <v>10468</v>
      </c>
      <c r="D359" s="172">
        <f t="shared" si="52"/>
        <v>5.5406954528085597E-3</v>
      </c>
      <c r="E359" s="172">
        <f t="shared" si="53"/>
        <v>3.4212233822922197E-3</v>
      </c>
    </row>
    <row r="360" spans="1:5" x14ac:dyDescent="0.25">
      <c r="A360" s="167" t="s">
        <v>212</v>
      </c>
      <c r="B360" s="138">
        <v>73</v>
      </c>
      <c r="C360" s="138">
        <v>4687</v>
      </c>
      <c r="D360" s="172">
        <f t="shared" si="52"/>
        <v>1.5574994666097717E-2</v>
      </c>
      <c r="E360" s="172">
        <f t="shared" si="53"/>
        <v>4.3060225328850352E-3</v>
      </c>
    </row>
    <row r="361" spans="1:5" x14ac:dyDescent="0.25">
      <c r="A361" s="167" t="s">
        <v>379</v>
      </c>
      <c r="B361" s="138">
        <v>9</v>
      </c>
      <c r="C361" s="138">
        <v>528</v>
      </c>
      <c r="D361" s="172">
        <f t="shared" si="52"/>
        <v>1.7045454545454544E-2</v>
      </c>
      <c r="E361" s="172">
        <f t="shared" si="53"/>
        <v>5.3087949035568926E-4</v>
      </c>
    </row>
    <row r="362" spans="1:5" x14ac:dyDescent="0.25">
      <c r="A362" s="167" t="s">
        <v>213</v>
      </c>
      <c r="B362" s="138">
        <v>179</v>
      </c>
      <c r="C362" s="138">
        <v>24964</v>
      </c>
      <c r="D362" s="172">
        <f t="shared" si="52"/>
        <v>7.1703252683864762E-3</v>
      </c>
      <c r="E362" s="172">
        <f t="shared" si="53"/>
        <v>1.0558603197074265E-2</v>
      </c>
    </row>
    <row r="363" spans="1:5" x14ac:dyDescent="0.25">
      <c r="A363" s="167" t="s">
        <v>214</v>
      </c>
      <c r="B363" s="138">
        <v>43</v>
      </c>
      <c r="C363" s="138">
        <v>4278</v>
      </c>
      <c r="D363" s="172">
        <f t="shared" si="52"/>
        <v>1.0051425899953248E-2</v>
      </c>
      <c r="E363" s="172">
        <f t="shared" si="53"/>
        <v>2.5364242316994043E-3</v>
      </c>
    </row>
    <row r="364" spans="1:5" x14ac:dyDescent="0.25">
      <c r="A364" s="167" t="s">
        <v>215</v>
      </c>
      <c r="B364" s="138">
        <v>40</v>
      </c>
      <c r="C364" s="138">
        <v>3252</v>
      </c>
      <c r="D364" s="172">
        <f t="shared" si="52"/>
        <v>1.2300123001230012E-2</v>
      </c>
      <c r="E364" s="172">
        <f t="shared" si="53"/>
        <v>2.359464401580841E-3</v>
      </c>
    </row>
    <row r="365" spans="1:5" x14ac:dyDescent="0.25">
      <c r="A365" s="167" t="s">
        <v>216</v>
      </c>
      <c r="B365" s="138">
        <v>401</v>
      </c>
      <c r="C365" s="138">
        <v>52974</v>
      </c>
      <c r="D365" s="172">
        <f t="shared" si="52"/>
        <v>7.5697511987012495E-3</v>
      </c>
      <c r="E365" s="172">
        <f t="shared" si="53"/>
        <v>2.3653630625847931E-2</v>
      </c>
    </row>
    <row r="366" spans="1:5" x14ac:dyDescent="0.25">
      <c r="A366" s="167" t="s">
        <v>217</v>
      </c>
      <c r="B366" s="138">
        <v>298</v>
      </c>
      <c r="C366" s="138">
        <v>28971</v>
      </c>
      <c r="D366" s="172">
        <f t="shared" si="52"/>
        <v>1.0286148217182699E-2</v>
      </c>
      <c r="E366" s="172">
        <f t="shared" si="53"/>
        <v>1.7578009791777267E-2</v>
      </c>
    </row>
    <row r="367" spans="1:5" x14ac:dyDescent="0.25">
      <c r="A367" s="167" t="s">
        <v>218</v>
      </c>
      <c r="B367" s="138">
        <v>34</v>
      </c>
      <c r="C367" s="138">
        <v>2653</v>
      </c>
      <c r="D367" s="172">
        <f t="shared" si="52"/>
        <v>1.2815680361854504E-2</v>
      </c>
      <c r="E367" s="172">
        <f t="shared" si="53"/>
        <v>2.0055447413437149E-3</v>
      </c>
    </row>
    <row r="368" spans="1:5" x14ac:dyDescent="0.25">
      <c r="A368" s="167" t="s">
        <v>219</v>
      </c>
      <c r="B368" s="138">
        <v>168</v>
      </c>
      <c r="C368" s="138">
        <v>22958</v>
      </c>
      <c r="D368" s="172">
        <f t="shared" si="52"/>
        <v>7.3177106019688123E-3</v>
      </c>
      <c r="E368" s="172">
        <f t="shared" si="53"/>
        <v>9.9097504866395326E-3</v>
      </c>
    </row>
    <row r="369" spans="1:5" x14ac:dyDescent="0.25">
      <c r="A369" s="167" t="s">
        <v>220</v>
      </c>
      <c r="B369" s="138">
        <v>3</v>
      </c>
      <c r="C369" s="138">
        <v>338</v>
      </c>
      <c r="D369" s="172">
        <f t="shared" si="52"/>
        <v>8.8757396449704144E-3</v>
      </c>
      <c r="E369" s="172">
        <f t="shared" si="53"/>
        <v>1.7695983011856308E-4</v>
      </c>
    </row>
    <row r="370" spans="1:5" x14ac:dyDescent="0.25">
      <c r="A370" s="167" t="s">
        <v>221</v>
      </c>
      <c r="B370" s="138">
        <v>86</v>
      </c>
      <c r="C370" s="138">
        <v>8546</v>
      </c>
      <c r="D370" s="172">
        <f t="shared" si="52"/>
        <v>1.0063187456119822E-2</v>
      </c>
      <c r="E370" s="172">
        <f t="shared" si="53"/>
        <v>5.0728484633988085E-3</v>
      </c>
    </row>
    <row r="371" spans="1:5" x14ac:dyDescent="0.25">
      <c r="A371" s="80" t="s">
        <v>0</v>
      </c>
      <c r="B371" s="137">
        <v>16953</v>
      </c>
      <c r="C371" s="137">
        <v>1455639</v>
      </c>
      <c r="D371" s="173">
        <f t="shared" si="52"/>
        <v>1.1646431567167409E-2</v>
      </c>
      <c r="E371" s="220">
        <f t="shared" si="53"/>
        <v>1</v>
      </c>
    </row>
    <row r="372" spans="1:5" x14ac:dyDescent="0.25">
      <c r="A372" s="16"/>
      <c r="B372" s="16"/>
      <c r="C372" s="16"/>
    </row>
    <row r="373" spans="1:5" x14ac:dyDescent="0.25">
      <c r="A373" s="83" t="s">
        <v>254</v>
      </c>
    </row>
    <row r="374" spans="1:5" x14ac:dyDescent="0.25">
      <c r="A374" s="41" t="s">
        <v>243</v>
      </c>
    </row>
  </sheetData>
  <conditionalFormatting sqref="D246:D371">
    <cfRule type="dataBar" priority="39">
      <dataBar>
        <cfvo type="min"/>
        <cfvo type="max"/>
        <color rgb="FF63C384"/>
      </dataBar>
      <extLst>
        <ext xmlns:x14="http://schemas.microsoft.com/office/spreadsheetml/2009/9/main" uri="{B025F937-C7B1-47D3-B67F-A62EFF666E3E}">
          <x14:id>{7D6A9137-D4DA-44F0-8299-F7B293D264AF}</x14:id>
        </ext>
      </extLst>
    </cfRule>
  </conditionalFormatting>
  <conditionalFormatting sqref="E246:E370">
    <cfRule type="dataBar" priority="40">
      <dataBar>
        <cfvo type="min"/>
        <cfvo type="max"/>
        <color rgb="FF638EC6"/>
      </dataBar>
      <extLst>
        <ext xmlns:x14="http://schemas.microsoft.com/office/spreadsheetml/2009/9/main" uri="{B025F937-C7B1-47D3-B67F-A62EFF666E3E}">
          <x14:id>{53744EE6-3A40-4237-A5C1-06FA384B71E1}</x14:id>
        </ext>
      </extLst>
    </cfRule>
  </conditionalFormatting>
  <conditionalFormatting sqref="F6:I13">
    <cfRule type="dataBar" priority="21">
      <dataBar>
        <cfvo type="min"/>
        <cfvo type="max"/>
        <color rgb="FF63C384"/>
      </dataBar>
      <extLst>
        <ext xmlns:x14="http://schemas.microsoft.com/office/spreadsheetml/2009/9/main" uri="{B025F937-C7B1-47D3-B67F-A62EFF666E3E}">
          <x14:id>{1A75E96E-5C1B-43F6-A59E-0DA2DEFC188C}</x14:id>
        </ext>
      </extLst>
    </cfRule>
  </conditionalFormatting>
  <conditionalFormatting sqref="F17:I24">
    <cfRule type="dataBar" priority="20">
      <dataBar>
        <cfvo type="min"/>
        <cfvo type="max"/>
        <color rgb="FF63C384"/>
      </dataBar>
      <extLst>
        <ext xmlns:x14="http://schemas.microsoft.com/office/spreadsheetml/2009/9/main" uri="{B025F937-C7B1-47D3-B67F-A62EFF666E3E}">
          <x14:id>{8E747E68-9ECA-4C5E-B7AB-AC3E802292F3}</x14:id>
        </ext>
      </extLst>
    </cfRule>
  </conditionalFormatting>
  <conditionalFormatting sqref="F28:I35">
    <cfRule type="dataBar" priority="19">
      <dataBar>
        <cfvo type="min"/>
        <cfvo type="max"/>
        <color rgb="FF63C384"/>
      </dataBar>
      <extLst>
        <ext xmlns:x14="http://schemas.microsoft.com/office/spreadsheetml/2009/9/main" uri="{B025F937-C7B1-47D3-B67F-A62EFF666E3E}">
          <x14:id>{AAB0D2D6-5ED7-4A2A-A73B-733E25CD49AB}</x14:id>
        </ext>
      </extLst>
    </cfRule>
  </conditionalFormatting>
  <conditionalFormatting sqref="F39:I55">
    <cfRule type="dataBar" priority="18">
      <dataBar>
        <cfvo type="min"/>
        <cfvo type="max"/>
        <color rgb="FF63C384"/>
      </dataBar>
      <extLst>
        <ext xmlns:x14="http://schemas.microsoft.com/office/spreadsheetml/2009/9/main" uri="{B025F937-C7B1-47D3-B67F-A62EFF666E3E}">
          <x14:id>{B7A5DADF-226F-4161-96C1-A04C77AF5E4D}</x14:id>
        </ext>
      </extLst>
    </cfRule>
  </conditionalFormatting>
  <conditionalFormatting sqref="G59">
    <cfRule type="iconSet" priority="27">
      <iconSet iconSet="5Arrows">
        <cfvo type="percent" val="0"/>
        <cfvo type="num" val="-0.2"/>
        <cfvo type="num" val="0"/>
        <cfvo type="num" val="0.2"/>
        <cfvo type="num" val="0.5"/>
      </iconSet>
    </cfRule>
  </conditionalFormatting>
  <conditionalFormatting sqref="G60:G61 G63:G64 G66:G69">
    <cfRule type="iconSet" priority="35">
      <iconSet iconSet="5Arrows">
        <cfvo type="percent" val="0"/>
        <cfvo type="num" val="-0.2"/>
        <cfvo type="num" val="0"/>
        <cfvo type="num" val="0.2"/>
        <cfvo type="num" val="0.5"/>
      </iconSet>
    </cfRule>
  </conditionalFormatting>
  <conditionalFormatting sqref="G62">
    <cfRule type="iconSet" priority="31">
      <iconSet iconSet="5Arrows">
        <cfvo type="percent" val="0"/>
        <cfvo type="num" val="-0.2"/>
        <cfvo type="num" val="0"/>
        <cfvo type="num" val="0.2"/>
        <cfvo type="num" val="0.5"/>
      </iconSet>
    </cfRule>
  </conditionalFormatting>
  <conditionalFormatting sqref="G65">
    <cfRule type="iconSet" priority="23">
      <iconSet iconSet="5Arrows">
        <cfvo type="percent" val="0"/>
        <cfvo type="num" val="-0.2"/>
        <cfvo type="num" val="0"/>
        <cfvo type="num" val="0.2"/>
        <cfvo type="num" val="0.5"/>
      </iconSet>
    </cfRule>
  </conditionalFormatting>
  <conditionalFormatting sqref="G73:G83">
    <cfRule type="iconSet" priority="9">
      <iconSet iconSet="5Arrows">
        <cfvo type="percent" val="0"/>
        <cfvo type="num" val="-0.2"/>
        <cfvo type="num" val="0"/>
        <cfvo type="num" val="0.2"/>
        <cfvo type="num" val="0.5"/>
      </iconSet>
    </cfRule>
  </conditionalFormatting>
  <conditionalFormatting sqref="G87:G97">
    <cfRule type="iconSet" priority="445">
      <iconSet iconSet="5Arrows">
        <cfvo type="percent" val="0"/>
        <cfvo type="num" val="-0.2"/>
        <cfvo type="num" val="0"/>
        <cfvo type="num" val="0.2"/>
        <cfvo type="num" val="0.5"/>
      </iconSet>
    </cfRule>
  </conditionalFormatting>
  <conditionalFormatting sqref="G101:G117">
    <cfRule type="iconSet" priority="1">
      <iconSet iconSet="5Arrows">
        <cfvo type="percent" val="0"/>
        <cfvo type="num" val="-0.2"/>
        <cfvo type="num" val="0"/>
        <cfvo type="num" val="0.2"/>
        <cfvo type="num" val="0.5"/>
      </iconSet>
    </cfRule>
  </conditionalFormatting>
  <conditionalFormatting sqref="G121:G132">
    <cfRule type="iconSet" priority="76">
      <iconSet iconSet="5Arrows">
        <cfvo type="percent" val="0"/>
        <cfvo type="num" val="-0.2"/>
        <cfvo type="num" val="0"/>
        <cfvo type="num" val="0.2"/>
        <cfvo type="num" val="0.5"/>
      </iconSet>
    </cfRule>
  </conditionalFormatting>
  <conditionalFormatting sqref="G136:G146">
    <cfRule type="iconSet" priority="72">
      <iconSet iconSet="5Arrows">
        <cfvo type="percent" val="0"/>
        <cfvo type="num" val="-0.2"/>
        <cfvo type="num" val="0"/>
        <cfvo type="num" val="0.2"/>
        <cfvo type="num" val="0.5"/>
      </iconSet>
    </cfRule>
  </conditionalFormatting>
  <conditionalFormatting sqref="G150:G166">
    <cfRule type="iconSet" priority="68">
      <iconSet iconSet="5Arrows">
        <cfvo type="percent" val="0"/>
        <cfvo type="num" val="-0.2"/>
        <cfvo type="num" val="0"/>
        <cfvo type="num" val="0.2"/>
        <cfvo type="num" val="0.5"/>
      </iconSet>
    </cfRule>
  </conditionalFormatting>
  <conditionalFormatting sqref="G170:G172">
    <cfRule type="iconSet" priority="56">
      <iconSet iconSet="5Arrows">
        <cfvo type="percent" val="0"/>
        <cfvo type="num" val="-0.2"/>
        <cfvo type="num" val="0"/>
        <cfvo type="num" val="0.2"/>
        <cfvo type="num" val="0.5"/>
      </iconSet>
    </cfRule>
  </conditionalFormatting>
  <conditionalFormatting sqref="G176:G182">
    <cfRule type="iconSet" priority="45">
      <iconSet iconSet="5Arrows">
        <cfvo type="percent" val="0"/>
        <cfvo type="num" val="-0.2"/>
        <cfvo type="num" val="0"/>
        <cfvo type="num" val="0.2"/>
        <cfvo type="num" val="0.5"/>
      </iconSet>
    </cfRule>
  </conditionalFormatting>
  <conditionalFormatting sqref="G186:G202">
    <cfRule type="iconSet" priority="64">
      <iconSet iconSet="5Arrows">
        <cfvo type="percent" val="0"/>
        <cfvo type="num" val="-0.2"/>
        <cfvo type="num" val="0"/>
        <cfvo type="num" val="0.2"/>
        <cfvo type="num" val="0.5"/>
      </iconSet>
    </cfRule>
  </conditionalFormatting>
  <conditionalFormatting sqref="G206:G209">
    <cfRule type="iconSet" priority="52">
      <iconSet iconSet="5Arrows">
        <cfvo type="percent" val="0"/>
        <cfvo type="num" val="-0.2"/>
        <cfvo type="num" val="0"/>
        <cfvo type="num" val="0.2"/>
        <cfvo type="num" val="0.5"/>
      </iconSet>
    </cfRule>
  </conditionalFormatting>
  <conditionalFormatting sqref="G213:G222">
    <cfRule type="iconSet" priority="41">
      <iconSet iconSet="5Arrows">
        <cfvo type="percent" val="0"/>
        <cfvo type="num" val="-0.2"/>
        <cfvo type="num" val="0"/>
        <cfvo type="num" val="0.2"/>
        <cfvo type="num" val="0.5"/>
      </iconSet>
    </cfRule>
  </conditionalFormatting>
  <conditionalFormatting sqref="G226:G227 G229:G232 G234:G238 G242">
    <cfRule type="iconSet" priority="60">
      <iconSet iconSet="5Arrows">
        <cfvo type="percent" val="0"/>
        <cfvo type="num" val="-0.2"/>
        <cfvo type="num" val="0"/>
        <cfvo type="num" val="0.2"/>
        <cfvo type="num" val="0.5"/>
      </iconSet>
    </cfRule>
  </conditionalFormatting>
  <conditionalFormatting sqref="G233:H233">
    <cfRule type="iconSet" priority="50">
      <iconSet iconSet="5Arrows">
        <cfvo type="percent" val="0"/>
        <cfvo type="num" val="-0.2"/>
        <cfvo type="num" val="0"/>
        <cfvo type="num" val="0.2"/>
        <cfvo type="num" val="0.5"/>
      </iconSet>
    </cfRule>
  </conditionalFormatting>
  <conditionalFormatting sqref="G239:H241">
    <cfRule type="iconSet" priority="49">
      <iconSet iconSet="5Arrows">
        <cfvo type="percent" val="0"/>
        <cfvo type="num" val="-0.2"/>
        <cfvo type="num" val="0"/>
        <cfvo type="num" val="0.2"/>
        <cfvo type="num" val="0.5"/>
      </iconSet>
    </cfRule>
  </conditionalFormatting>
  <conditionalFormatting sqref="H59">
    <cfRule type="iconSet" priority="30">
      <iconSet iconSet="5Arrows">
        <cfvo type="percent" val="0"/>
        <cfvo type="num" val="-0.1"/>
        <cfvo type="num" val="0"/>
        <cfvo type="num" val="0.1"/>
        <cfvo type="num" val="0.2"/>
      </iconSet>
    </cfRule>
  </conditionalFormatting>
  <conditionalFormatting sqref="H60:H61 H63:H64 H66:H69">
    <cfRule type="iconSet" priority="38">
      <iconSet iconSet="5Arrows">
        <cfvo type="percent" val="0"/>
        <cfvo type="num" val="-0.1"/>
        <cfvo type="num" val="0"/>
        <cfvo type="num" val="0.1"/>
        <cfvo type="num" val="0.2"/>
      </iconSet>
    </cfRule>
  </conditionalFormatting>
  <conditionalFormatting sqref="H62">
    <cfRule type="iconSet" priority="34">
      <iconSet iconSet="5Arrows">
        <cfvo type="percent" val="0"/>
        <cfvo type="num" val="-0.1"/>
        <cfvo type="num" val="0"/>
        <cfvo type="num" val="0.1"/>
        <cfvo type="num" val="0.2"/>
      </iconSet>
    </cfRule>
  </conditionalFormatting>
  <conditionalFormatting sqref="H65">
    <cfRule type="iconSet" priority="26">
      <iconSet iconSet="5Arrows">
        <cfvo type="percent" val="0"/>
        <cfvo type="num" val="-0.1"/>
        <cfvo type="num" val="0"/>
        <cfvo type="num" val="0.1"/>
        <cfvo type="num" val="0.2"/>
      </iconSet>
    </cfRule>
  </conditionalFormatting>
  <conditionalFormatting sqref="H73:H83">
    <cfRule type="iconSet" priority="7">
      <iconSet iconSet="5Arrows">
        <cfvo type="percent" val="0"/>
        <cfvo type="num" val="-0.1"/>
        <cfvo type="num" val="0"/>
        <cfvo type="num" val="0.1"/>
        <cfvo type="num" val="0.2"/>
      </iconSet>
    </cfRule>
  </conditionalFormatting>
  <conditionalFormatting sqref="H87:H97">
    <cfRule type="iconSet" priority="443">
      <iconSet iconSet="5Arrows">
        <cfvo type="percent" val="0"/>
        <cfvo type="num" val="-0.1"/>
        <cfvo type="num" val="0"/>
        <cfvo type="num" val="0.1"/>
        <cfvo type="num" val="0.2"/>
      </iconSet>
    </cfRule>
  </conditionalFormatting>
  <conditionalFormatting sqref="H101:H117">
    <cfRule type="iconSet" priority="4">
      <iconSet iconSet="5Arrows">
        <cfvo type="percent" val="0"/>
        <cfvo type="num" val="-0.1"/>
        <cfvo type="num" val="0"/>
        <cfvo type="num" val="0.1"/>
        <cfvo type="num" val="0.2"/>
      </iconSet>
    </cfRule>
  </conditionalFormatting>
  <conditionalFormatting sqref="H121:H132">
    <cfRule type="iconSet" priority="79">
      <iconSet iconSet="5Arrows">
        <cfvo type="percent" val="0"/>
        <cfvo type="num" val="-0.1"/>
        <cfvo type="num" val="0"/>
        <cfvo type="num" val="0.1"/>
        <cfvo type="num" val="0.2"/>
      </iconSet>
    </cfRule>
  </conditionalFormatting>
  <conditionalFormatting sqref="H136:H146">
    <cfRule type="iconSet" priority="75">
      <iconSet iconSet="5Arrows">
        <cfvo type="percent" val="0"/>
        <cfvo type="num" val="-0.1"/>
        <cfvo type="num" val="0"/>
        <cfvo type="num" val="0.1"/>
        <cfvo type="num" val="0.2"/>
      </iconSet>
    </cfRule>
  </conditionalFormatting>
  <conditionalFormatting sqref="H150:H166">
    <cfRule type="iconSet" priority="71">
      <iconSet iconSet="5Arrows">
        <cfvo type="percent" val="0"/>
        <cfvo type="num" val="-0.1"/>
        <cfvo type="num" val="0"/>
        <cfvo type="num" val="0.1"/>
        <cfvo type="num" val="0.2"/>
      </iconSet>
    </cfRule>
  </conditionalFormatting>
  <conditionalFormatting sqref="H170:H172">
    <cfRule type="iconSet" priority="59">
      <iconSet iconSet="5Arrows">
        <cfvo type="percent" val="0"/>
        <cfvo type="num" val="-0.1"/>
        <cfvo type="num" val="0"/>
        <cfvo type="num" val="0.1"/>
        <cfvo type="num" val="0.2"/>
      </iconSet>
    </cfRule>
  </conditionalFormatting>
  <conditionalFormatting sqref="H176:H182">
    <cfRule type="iconSet" priority="48">
      <iconSet iconSet="5Arrows">
        <cfvo type="percent" val="0"/>
        <cfvo type="num" val="-0.1"/>
        <cfvo type="num" val="0"/>
        <cfvo type="num" val="0.1"/>
        <cfvo type="num" val="0.2"/>
      </iconSet>
    </cfRule>
  </conditionalFormatting>
  <conditionalFormatting sqref="H186:H202">
    <cfRule type="iconSet" priority="67">
      <iconSet iconSet="5Arrows">
        <cfvo type="percent" val="0"/>
        <cfvo type="num" val="-0.1"/>
        <cfvo type="num" val="0"/>
        <cfvo type="num" val="0.1"/>
        <cfvo type="num" val="0.2"/>
      </iconSet>
    </cfRule>
  </conditionalFormatting>
  <conditionalFormatting sqref="H206:H209">
    <cfRule type="iconSet" priority="55">
      <iconSet iconSet="5Arrows">
        <cfvo type="percent" val="0"/>
        <cfvo type="num" val="-0.1"/>
        <cfvo type="num" val="0"/>
        <cfvo type="num" val="0.1"/>
        <cfvo type="num" val="0.2"/>
      </iconSet>
    </cfRule>
  </conditionalFormatting>
  <conditionalFormatting sqref="H213:H222">
    <cfRule type="iconSet" priority="44">
      <iconSet iconSet="5Arrows">
        <cfvo type="percent" val="0"/>
        <cfvo type="num" val="-0.1"/>
        <cfvo type="num" val="0"/>
        <cfvo type="num" val="0.1"/>
        <cfvo type="num" val="0.2"/>
      </iconSet>
    </cfRule>
  </conditionalFormatting>
  <conditionalFormatting sqref="H226:H229 G228">
    <cfRule type="iconSet" priority="51">
      <iconSet iconSet="5Arrows">
        <cfvo type="percent" val="0"/>
        <cfvo type="num" val="-0.2"/>
        <cfvo type="num" val="0"/>
        <cfvo type="num" val="0.2"/>
        <cfvo type="num" val="0.5"/>
      </iconSet>
    </cfRule>
  </conditionalFormatting>
  <conditionalFormatting sqref="H230:H232 H234:H238 H242">
    <cfRule type="iconSet" priority="63">
      <iconSet iconSet="5Arrows">
        <cfvo type="percent" val="0"/>
        <cfvo type="num" val="-0.1"/>
        <cfvo type="num" val="0"/>
        <cfvo type="num" val="0.1"/>
        <cfvo type="num" val="0.2"/>
      </iconSet>
    </cfRule>
  </conditionalFormatting>
  <conditionalFormatting sqref="I59:I68">
    <cfRule type="dataBar" priority="22">
      <dataBar>
        <cfvo type="min"/>
        <cfvo type="max"/>
        <color rgb="FF638EC6"/>
      </dataBar>
      <extLst>
        <ext xmlns:x14="http://schemas.microsoft.com/office/spreadsheetml/2009/9/main" uri="{B025F937-C7B1-47D3-B67F-A62EFF666E3E}">
          <x14:id>{124BEC3F-8EA0-46B0-B297-67C0A079F928}</x14:id>
        </ext>
      </extLst>
    </cfRule>
  </conditionalFormatting>
  <conditionalFormatting sqref="I73:I82">
    <cfRule type="dataBar" priority="6">
      <dataBar>
        <cfvo type="min"/>
        <cfvo type="max"/>
        <color rgb="FF638EC6"/>
      </dataBar>
      <extLst>
        <ext xmlns:x14="http://schemas.microsoft.com/office/spreadsheetml/2009/9/main" uri="{B025F937-C7B1-47D3-B67F-A62EFF666E3E}">
          <x14:id>{3C8ED150-D784-4300-BE9C-4E0CBAF8EB1B}</x14:id>
        </ext>
      </extLst>
    </cfRule>
  </conditionalFormatting>
  <conditionalFormatting sqref="I87:I96">
    <cfRule type="dataBar" priority="12">
      <dataBar>
        <cfvo type="min"/>
        <cfvo type="max"/>
        <color rgb="FF638EC6"/>
      </dataBar>
      <extLst>
        <ext xmlns:x14="http://schemas.microsoft.com/office/spreadsheetml/2009/9/main" uri="{B025F937-C7B1-47D3-B67F-A62EFF666E3E}">
          <x14:id>{73AF5D49-7250-4755-A747-24105528E7FE}</x14:id>
        </ext>
      </extLst>
    </cfRule>
  </conditionalFormatting>
  <conditionalFormatting sqref="I101:I116">
    <cfRule type="dataBar" priority="3">
      <dataBar>
        <cfvo type="min"/>
        <cfvo type="max"/>
        <color rgb="FF638EC6"/>
      </dataBar>
      <extLst>
        <ext xmlns:x14="http://schemas.microsoft.com/office/spreadsheetml/2009/9/main" uri="{B025F937-C7B1-47D3-B67F-A62EFF666E3E}">
          <x14:id>{3B920944-E56D-47AE-B208-0E7F652C7888}</x14:id>
        </ext>
      </extLst>
    </cfRule>
  </conditionalFormatting>
  <conditionalFormatting sqref="I121:I131">
    <cfRule type="dataBar" priority="78">
      <dataBar>
        <cfvo type="min"/>
        <cfvo type="max"/>
        <color rgb="FF638EC6"/>
      </dataBar>
      <extLst>
        <ext xmlns:x14="http://schemas.microsoft.com/office/spreadsheetml/2009/9/main" uri="{B025F937-C7B1-47D3-B67F-A62EFF666E3E}">
          <x14:id>{464532F9-1160-40DD-BCF5-575BAC903B14}</x14:id>
        </ext>
      </extLst>
    </cfRule>
  </conditionalFormatting>
  <conditionalFormatting sqref="I136:I145">
    <cfRule type="dataBar" priority="74">
      <dataBar>
        <cfvo type="min"/>
        <cfvo type="max"/>
        <color rgb="FF638EC6"/>
      </dataBar>
      <extLst>
        <ext xmlns:x14="http://schemas.microsoft.com/office/spreadsheetml/2009/9/main" uri="{B025F937-C7B1-47D3-B67F-A62EFF666E3E}">
          <x14:id>{3721FA36-4A71-4024-B4A8-763190545A5A}</x14:id>
        </ext>
      </extLst>
    </cfRule>
  </conditionalFormatting>
  <conditionalFormatting sqref="I150:I165">
    <cfRule type="dataBar" priority="70">
      <dataBar>
        <cfvo type="min"/>
        <cfvo type="max"/>
        <color rgb="FF638EC6"/>
      </dataBar>
      <extLst>
        <ext xmlns:x14="http://schemas.microsoft.com/office/spreadsheetml/2009/9/main" uri="{B025F937-C7B1-47D3-B67F-A62EFF666E3E}">
          <x14:id>{7F687827-7B91-4C0C-B6C9-8C7E997D1748}</x14:id>
        </ext>
      </extLst>
    </cfRule>
  </conditionalFormatting>
  <conditionalFormatting sqref="I170:I171">
    <cfRule type="dataBar" priority="58">
      <dataBar>
        <cfvo type="min"/>
        <cfvo type="max"/>
        <color rgb="FF638EC6"/>
      </dataBar>
      <extLst>
        <ext xmlns:x14="http://schemas.microsoft.com/office/spreadsheetml/2009/9/main" uri="{B025F937-C7B1-47D3-B67F-A62EFF666E3E}">
          <x14:id>{081FCEF2-4652-4E7B-8C39-C454E1289176}</x14:id>
        </ext>
      </extLst>
    </cfRule>
  </conditionalFormatting>
  <conditionalFormatting sqref="I176:I181">
    <cfRule type="dataBar" priority="47">
      <dataBar>
        <cfvo type="min"/>
        <cfvo type="max"/>
        <color rgb="FF638EC6"/>
      </dataBar>
      <extLst>
        <ext xmlns:x14="http://schemas.microsoft.com/office/spreadsheetml/2009/9/main" uri="{B025F937-C7B1-47D3-B67F-A62EFF666E3E}">
          <x14:id>{3EBF004E-FE4E-49E7-A9AC-267522633CAF}</x14:id>
        </ext>
      </extLst>
    </cfRule>
  </conditionalFormatting>
  <conditionalFormatting sqref="I186:I201">
    <cfRule type="dataBar" priority="66">
      <dataBar>
        <cfvo type="min"/>
        <cfvo type="max"/>
        <color rgb="FF638EC6"/>
      </dataBar>
      <extLst>
        <ext xmlns:x14="http://schemas.microsoft.com/office/spreadsheetml/2009/9/main" uri="{B025F937-C7B1-47D3-B67F-A62EFF666E3E}">
          <x14:id>{35C74901-F1EC-42A9-AEA6-51B6B98EB1F6}</x14:id>
        </ext>
      </extLst>
    </cfRule>
  </conditionalFormatting>
  <conditionalFormatting sqref="I206:I208">
    <cfRule type="dataBar" priority="54">
      <dataBar>
        <cfvo type="min"/>
        <cfvo type="max"/>
        <color rgb="FF638EC6"/>
      </dataBar>
      <extLst>
        <ext xmlns:x14="http://schemas.microsoft.com/office/spreadsheetml/2009/9/main" uri="{B025F937-C7B1-47D3-B67F-A62EFF666E3E}">
          <x14:id>{406C64BC-0933-4257-A125-3D708946615C}</x14:id>
        </ext>
      </extLst>
    </cfRule>
  </conditionalFormatting>
  <conditionalFormatting sqref="I213:I221">
    <cfRule type="dataBar" priority="43">
      <dataBar>
        <cfvo type="min"/>
        <cfvo type="max"/>
        <color rgb="FF638EC6"/>
      </dataBar>
      <extLst>
        <ext xmlns:x14="http://schemas.microsoft.com/office/spreadsheetml/2009/9/main" uri="{B025F937-C7B1-47D3-B67F-A62EFF666E3E}">
          <x14:id>{7F8F98D2-DDAD-4E96-83F4-95478CDE118F}</x14:id>
        </ext>
      </extLst>
    </cfRule>
  </conditionalFormatting>
  <conditionalFormatting sqref="I226:I241">
    <cfRule type="dataBar" priority="62">
      <dataBar>
        <cfvo type="min"/>
        <cfvo type="max"/>
        <color rgb="FF638EC6"/>
      </dataBar>
      <extLst>
        <ext xmlns:x14="http://schemas.microsoft.com/office/spreadsheetml/2009/9/main" uri="{B025F937-C7B1-47D3-B67F-A62EFF666E3E}">
          <x14:id>{A07D5218-FAB4-4543-8BBE-5BC2A77B1A04}</x14:id>
        </ext>
      </extLst>
    </cfRule>
  </conditionalFormatting>
  <conditionalFormatting sqref="J59">
    <cfRule type="dataBar" priority="28">
      <dataBar>
        <cfvo type="min"/>
        <cfvo type="max"/>
        <color rgb="FF63C384"/>
      </dataBar>
      <extLst>
        <ext xmlns:x14="http://schemas.microsoft.com/office/spreadsheetml/2009/9/main" uri="{B025F937-C7B1-47D3-B67F-A62EFF666E3E}">
          <x14:id>{83D8D33D-5350-471F-B492-EC9432483CB3}</x14:id>
        </ext>
      </extLst>
    </cfRule>
  </conditionalFormatting>
  <conditionalFormatting sqref="J60:J61 J63:J64 J66:J69">
    <cfRule type="dataBar" priority="36">
      <dataBar>
        <cfvo type="min"/>
        <cfvo type="max"/>
        <color rgb="FF63C384"/>
      </dataBar>
      <extLst>
        <ext xmlns:x14="http://schemas.microsoft.com/office/spreadsheetml/2009/9/main" uri="{B025F937-C7B1-47D3-B67F-A62EFF666E3E}">
          <x14:id>{D9AEEBC3-89CB-4446-A66E-E0B6190428E9}</x14:id>
        </ext>
      </extLst>
    </cfRule>
  </conditionalFormatting>
  <conditionalFormatting sqref="J62">
    <cfRule type="dataBar" priority="32">
      <dataBar>
        <cfvo type="min"/>
        <cfvo type="max"/>
        <color rgb="FF63C384"/>
      </dataBar>
      <extLst>
        <ext xmlns:x14="http://schemas.microsoft.com/office/spreadsheetml/2009/9/main" uri="{B025F937-C7B1-47D3-B67F-A62EFF666E3E}">
          <x14:id>{3176018A-C423-4BC6-A940-32E95DFFA888}</x14:id>
        </ext>
      </extLst>
    </cfRule>
  </conditionalFormatting>
  <conditionalFormatting sqref="J65">
    <cfRule type="dataBar" priority="24">
      <dataBar>
        <cfvo type="min"/>
        <cfvo type="max"/>
        <color rgb="FF63C384"/>
      </dataBar>
      <extLst>
        <ext xmlns:x14="http://schemas.microsoft.com/office/spreadsheetml/2009/9/main" uri="{B025F937-C7B1-47D3-B67F-A62EFF666E3E}">
          <x14:id>{F504BDE1-ABBA-402E-9CC4-7A902F6F4BB3}</x14:id>
        </ext>
      </extLst>
    </cfRule>
  </conditionalFormatting>
  <conditionalFormatting sqref="J73:J83">
    <cfRule type="dataBar" priority="8">
      <dataBar>
        <cfvo type="min"/>
        <cfvo type="max"/>
        <color rgb="FF63C384"/>
      </dataBar>
      <extLst>
        <ext xmlns:x14="http://schemas.microsoft.com/office/spreadsheetml/2009/9/main" uri="{B025F937-C7B1-47D3-B67F-A62EFF666E3E}">
          <x14:id>{B677B334-4F45-4C2A-9D19-22C673CA1077}</x14:id>
        </ext>
      </extLst>
    </cfRule>
  </conditionalFormatting>
  <conditionalFormatting sqref="J87:J97">
    <cfRule type="dataBar" priority="444">
      <dataBar>
        <cfvo type="min"/>
        <cfvo type="max"/>
        <color rgb="FF63C384"/>
      </dataBar>
      <extLst>
        <ext xmlns:x14="http://schemas.microsoft.com/office/spreadsheetml/2009/9/main" uri="{B025F937-C7B1-47D3-B67F-A62EFF666E3E}">
          <x14:id>{CCC2BBF7-9C3A-4B5E-BF62-2B27BD178EFC}</x14:id>
        </ext>
      </extLst>
    </cfRule>
  </conditionalFormatting>
  <conditionalFormatting sqref="J101:J117">
    <cfRule type="dataBar" priority="2">
      <dataBar>
        <cfvo type="min"/>
        <cfvo type="max"/>
        <color rgb="FF63C384"/>
      </dataBar>
      <extLst>
        <ext xmlns:x14="http://schemas.microsoft.com/office/spreadsheetml/2009/9/main" uri="{B025F937-C7B1-47D3-B67F-A62EFF666E3E}">
          <x14:id>{F2C3A9B8-345B-4347-B756-574F74A226BA}</x14:id>
        </ext>
      </extLst>
    </cfRule>
  </conditionalFormatting>
  <conditionalFormatting sqref="J121:J132">
    <cfRule type="dataBar" priority="77">
      <dataBar>
        <cfvo type="min"/>
        <cfvo type="max"/>
        <color rgb="FF63C384"/>
      </dataBar>
      <extLst>
        <ext xmlns:x14="http://schemas.microsoft.com/office/spreadsheetml/2009/9/main" uri="{B025F937-C7B1-47D3-B67F-A62EFF666E3E}">
          <x14:id>{A9A076FB-291E-4422-9CFE-454E068A8167}</x14:id>
        </ext>
      </extLst>
    </cfRule>
  </conditionalFormatting>
  <conditionalFormatting sqref="J136:J146">
    <cfRule type="dataBar" priority="73">
      <dataBar>
        <cfvo type="min"/>
        <cfvo type="max"/>
        <color rgb="FF63C384"/>
      </dataBar>
      <extLst>
        <ext xmlns:x14="http://schemas.microsoft.com/office/spreadsheetml/2009/9/main" uri="{B025F937-C7B1-47D3-B67F-A62EFF666E3E}">
          <x14:id>{1F2E1D95-06F5-4C91-B665-898CFFF24DE1}</x14:id>
        </ext>
      </extLst>
    </cfRule>
  </conditionalFormatting>
  <conditionalFormatting sqref="J150:J166">
    <cfRule type="dataBar" priority="69">
      <dataBar>
        <cfvo type="min"/>
        <cfvo type="max"/>
        <color rgb="FF63C384"/>
      </dataBar>
      <extLst>
        <ext xmlns:x14="http://schemas.microsoft.com/office/spreadsheetml/2009/9/main" uri="{B025F937-C7B1-47D3-B67F-A62EFF666E3E}">
          <x14:id>{8F626D61-5DAA-442A-81A4-3A5ADB14FDB2}</x14:id>
        </ext>
      </extLst>
    </cfRule>
  </conditionalFormatting>
  <conditionalFormatting sqref="J170:J172">
    <cfRule type="dataBar" priority="57">
      <dataBar>
        <cfvo type="min"/>
        <cfvo type="max"/>
        <color rgb="FF63C384"/>
      </dataBar>
      <extLst>
        <ext xmlns:x14="http://schemas.microsoft.com/office/spreadsheetml/2009/9/main" uri="{B025F937-C7B1-47D3-B67F-A62EFF666E3E}">
          <x14:id>{3BF6DC28-36FB-4CA9-B057-366BCB732C87}</x14:id>
        </ext>
      </extLst>
    </cfRule>
  </conditionalFormatting>
  <conditionalFormatting sqref="J176:J182">
    <cfRule type="dataBar" priority="46">
      <dataBar>
        <cfvo type="min"/>
        <cfvo type="max"/>
        <color rgb="FF63C384"/>
      </dataBar>
      <extLst>
        <ext xmlns:x14="http://schemas.microsoft.com/office/spreadsheetml/2009/9/main" uri="{B025F937-C7B1-47D3-B67F-A62EFF666E3E}">
          <x14:id>{79A70345-8371-4B84-8D2A-9F2A0CBD4F2D}</x14:id>
        </ext>
      </extLst>
    </cfRule>
  </conditionalFormatting>
  <conditionalFormatting sqref="J186:J202">
    <cfRule type="dataBar" priority="65">
      <dataBar>
        <cfvo type="min"/>
        <cfvo type="max"/>
        <color rgb="FF63C384"/>
      </dataBar>
      <extLst>
        <ext xmlns:x14="http://schemas.microsoft.com/office/spreadsheetml/2009/9/main" uri="{B025F937-C7B1-47D3-B67F-A62EFF666E3E}">
          <x14:id>{66F1AF9F-7703-465C-9659-97282D3A590B}</x14:id>
        </ext>
      </extLst>
    </cfRule>
  </conditionalFormatting>
  <conditionalFormatting sqref="J206:J209">
    <cfRule type="dataBar" priority="53">
      <dataBar>
        <cfvo type="min"/>
        <cfvo type="max"/>
        <color rgb="FF63C384"/>
      </dataBar>
      <extLst>
        <ext xmlns:x14="http://schemas.microsoft.com/office/spreadsheetml/2009/9/main" uri="{B025F937-C7B1-47D3-B67F-A62EFF666E3E}">
          <x14:id>{05FDF958-83B0-46F6-8B48-1CB7D5DA97CF}</x14:id>
        </ext>
      </extLst>
    </cfRule>
  </conditionalFormatting>
  <conditionalFormatting sqref="J213:J222">
    <cfRule type="dataBar" priority="42">
      <dataBar>
        <cfvo type="min"/>
        <cfvo type="max"/>
        <color rgb="FF63C384"/>
      </dataBar>
      <extLst>
        <ext xmlns:x14="http://schemas.microsoft.com/office/spreadsheetml/2009/9/main" uri="{B025F937-C7B1-47D3-B67F-A62EFF666E3E}">
          <x14:id>{F3D29F81-DE88-48DA-8D64-849D360AD63B}</x14:id>
        </ext>
      </extLst>
    </cfRule>
  </conditionalFormatting>
  <conditionalFormatting sqref="J226:J242">
    <cfRule type="dataBar" priority="61">
      <dataBar>
        <cfvo type="min"/>
        <cfvo type="max"/>
        <color rgb="FF63C384"/>
      </dataBar>
      <extLst>
        <ext xmlns:x14="http://schemas.microsoft.com/office/spreadsheetml/2009/9/main" uri="{B025F937-C7B1-47D3-B67F-A62EFF666E3E}">
          <x14:id>{ECABDD8C-CDA1-4BCB-9058-51740A460E84}</x14:id>
        </ext>
      </extLst>
    </cfRule>
  </conditionalFormatting>
  <hyperlinks>
    <hyperlink ref="A374" location="Índice!C1" display="Volver al ïndice" xr:uid="{00000000-0004-0000-0A00-000000000000}"/>
  </hyperlink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7D6A9137-D4DA-44F0-8299-F7B293D264AF}">
            <x14:dataBar minLength="0" maxLength="100" border="1" negativeBarBorderColorSameAsPositive="0">
              <x14:cfvo type="autoMin"/>
              <x14:cfvo type="autoMax"/>
              <x14:borderColor rgb="FF63C384"/>
              <x14:negativeFillColor rgb="FFFF0000"/>
              <x14:negativeBorderColor rgb="FFFF0000"/>
              <x14:axisColor rgb="FF000000"/>
            </x14:dataBar>
          </x14:cfRule>
          <xm:sqref>D246:D371</xm:sqref>
        </x14:conditionalFormatting>
        <x14:conditionalFormatting xmlns:xm="http://schemas.microsoft.com/office/excel/2006/main">
          <x14:cfRule type="dataBar" id="{53744EE6-3A40-4237-A5C1-06FA384B71E1}">
            <x14:dataBar minLength="0" maxLength="100" border="1" negativeBarBorderColorSameAsPositive="0">
              <x14:cfvo type="autoMin"/>
              <x14:cfvo type="autoMax"/>
              <x14:borderColor rgb="FF638EC6"/>
              <x14:negativeFillColor rgb="FFFF0000"/>
              <x14:negativeBorderColor rgb="FFFF0000"/>
              <x14:axisColor rgb="FF000000"/>
            </x14:dataBar>
          </x14:cfRule>
          <xm:sqref>E246:E370</xm:sqref>
        </x14:conditionalFormatting>
        <x14:conditionalFormatting xmlns:xm="http://schemas.microsoft.com/office/excel/2006/main">
          <x14:cfRule type="dataBar" id="{1A75E96E-5C1B-43F6-A59E-0DA2DEFC188C}">
            <x14:dataBar minLength="0" maxLength="100" border="1" negativeBarBorderColorSameAsPositive="0">
              <x14:cfvo type="autoMin"/>
              <x14:cfvo type="autoMax"/>
              <x14:borderColor rgb="FF63C384"/>
              <x14:negativeFillColor rgb="FFFF0000"/>
              <x14:negativeBorderColor rgb="FFFF0000"/>
              <x14:axisColor rgb="FF000000"/>
            </x14:dataBar>
          </x14:cfRule>
          <xm:sqref>F6:I13</xm:sqref>
        </x14:conditionalFormatting>
        <x14:conditionalFormatting xmlns:xm="http://schemas.microsoft.com/office/excel/2006/main">
          <x14:cfRule type="dataBar" id="{8E747E68-9ECA-4C5E-B7AB-AC3E802292F3}">
            <x14:dataBar minLength="0" maxLength="100" border="1" negativeBarBorderColorSameAsPositive="0">
              <x14:cfvo type="autoMin"/>
              <x14:cfvo type="autoMax"/>
              <x14:borderColor rgb="FF63C384"/>
              <x14:negativeFillColor rgb="FFFF0000"/>
              <x14:negativeBorderColor rgb="FFFF0000"/>
              <x14:axisColor rgb="FF000000"/>
            </x14:dataBar>
          </x14:cfRule>
          <xm:sqref>F17:I24</xm:sqref>
        </x14:conditionalFormatting>
        <x14:conditionalFormatting xmlns:xm="http://schemas.microsoft.com/office/excel/2006/main">
          <x14:cfRule type="dataBar" id="{AAB0D2D6-5ED7-4A2A-A73B-733E25CD49AB}">
            <x14:dataBar minLength="0" maxLength="100" border="1" negativeBarBorderColorSameAsPositive="0">
              <x14:cfvo type="autoMin"/>
              <x14:cfvo type="autoMax"/>
              <x14:borderColor rgb="FF63C384"/>
              <x14:negativeFillColor rgb="FFFF0000"/>
              <x14:negativeBorderColor rgb="FFFF0000"/>
              <x14:axisColor rgb="FF000000"/>
            </x14:dataBar>
          </x14:cfRule>
          <xm:sqref>F28:I35</xm:sqref>
        </x14:conditionalFormatting>
        <x14:conditionalFormatting xmlns:xm="http://schemas.microsoft.com/office/excel/2006/main">
          <x14:cfRule type="dataBar" id="{B7A5DADF-226F-4161-96C1-A04C77AF5E4D}">
            <x14:dataBar minLength="0" maxLength="100" border="1" negativeBarBorderColorSameAsPositive="0">
              <x14:cfvo type="autoMin"/>
              <x14:cfvo type="autoMax"/>
              <x14:borderColor rgb="FF63C384"/>
              <x14:negativeFillColor rgb="FFFF0000"/>
              <x14:negativeBorderColor rgb="FFFF0000"/>
              <x14:axisColor rgb="FF000000"/>
            </x14:dataBar>
          </x14:cfRule>
          <xm:sqref>F39:I55</xm:sqref>
        </x14:conditionalFormatting>
        <x14:conditionalFormatting xmlns:xm="http://schemas.microsoft.com/office/excel/2006/main">
          <x14:cfRule type="dataBar" id="{124BEC3F-8EA0-46B0-B297-67C0A079F928}">
            <x14:dataBar minLength="0" maxLength="100" border="1" negativeBarBorderColorSameAsPositive="0">
              <x14:cfvo type="autoMin"/>
              <x14:cfvo type="autoMax"/>
              <x14:borderColor rgb="FF638EC6"/>
              <x14:negativeFillColor rgb="FFFF0000"/>
              <x14:negativeBorderColor rgb="FFFF0000"/>
              <x14:axisColor rgb="FF000000"/>
            </x14:dataBar>
          </x14:cfRule>
          <xm:sqref>I59:I68</xm:sqref>
        </x14:conditionalFormatting>
        <x14:conditionalFormatting xmlns:xm="http://schemas.microsoft.com/office/excel/2006/main">
          <x14:cfRule type="dataBar" id="{3C8ED150-D784-4300-BE9C-4E0CBAF8EB1B}">
            <x14:dataBar minLength="0" maxLength="100" border="1" negativeBarBorderColorSameAsPositive="0">
              <x14:cfvo type="autoMin"/>
              <x14:cfvo type="autoMax"/>
              <x14:borderColor rgb="FF638EC6"/>
              <x14:negativeFillColor rgb="FFFF0000"/>
              <x14:negativeBorderColor rgb="FFFF0000"/>
              <x14:axisColor rgb="FF000000"/>
            </x14:dataBar>
          </x14:cfRule>
          <xm:sqref>I73:I82</xm:sqref>
        </x14:conditionalFormatting>
        <x14:conditionalFormatting xmlns:xm="http://schemas.microsoft.com/office/excel/2006/main">
          <x14:cfRule type="dataBar" id="{73AF5D49-7250-4755-A747-24105528E7FE}">
            <x14:dataBar minLength="0" maxLength="100" border="1" negativeBarBorderColorSameAsPositive="0">
              <x14:cfvo type="autoMin"/>
              <x14:cfvo type="autoMax"/>
              <x14:borderColor rgb="FF638EC6"/>
              <x14:negativeFillColor rgb="FFFF0000"/>
              <x14:negativeBorderColor rgb="FFFF0000"/>
              <x14:axisColor rgb="FF000000"/>
            </x14:dataBar>
          </x14:cfRule>
          <xm:sqref>I87:I96</xm:sqref>
        </x14:conditionalFormatting>
        <x14:conditionalFormatting xmlns:xm="http://schemas.microsoft.com/office/excel/2006/main">
          <x14:cfRule type="dataBar" id="{3B920944-E56D-47AE-B208-0E7F652C7888}">
            <x14:dataBar minLength="0" maxLength="100" border="1" negativeBarBorderColorSameAsPositive="0">
              <x14:cfvo type="autoMin"/>
              <x14:cfvo type="autoMax"/>
              <x14:borderColor rgb="FF638EC6"/>
              <x14:negativeFillColor rgb="FFFF0000"/>
              <x14:negativeBorderColor rgb="FFFF0000"/>
              <x14:axisColor rgb="FF000000"/>
            </x14:dataBar>
          </x14:cfRule>
          <xm:sqref>I101:I116</xm:sqref>
        </x14:conditionalFormatting>
        <x14:conditionalFormatting xmlns:xm="http://schemas.microsoft.com/office/excel/2006/main">
          <x14:cfRule type="dataBar" id="{464532F9-1160-40DD-BCF5-575BAC903B14}">
            <x14:dataBar minLength="0" maxLength="100" border="1" negativeBarBorderColorSameAsPositive="0">
              <x14:cfvo type="autoMin"/>
              <x14:cfvo type="autoMax"/>
              <x14:borderColor rgb="FF638EC6"/>
              <x14:negativeFillColor rgb="FFFF0000"/>
              <x14:negativeBorderColor rgb="FFFF0000"/>
              <x14:axisColor rgb="FF000000"/>
            </x14:dataBar>
          </x14:cfRule>
          <xm:sqref>I121:I131</xm:sqref>
        </x14:conditionalFormatting>
        <x14:conditionalFormatting xmlns:xm="http://schemas.microsoft.com/office/excel/2006/main">
          <x14:cfRule type="dataBar" id="{3721FA36-4A71-4024-B4A8-763190545A5A}">
            <x14:dataBar minLength="0" maxLength="100" border="1" negativeBarBorderColorSameAsPositive="0">
              <x14:cfvo type="autoMin"/>
              <x14:cfvo type="autoMax"/>
              <x14:borderColor rgb="FF638EC6"/>
              <x14:negativeFillColor rgb="FFFF0000"/>
              <x14:negativeBorderColor rgb="FFFF0000"/>
              <x14:axisColor rgb="FF000000"/>
            </x14:dataBar>
          </x14:cfRule>
          <xm:sqref>I136:I145</xm:sqref>
        </x14:conditionalFormatting>
        <x14:conditionalFormatting xmlns:xm="http://schemas.microsoft.com/office/excel/2006/main">
          <x14:cfRule type="dataBar" id="{7F687827-7B91-4C0C-B6C9-8C7E997D1748}">
            <x14:dataBar minLength="0" maxLength="100" border="1" negativeBarBorderColorSameAsPositive="0">
              <x14:cfvo type="autoMin"/>
              <x14:cfvo type="autoMax"/>
              <x14:borderColor rgb="FF638EC6"/>
              <x14:negativeFillColor rgb="FFFF0000"/>
              <x14:negativeBorderColor rgb="FFFF0000"/>
              <x14:axisColor rgb="FF000000"/>
            </x14:dataBar>
          </x14:cfRule>
          <xm:sqref>I150:I165</xm:sqref>
        </x14:conditionalFormatting>
        <x14:conditionalFormatting xmlns:xm="http://schemas.microsoft.com/office/excel/2006/main">
          <x14:cfRule type="dataBar" id="{081FCEF2-4652-4E7B-8C39-C454E1289176}">
            <x14:dataBar minLength="0" maxLength="100" border="1" negativeBarBorderColorSameAsPositive="0">
              <x14:cfvo type="autoMin"/>
              <x14:cfvo type="autoMax"/>
              <x14:borderColor rgb="FF638EC6"/>
              <x14:negativeFillColor rgb="FFFF0000"/>
              <x14:negativeBorderColor rgb="FFFF0000"/>
              <x14:axisColor rgb="FF000000"/>
            </x14:dataBar>
          </x14:cfRule>
          <xm:sqref>I170:I171</xm:sqref>
        </x14:conditionalFormatting>
        <x14:conditionalFormatting xmlns:xm="http://schemas.microsoft.com/office/excel/2006/main">
          <x14:cfRule type="dataBar" id="{3EBF004E-FE4E-49E7-A9AC-267522633CAF}">
            <x14:dataBar minLength="0" maxLength="100" border="1" negativeBarBorderColorSameAsPositive="0">
              <x14:cfvo type="autoMin"/>
              <x14:cfvo type="autoMax"/>
              <x14:borderColor rgb="FF638EC6"/>
              <x14:negativeFillColor rgb="FFFF0000"/>
              <x14:negativeBorderColor rgb="FFFF0000"/>
              <x14:axisColor rgb="FF000000"/>
            </x14:dataBar>
          </x14:cfRule>
          <xm:sqref>I176:I181</xm:sqref>
        </x14:conditionalFormatting>
        <x14:conditionalFormatting xmlns:xm="http://schemas.microsoft.com/office/excel/2006/main">
          <x14:cfRule type="dataBar" id="{35C74901-F1EC-42A9-AEA6-51B6B98EB1F6}">
            <x14:dataBar minLength="0" maxLength="100" border="1" negativeBarBorderColorSameAsPositive="0">
              <x14:cfvo type="autoMin"/>
              <x14:cfvo type="autoMax"/>
              <x14:borderColor rgb="FF638EC6"/>
              <x14:negativeFillColor rgb="FFFF0000"/>
              <x14:negativeBorderColor rgb="FFFF0000"/>
              <x14:axisColor rgb="FF000000"/>
            </x14:dataBar>
          </x14:cfRule>
          <xm:sqref>I186:I201</xm:sqref>
        </x14:conditionalFormatting>
        <x14:conditionalFormatting xmlns:xm="http://schemas.microsoft.com/office/excel/2006/main">
          <x14:cfRule type="dataBar" id="{406C64BC-0933-4257-A125-3D708946615C}">
            <x14:dataBar minLength="0" maxLength="100" border="1" negativeBarBorderColorSameAsPositive="0">
              <x14:cfvo type="autoMin"/>
              <x14:cfvo type="autoMax"/>
              <x14:borderColor rgb="FF638EC6"/>
              <x14:negativeFillColor rgb="FFFF0000"/>
              <x14:negativeBorderColor rgb="FFFF0000"/>
              <x14:axisColor rgb="FF000000"/>
            </x14:dataBar>
          </x14:cfRule>
          <xm:sqref>I206:I208</xm:sqref>
        </x14:conditionalFormatting>
        <x14:conditionalFormatting xmlns:xm="http://schemas.microsoft.com/office/excel/2006/main">
          <x14:cfRule type="dataBar" id="{7F8F98D2-DDAD-4E96-83F4-95478CDE118F}">
            <x14:dataBar minLength="0" maxLength="100" border="1" negativeBarBorderColorSameAsPositive="0">
              <x14:cfvo type="autoMin"/>
              <x14:cfvo type="autoMax"/>
              <x14:borderColor rgb="FF638EC6"/>
              <x14:negativeFillColor rgb="FFFF0000"/>
              <x14:negativeBorderColor rgb="FFFF0000"/>
              <x14:axisColor rgb="FF000000"/>
            </x14:dataBar>
          </x14:cfRule>
          <xm:sqref>I213:I221</xm:sqref>
        </x14:conditionalFormatting>
        <x14:conditionalFormatting xmlns:xm="http://schemas.microsoft.com/office/excel/2006/main">
          <x14:cfRule type="dataBar" id="{A07D5218-FAB4-4543-8BBE-5BC2A77B1A04}">
            <x14:dataBar minLength="0" maxLength="100" border="1" negativeBarBorderColorSameAsPositive="0">
              <x14:cfvo type="autoMin"/>
              <x14:cfvo type="autoMax"/>
              <x14:borderColor rgb="FF638EC6"/>
              <x14:negativeFillColor rgb="FFFF0000"/>
              <x14:negativeBorderColor rgb="FFFF0000"/>
              <x14:axisColor rgb="FF000000"/>
            </x14:dataBar>
          </x14:cfRule>
          <xm:sqref>I226:I241</xm:sqref>
        </x14:conditionalFormatting>
        <x14:conditionalFormatting xmlns:xm="http://schemas.microsoft.com/office/excel/2006/main">
          <x14:cfRule type="dataBar" id="{83D8D33D-5350-471F-B492-EC9432483CB3}">
            <x14:dataBar minLength="0" maxLength="100" border="1" negativeBarBorderColorSameAsPositive="0">
              <x14:cfvo type="autoMin"/>
              <x14:cfvo type="autoMax"/>
              <x14:borderColor rgb="FF63C384"/>
              <x14:negativeFillColor rgb="FFFF0000"/>
              <x14:negativeBorderColor rgb="FFFF0000"/>
              <x14:axisColor rgb="FF000000"/>
            </x14:dataBar>
          </x14:cfRule>
          <xm:sqref>J59</xm:sqref>
        </x14:conditionalFormatting>
        <x14:conditionalFormatting xmlns:xm="http://schemas.microsoft.com/office/excel/2006/main">
          <x14:cfRule type="dataBar" id="{D9AEEBC3-89CB-4446-A66E-E0B6190428E9}">
            <x14:dataBar minLength="0" maxLength="100" border="1" negativeBarBorderColorSameAsPositive="0">
              <x14:cfvo type="autoMin"/>
              <x14:cfvo type="autoMax"/>
              <x14:borderColor rgb="FF63C384"/>
              <x14:negativeFillColor rgb="FFFF0000"/>
              <x14:negativeBorderColor rgb="FFFF0000"/>
              <x14:axisColor rgb="FF000000"/>
            </x14:dataBar>
          </x14:cfRule>
          <xm:sqref>J60:J61 J63:J64 J66:J69</xm:sqref>
        </x14:conditionalFormatting>
        <x14:conditionalFormatting xmlns:xm="http://schemas.microsoft.com/office/excel/2006/main">
          <x14:cfRule type="dataBar" id="{3176018A-C423-4BC6-A940-32E95DFFA888}">
            <x14:dataBar minLength="0" maxLength="100" border="1" negativeBarBorderColorSameAsPositive="0">
              <x14:cfvo type="autoMin"/>
              <x14:cfvo type="autoMax"/>
              <x14:borderColor rgb="FF63C384"/>
              <x14:negativeFillColor rgb="FFFF0000"/>
              <x14:negativeBorderColor rgb="FFFF0000"/>
              <x14:axisColor rgb="FF000000"/>
            </x14:dataBar>
          </x14:cfRule>
          <xm:sqref>J62</xm:sqref>
        </x14:conditionalFormatting>
        <x14:conditionalFormatting xmlns:xm="http://schemas.microsoft.com/office/excel/2006/main">
          <x14:cfRule type="dataBar" id="{F504BDE1-ABBA-402E-9CC4-7A902F6F4BB3}">
            <x14:dataBar minLength="0" maxLength="100" border="1" negativeBarBorderColorSameAsPositive="0">
              <x14:cfvo type="autoMin"/>
              <x14:cfvo type="autoMax"/>
              <x14:borderColor rgb="FF63C384"/>
              <x14:negativeFillColor rgb="FFFF0000"/>
              <x14:negativeBorderColor rgb="FFFF0000"/>
              <x14:axisColor rgb="FF000000"/>
            </x14:dataBar>
          </x14:cfRule>
          <xm:sqref>J65</xm:sqref>
        </x14:conditionalFormatting>
        <x14:conditionalFormatting xmlns:xm="http://schemas.microsoft.com/office/excel/2006/main">
          <x14:cfRule type="dataBar" id="{B677B334-4F45-4C2A-9D19-22C673CA1077}">
            <x14:dataBar minLength="0" maxLength="100" border="1" negativeBarBorderColorSameAsPositive="0">
              <x14:cfvo type="autoMin"/>
              <x14:cfvo type="autoMax"/>
              <x14:borderColor rgb="FF63C384"/>
              <x14:negativeFillColor rgb="FFFF0000"/>
              <x14:negativeBorderColor rgb="FFFF0000"/>
              <x14:axisColor rgb="FF000000"/>
            </x14:dataBar>
          </x14:cfRule>
          <xm:sqref>J73:J83</xm:sqref>
        </x14:conditionalFormatting>
        <x14:conditionalFormatting xmlns:xm="http://schemas.microsoft.com/office/excel/2006/main">
          <x14:cfRule type="dataBar" id="{CCC2BBF7-9C3A-4B5E-BF62-2B27BD178EFC}">
            <x14:dataBar minLength="0" maxLength="100" border="1" negativeBarBorderColorSameAsPositive="0">
              <x14:cfvo type="autoMin"/>
              <x14:cfvo type="autoMax"/>
              <x14:borderColor rgb="FF63C384"/>
              <x14:negativeFillColor rgb="FFFF0000"/>
              <x14:negativeBorderColor rgb="FFFF0000"/>
              <x14:axisColor rgb="FF000000"/>
            </x14:dataBar>
          </x14:cfRule>
          <xm:sqref>J87:J97</xm:sqref>
        </x14:conditionalFormatting>
        <x14:conditionalFormatting xmlns:xm="http://schemas.microsoft.com/office/excel/2006/main">
          <x14:cfRule type="dataBar" id="{F2C3A9B8-345B-4347-B756-574F74A226BA}">
            <x14:dataBar minLength="0" maxLength="100" border="1" negativeBarBorderColorSameAsPositive="0">
              <x14:cfvo type="autoMin"/>
              <x14:cfvo type="autoMax"/>
              <x14:borderColor rgb="FF63C384"/>
              <x14:negativeFillColor rgb="FFFF0000"/>
              <x14:negativeBorderColor rgb="FFFF0000"/>
              <x14:axisColor rgb="FF000000"/>
            </x14:dataBar>
          </x14:cfRule>
          <xm:sqref>J101:J117</xm:sqref>
        </x14:conditionalFormatting>
        <x14:conditionalFormatting xmlns:xm="http://schemas.microsoft.com/office/excel/2006/main">
          <x14:cfRule type="dataBar" id="{A9A076FB-291E-4422-9CFE-454E068A8167}">
            <x14:dataBar minLength="0" maxLength="100" border="1" negativeBarBorderColorSameAsPositive="0">
              <x14:cfvo type="autoMin"/>
              <x14:cfvo type="autoMax"/>
              <x14:borderColor rgb="FF63C384"/>
              <x14:negativeFillColor rgb="FFFF0000"/>
              <x14:negativeBorderColor rgb="FFFF0000"/>
              <x14:axisColor rgb="FF000000"/>
            </x14:dataBar>
          </x14:cfRule>
          <xm:sqref>J121:J132</xm:sqref>
        </x14:conditionalFormatting>
        <x14:conditionalFormatting xmlns:xm="http://schemas.microsoft.com/office/excel/2006/main">
          <x14:cfRule type="dataBar" id="{1F2E1D95-06F5-4C91-B665-898CFFF24DE1}">
            <x14:dataBar minLength="0" maxLength="100" border="1" negativeBarBorderColorSameAsPositive="0">
              <x14:cfvo type="autoMin"/>
              <x14:cfvo type="autoMax"/>
              <x14:borderColor rgb="FF63C384"/>
              <x14:negativeFillColor rgb="FFFF0000"/>
              <x14:negativeBorderColor rgb="FFFF0000"/>
              <x14:axisColor rgb="FF000000"/>
            </x14:dataBar>
          </x14:cfRule>
          <xm:sqref>J136:J146</xm:sqref>
        </x14:conditionalFormatting>
        <x14:conditionalFormatting xmlns:xm="http://schemas.microsoft.com/office/excel/2006/main">
          <x14:cfRule type="dataBar" id="{8F626D61-5DAA-442A-81A4-3A5ADB14FDB2}">
            <x14:dataBar minLength="0" maxLength="100" border="1" negativeBarBorderColorSameAsPositive="0">
              <x14:cfvo type="autoMin"/>
              <x14:cfvo type="autoMax"/>
              <x14:borderColor rgb="FF63C384"/>
              <x14:negativeFillColor rgb="FFFF0000"/>
              <x14:negativeBorderColor rgb="FFFF0000"/>
              <x14:axisColor rgb="FF000000"/>
            </x14:dataBar>
          </x14:cfRule>
          <xm:sqref>J150:J166</xm:sqref>
        </x14:conditionalFormatting>
        <x14:conditionalFormatting xmlns:xm="http://schemas.microsoft.com/office/excel/2006/main">
          <x14:cfRule type="dataBar" id="{3BF6DC28-36FB-4CA9-B057-366BCB732C87}">
            <x14:dataBar minLength="0" maxLength="100" border="1" negativeBarBorderColorSameAsPositive="0">
              <x14:cfvo type="autoMin"/>
              <x14:cfvo type="autoMax"/>
              <x14:borderColor rgb="FF63C384"/>
              <x14:negativeFillColor rgb="FFFF0000"/>
              <x14:negativeBorderColor rgb="FFFF0000"/>
              <x14:axisColor rgb="FF000000"/>
            </x14:dataBar>
          </x14:cfRule>
          <xm:sqref>J170:J172</xm:sqref>
        </x14:conditionalFormatting>
        <x14:conditionalFormatting xmlns:xm="http://schemas.microsoft.com/office/excel/2006/main">
          <x14:cfRule type="dataBar" id="{79A70345-8371-4B84-8D2A-9F2A0CBD4F2D}">
            <x14:dataBar minLength="0" maxLength="100" border="1" negativeBarBorderColorSameAsPositive="0">
              <x14:cfvo type="autoMin"/>
              <x14:cfvo type="autoMax"/>
              <x14:borderColor rgb="FF63C384"/>
              <x14:negativeFillColor rgb="FFFF0000"/>
              <x14:negativeBorderColor rgb="FFFF0000"/>
              <x14:axisColor rgb="FF000000"/>
            </x14:dataBar>
          </x14:cfRule>
          <xm:sqref>J176:J182</xm:sqref>
        </x14:conditionalFormatting>
        <x14:conditionalFormatting xmlns:xm="http://schemas.microsoft.com/office/excel/2006/main">
          <x14:cfRule type="dataBar" id="{66F1AF9F-7703-465C-9659-97282D3A590B}">
            <x14:dataBar minLength="0" maxLength="100" border="1" negativeBarBorderColorSameAsPositive="0">
              <x14:cfvo type="autoMin"/>
              <x14:cfvo type="autoMax"/>
              <x14:borderColor rgb="FF63C384"/>
              <x14:negativeFillColor rgb="FFFF0000"/>
              <x14:negativeBorderColor rgb="FFFF0000"/>
              <x14:axisColor rgb="FF000000"/>
            </x14:dataBar>
          </x14:cfRule>
          <xm:sqref>J186:J202</xm:sqref>
        </x14:conditionalFormatting>
        <x14:conditionalFormatting xmlns:xm="http://schemas.microsoft.com/office/excel/2006/main">
          <x14:cfRule type="dataBar" id="{05FDF958-83B0-46F6-8B48-1CB7D5DA97CF}">
            <x14:dataBar minLength="0" maxLength="100" border="1" negativeBarBorderColorSameAsPositive="0">
              <x14:cfvo type="autoMin"/>
              <x14:cfvo type="autoMax"/>
              <x14:borderColor rgb="FF63C384"/>
              <x14:negativeFillColor rgb="FFFF0000"/>
              <x14:negativeBorderColor rgb="FFFF0000"/>
              <x14:axisColor rgb="FF000000"/>
            </x14:dataBar>
          </x14:cfRule>
          <xm:sqref>J206:J209</xm:sqref>
        </x14:conditionalFormatting>
        <x14:conditionalFormatting xmlns:xm="http://schemas.microsoft.com/office/excel/2006/main">
          <x14:cfRule type="dataBar" id="{F3D29F81-DE88-48DA-8D64-849D360AD63B}">
            <x14:dataBar minLength="0" maxLength="100" border="1" negativeBarBorderColorSameAsPositive="0">
              <x14:cfvo type="autoMin"/>
              <x14:cfvo type="autoMax"/>
              <x14:borderColor rgb="FF63C384"/>
              <x14:negativeFillColor rgb="FFFF0000"/>
              <x14:negativeBorderColor rgb="FFFF0000"/>
              <x14:axisColor rgb="FF000000"/>
            </x14:dataBar>
          </x14:cfRule>
          <xm:sqref>J213:J222</xm:sqref>
        </x14:conditionalFormatting>
        <x14:conditionalFormatting xmlns:xm="http://schemas.microsoft.com/office/excel/2006/main">
          <x14:cfRule type="dataBar" id="{ECABDD8C-CDA1-4BCB-9058-51740A460E84}">
            <x14:dataBar minLength="0" maxLength="100" border="1" negativeBarBorderColorSameAsPositive="0">
              <x14:cfvo type="autoMin"/>
              <x14:cfvo type="autoMax"/>
              <x14:borderColor rgb="FF63C384"/>
              <x14:negativeFillColor rgb="FFFF0000"/>
              <x14:negativeBorderColor rgb="FFFF0000"/>
              <x14:axisColor rgb="FF000000"/>
            </x14:dataBar>
          </x14:cfRule>
          <xm:sqref>J226:J242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F137"/>
  <sheetViews>
    <sheetView showGridLines="0" zoomScaleNormal="100" workbookViewId="0">
      <pane ySplit="3" topLeftCell="A4" activePane="bottomLeft" state="frozen"/>
      <selection pane="bottomLeft"/>
    </sheetView>
  </sheetViews>
  <sheetFormatPr baseColWidth="10" defaultColWidth="10.85546875" defaultRowHeight="15" x14ac:dyDescent="0.25"/>
  <cols>
    <col min="1" max="1" width="55" style="58" customWidth="1"/>
    <col min="2" max="2" width="11.5703125" style="194" bestFit="1" customWidth="1"/>
    <col min="3" max="6" width="15.5703125" style="58" customWidth="1"/>
    <col min="7" max="7" width="11.85546875" style="58" bestFit="1" customWidth="1"/>
    <col min="8" max="16384" width="10.85546875" style="58"/>
  </cols>
  <sheetData>
    <row r="1" spans="1:6" ht="21" x14ac:dyDescent="0.25">
      <c r="A1" s="81" t="s">
        <v>572</v>
      </c>
      <c r="B1" s="189"/>
    </row>
    <row r="2" spans="1:6" ht="18.75" x14ac:dyDescent="0.25">
      <c r="A2" s="59"/>
      <c r="B2" s="190"/>
    </row>
    <row r="3" spans="1:6" ht="36.75" customHeight="1" x14ac:dyDescent="0.25">
      <c r="A3" s="135" t="s">
        <v>109</v>
      </c>
      <c r="B3" s="136" t="s">
        <v>469</v>
      </c>
      <c r="C3" s="136" t="s">
        <v>573</v>
      </c>
      <c r="D3" s="136" t="s">
        <v>574</v>
      </c>
      <c r="E3" s="136" t="s">
        <v>575</v>
      </c>
      <c r="F3" s="136" t="s">
        <v>576</v>
      </c>
    </row>
    <row r="4" spans="1:6" x14ac:dyDescent="0.25">
      <c r="A4" s="71" t="s">
        <v>2</v>
      </c>
      <c r="B4" s="191"/>
      <c r="C4" s="99">
        <v>152439</v>
      </c>
      <c r="D4" s="99">
        <v>0</v>
      </c>
      <c r="E4" s="99">
        <v>106</v>
      </c>
      <c r="F4" s="99">
        <v>152545</v>
      </c>
    </row>
    <row r="5" spans="1:6" x14ac:dyDescent="0.25">
      <c r="A5" s="69" t="s">
        <v>470</v>
      </c>
      <c r="B5" s="192">
        <v>959</v>
      </c>
      <c r="C5" s="57">
        <v>94</v>
      </c>
      <c r="D5" s="57">
        <v>0</v>
      </c>
      <c r="E5" s="57">
        <v>0</v>
      </c>
      <c r="F5" s="57">
        <v>94</v>
      </c>
    </row>
    <row r="6" spans="1:6" x14ac:dyDescent="0.25">
      <c r="A6" s="69" t="s">
        <v>141</v>
      </c>
      <c r="B6" s="192">
        <v>382</v>
      </c>
      <c r="C6" s="57">
        <v>191</v>
      </c>
      <c r="D6" s="57">
        <v>0</v>
      </c>
      <c r="E6" s="57">
        <v>0</v>
      </c>
      <c r="F6" s="57">
        <v>191</v>
      </c>
    </row>
    <row r="7" spans="1:6" x14ac:dyDescent="0.25">
      <c r="A7" s="69" t="s">
        <v>471</v>
      </c>
      <c r="B7" s="192">
        <v>534</v>
      </c>
      <c r="C7" s="57">
        <v>323</v>
      </c>
      <c r="D7" s="57">
        <v>0</v>
      </c>
      <c r="E7" s="57">
        <v>0</v>
      </c>
      <c r="F7" s="57">
        <v>323</v>
      </c>
    </row>
    <row r="8" spans="1:6" x14ac:dyDescent="0.25">
      <c r="A8" s="69" t="s">
        <v>142</v>
      </c>
      <c r="B8" s="192">
        <v>456</v>
      </c>
      <c r="C8" s="57">
        <v>6221</v>
      </c>
      <c r="D8" s="57">
        <v>0</v>
      </c>
      <c r="E8" s="57">
        <v>0</v>
      </c>
      <c r="F8" s="57">
        <v>6221</v>
      </c>
    </row>
    <row r="9" spans="1:6" x14ac:dyDescent="0.25">
      <c r="A9" s="69" t="s">
        <v>143</v>
      </c>
      <c r="B9" s="192">
        <v>312</v>
      </c>
      <c r="C9" s="57">
        <v>5190</v>
      </c>
      <c r="D9" s="57">
        <v>0</v>
      </c>
      <c r="E9" s="57">
        <v>0</v>
      </c>
      <c r="F9" s="57">
        <v>5190</v>
      </c>
    </row>
    <row r="10" spans="1:6" x14ac:dyDescent="0.25">
      <c r="A10" s="69" t="s">
        <v>144</v>
      </c>
      <c r="B10" s="192">
        <v>218</v>
      </c>
      <c r="C10" s="57">
        <v>8890</v>
      </c>
      <c r="D10" s="57">
        <v>0</v>
      </c>
      <c r="E10" s="57">
        <v>0</v>
      </c>
      <c r="F10" s="57">
        <v>8890</v>
      </c>
    </row>
    <row r="11" spans="1:6" x14ac:dyDescent="0.25">
      <c r="A11" s="69" t="s">
        <v>318</v>
      </c>
      <c r="B11" s="192">
        <v>908</v>
      </c>
      <c r="C11" s="57">
        <v>526</v>
      </c>
      <c r="D11" s="57">
        <v>0</v>
      </c>
      <c r="E11" s="57">
        <v>0</v>
      </c>
      <c r="F11" s="57">
        <v>526</v>
      </c>
    </row>
    <row r="12" spans="1:6" x14ac:dyDescent="0.25">
      <c r="A12" s="69" t="s">
        <v>338</v>
      </c>
      <c r="B12" s="192">
        <v>902</v>
      </c>
      <c r="C12" s="57">
        <v>2816</v>
      </c>
      <c r="D12" s="57">
        <v>0</v>
      </c>
      <c r="E12" s="57">
        <v>0</v>
      </c>
      <c r="F12" s="57">
        <v>2816</v>
      </c>
    </row>
    <row r="13" spans="1:6" x14ac:dyDescent="0.25">
      <c r="A13" s="69" t="s">
        <v>339</v>
      </c>
      <c r="B13" s="192">
        <v>909</v>
      </c>
      <c r="C13" s="57">
        <v>402</v>
      </c>
      <c r="D13" s="57">
        <v>0</v>
      </c>
      <c r="E13" s="57">
        <v>0</v>
      </c>
      <c r="F13" s="57">
        <v>402</v>
      </c>
    </row>
    <row r="14" spans="1:6" x14ac:dyDescent="0.25">
      <c r="A14" s="69" t="s">
        <v>348</v>
      </c>
      <c r="B14" s="192">
        <v>919</v>
      </c>
      <c r="C14" s="57">
        <v>633</v>
      </c>
      <c r="D14" s="57">
        <v>0</v>
      </c>
      <c r="E14" s="57">
        <v>0</v>
      </c>
      <c r="F14" s="57">
        <v>633</v>
      </c>
    </row>
    <row r="15" spans="1:6" x14ac:dyDescent="0.25">
      <c r="A15" s="69" t="s">
        <v>299</v>
      </c>
      <c r="B15" s="192">
        <v>910</v>
      </c>
      <c r="C15" s="57">
        <v>1496</v>
      </c>
      <c r="D15" s="57">
        <v>0</v>
      </c>
      <c r="E15" s="57">
        <v>0</v>
      </c>
      <c r="F15" s="57">
        <v>1496</v>
      </c>
    </row>
    <row r="16" spans="1:6" x14ac:dyDescent="0.25">
      <c r="A16" s="69" t="s">
        <v>265</v>
      </c>
      <c r="B16" s="192">
        <v>916</v>
      </c>
      <c r="C16" s="57">
        <v>1886</v>
      </c>
      <c r="D16" s="57">
        <v>0</v>
      </c>
      <c r="E16" s="57">
        <v>0</v>
      </c>
      <c r="F16" s="57">
        <v>1886</v>
      </c>
    </row>
    <row r="17" spans="1:6" x14ac:dyDescent="0.25">
      <c r="A17" s="69" t="s">
        <v>300</v>
      </c>
      <c r="B17" s="192">
        <v>918</v>
      </c>
      <c r="C17" s="57">
        <v>644</v>
      </c>
      <c r="D17" s="57">
        <v>0</v>
      </c>
      <c r="E17" s="57">
        <v>0</v>
      </c>
      <c r="F17" s="57">
        <v>644</v>
      </c>
    </row>
    <row r="18" spans="1:6" x14ac:dyDescent="0.25">
      <c r="A18" s="69" t="s">
        <v>319</v>
      </c>
      <c r="B18" s="192">
        <v>917</v>
      </c>
      <c r="C18" s="57">
        <v>1596</v>
      </c>
      <c r="D18" s="57">
        <v>0</v>
      </c>
      <c r="E18" s="57">
        <v>0</v>
      </c>
      <c r="F18" s="57">
        <v>1596</v>
      </c>
    </row>
    <row r="19" spans="1:6" x14ac:dyDescent="0.25">
      <c r="A19" s="69" t="s">
        <v>320</v>
      </c>
      <c r="B19" s="192">
        <v>920</v>
      </c>
      <c r="C19" s="57">
        <v>182</v>
      </c>
      <c r="D19" s="57">
        <v>0</v>
      </c>
      <c r="E19" s="57">
        <v>0</v>
      </c>
      <c r="F19" s="57">
        <v>182</v>
      </c>
    </row>
    <row r="20" spans="1:6" x14ac:dyDescent="0.25">
      <c r="A20" s="69" t="s">
        <v>301</v>
      </c>
      <c r="B20" s="192">
        <v>906</v>
      </c>
      <c r="C20" s="57">
        <v>1778</v>
      </c>
      <c r="D20" s="57">
        <v>0</v>
      </c>
      <c r="E20" s="57">
        <v>0</v>
      </c>
      <c r="F20" s="57">
        <v>1778</v>
      </c>
    </row>
    <row r="21" spans="1:6" x14ac:dyDescent="0.25">
      <c r="A21" s="69" t="s">
        <v>321</v>
      </c>
      <c r="B21" s="192">
        <v>911</v>
      </c>
      <c r="C21" s="57">
        <v>1877</v>
      </c>
      <c r="D21" s="57">
        <v>0</v>
      </c>
      <c r="E21" s="57">
        <v>57</v>
      </c>
      <c r="F21" s="57">
        <v>1934</v>
      </c>
    </row>
    <row r="22" spans="1:6" x14ac:dyDescent="0.25">
      <c r="A22" s="69" t="s">
        <v>349</v>
      </c>
      <c r="B22" s="192">
        <v>915</v>
      </c>
      <c r="C22" s="57">
        <v>635</v>
      </c>
      <c r="D22" s="57">
        <v>0</v>
      </c>
      <c r="E22" s="57">
        <v>0</v>
      </c>
      <c r="F22" s="57">
        <v>635</v>
      </c>
    </row>
    <row r="23" spans="1:6" x14ac:dyDescent="0.25">
      <c r="A23" s="69" t="s">
        <v>350</v>
      </c>
      <c r="B23" s="192">
        <v>913</v>
      </c>
      <c r="C23" s="57">
        <v>1599</v>
      </c>
      <c r="D23" s="57">
        <v>0</v>
      </c>
      <c r="E23" s="57">
        <v>0</v>
      </c>
      <c r="F23" s="57">
        <v>1599</v>
      </c>
    </row>
    <row r="24" spans="1:6" x14ac:dyDescent="0.25">
      <c r="A24" s="69" t="s">
        <v>266</v>
      </c>
      <c r="B24" s="192">
        <v>914</v>
      </c>
      <c r="C24" s="57">
        <v>1447</v>
      </c>
      <c r="D24" s="57">
        <v>0</v>
      </c>
      <c r="E24" s="57">
        <v>0</v>
      </c>
      <c r="F24" s="57">
        <v>1447</v>
      </c>
    </row>
    <row r="25" spans="1:6" x14ac:dyDescent="0.25">
      <c r="A25" s="69" t="s">
        <v>322</v>
      </c>
      <c r="B25" s="192">
        <v>912</v>
      </c>
      <c r="C25" s="57">
        <v>959</v>
      </c>
      <c r="D25" s="57">
        <v>0</v>
      </c>
      <c r="E25" s="57">
        <v>0</v>
      </c>
      <c r="F25" s="57">
        <v>959</v>
      </c>
    </row>
    <row r="26" spans="1:6" x14ac:dyDescent="0.25">
      <c r="A26" s="69" t="s">
        <v>145</v>
      </c>
      <c r="B26" s="192">
        <v>435</v>
      </c>
      <c r="C26" s="57">
        <v>604</v>
      </c>
      <c r="D26" s="57">
        <v>0</v>
      </c>
      <c r="E26" s="57">
        <v>0</v>
      </c>
      <c r="F26" s="57">
        <v>604</v>
      </c>
    </row>
    <row r="27" spans="1:6" x14ac:dyDescent="0.25">
      <c r="A27" s="69" t="s">
        <v>302</v>
      </c>
      <c r="B27" s="192">
        <v>730</v>
      </c>
      <c r="C27" s="57">
        <v>211</v>
      </c>
      <c r="D27" s="57">
        <v>0</v>
      </c>
      <c r="E27" s="57">
        <v>0</v>
      </c>
      <c r="F27" s="57">
        <v>211</v>
      </c>
    </row>
    <row r="28" spans="1:6" x14ac:dyDescent="0.25">
      <c r="A28" s="69" t="s">
        <v>472</v>
      </c>
      <c r="B28" s="192">
        <v>426</v>
      </c>
      <c r="C28" s="57">
        <v>89</v>
      </c>
      <c r="D28" s="57">
        <v>0</v>
      </c>
      <c r="E28" s="57">
        <v>0</v>
      </c>
      <c r="F28" s="57">
        <v>89</v>
      </c>
    </row>
    <row r="29" spans="1:6" x14ac:dyDescent="0.25">
      <c r="A29" s="69" t="s">
        <v>61</v>
      </c>
      <c r="B29" s="192">
        <v>430</v>
      </c>
      <c r="C29" s="57">
        <v>50433</v>
      </c>
      <c r="D29" s="57">
        <v>0</v>
      </c>
      <c r="E29" s="57">
        <v>0</v>
      </c>
      <c r="F29" s="57">
        <v>50433</v>
      </c>
    </row>
    <row r="30" spans="1:6" x14ac:dyDescent="0.25">
      <c r="A30" s="69" t="s">
        <v>146</v>
      </c>
      <c r="B30" s="192">
        <v>214</v>
      </c>
      <c r="C30" s="57">
        <v>1036</v>
      </c>
      <c r="D30" s="57">
        <v>0</v>
      </c>
      <c r="E30" s="57">
        <v>0</v>
      </c>
      <c r="F30" s="57">
        <v>1036</v>
      </c>
    </row>
    <row r="31" spans="1:6" x14ac:dyDescent="0.25">
      <c r="A31" s="69" t="s">
        <v>147</v>
      </c>
      <c r="B31" s="192">
        <v>241</v>
      </c>
      <c r="C31" s="57">
        <v>76</v>
      </c>
      <c r="D31" s="57">
        <v>0</v>
      </c>
      <c r="E31" s="57">
        <v>0</v>
      </c>
      <c r="F31" s="57">
        <v>76</v>
      </c>
    </row>
    <row r="32" spans="1:6" x14ac:dyDescent="0.25">
      <c r="A32" s="69" t="s">
        <v>148</v>
      </c>
      <c r="B32" s="192">
        <v>328</v>
      </c>
      <c r="C32" s="57">
        <v>54</v>
      </c>
      <c r="D32" s="57">
        <v>0</v>
      </c>
      <c r="E32" s="57">
        <v>0</v>
      </c>
      <c r="F32" s="57">
        <v>54</v>
      </c>
    </row>
    <row r="33" spans="1:6" x14ac:dyDescent="0.25">
      <c r="A33" s="69" t="s">
        <v>149</v>
      </c>
      <c r="B33" s="192">
        <v>331</v>
      </c>
      <c r="C33" s="57">
        <v>44</v>
      </c>
      <c r="D33" s="57">
        <v>0</v>
      </c>
      <c r="E33" s="57">
        <v>0</v>
      </c>
      <c r="F33" s="57">
        <v>44</v>
      </c>
    </row>
    <row r="34" spans="1:6" x14ac:dyDescent="0.25">
      <c r="A34" s="69" t="s">
        <v>150</v>
      </c>
      <c r="B34" s="192">
        <v>257</v>
      </c>
      <c r="C34" s="57">
        <v>1219</v>
      </c>
      <c r="D34" s="57">
        <v>0</v>
      </c>
      <c r="E34" s="57">
        <v>0</v>
      </c>
      <c r="F34" s="57">
        <v>1219</v>
      </c>
    </row>
    <row r="35" spans="1:6" x14ac:dyDescent="0.25">
      <c r="A35" s="69" t="s">
        <v>151</v>
      </c>
      <c r="B35" s="192">
        <v>427</v>
      </c>
      <c r="C35" s="57">
        <v>563</v>
      </c>
      <c r="D35" s="57">
        <v>0</v>
      </c>
      <c r="E35" s="57">
        <v>0</v>
      </c>
      <c r="F35" s="57">
        <v>563</v>
      </c>
    </row>
    <row r="36" spans="1:6" x14ac:dyDescent="0.25">
      <c r="A36" s="69" t="s">
        <v>152</v>
      </c>
      <c r="B36" s="192">
        <v>450</v>
      </c>
      <c r="C36" s="57">
        <v>2022</v>
      </c>
      <c r="D36" s="57">
        <v>0</v>
      </c>
      <c r="E36" s="57">
        <v>0</v>
      </c>
      <c r="F36" s="57">
        <v>2022</v>
      </c>
    </row>
    <row r="37" spans="1:6" x14ac:dyDescent="0.25">
      <c r="A37" s="69" t="s">
        <v>153</v>
      </c>
      <c r="B37" s="192">
        <v>701</v>
      </c>
      <c r="C37" s="57">
        <v>1110</v>
      </c>
      <c r="D37" s="57">
        <v>0</v>
      </c>
      <c r="E37" s="57">
        <v>0</v>
      </c>
      <c r="F37" s="57">
        <v>1110</v>
      </c>
    </row>
    <row r="38" spans="1:6" x14ac:dyDescent="0.25">
      <c r="A38" s="69" t="s">
        <v>154</v>
      </c>
      <c r="B38" s="192">
        <v>319</v>
      </c>
      <c r="C38" s="57">
        <v>176</v>
      </c>
      <c r="D38" s="57">
        <v>0</v>
      </c>
      <c r="E38" s="57">
        <v>0</v>
      </c>
      <c r="F38" s="57">
        <v>176</v>
      </c>
    </row>
    <row r="39" spans="1:6" x14ac:dyDescent="0.25">
      <c r="A39" s="69" t="s">
        <v>155</v>
      </c>
      <c r="B39" s="192">
        <v>691</v>
      </c>
      <c r="C39" s="57">
        <v>14</v>
      </c>
      <c r="D39" s="57">
        <v>0</v>
      </c>
      <c r="E39" s="57">
        <v>0</v>
      </c>
      <c r="F39" s="57">
        <v>14</v>
      </c>
    </row>
    <row r="40" spans="1:6" x14ac:dyDescent="0.25">
      <c r="A40" s="69" t="s">
        <v>303</v>
      </c>
      <c r="B40" s="192">
        <v>629</v>
      </c>
      <c r="C40" s="57">
        <v>8316</v>
      </c>
      <c r="D40" s="57">
        <v>0</v>
      </c>
      <c r="E40" s="57">
        <v>0</v>
      </c>
      <c r="F40" s="57">
        <v>8316</v>
      </c>
    </row>
    <row r="41" spans="1:6" x14ac:dyDescent="0.25">
      <c r="A41" s="69" t="s">
        <v>304</v>
      </c>
      <c r="B41" s="192">
        <v>367</v>
      </c>
      <c r="C41" s="57">
        <v>7591</v>
      </c>
      <c r="D41" s="57">
        <v>0</v>
      </c>
      <c r="E41" s="57">
        <v>0</v>
      </c>
      <c r="F41" s="57">
        <v>7591</v>
      </c>
    </row>
    <row r="42" spans="1:6" x14ac:dyDescent="0.25">
      <c r="A42" s="69" t="s">
        <v>156</v>
      </c>
      <c r="B42" s="192">
        <v>260</v>
      </c>
      <c r="C42" s="57">
        <v>39184</v>
      </c>
      <c r="D42" s="57">
        <v>0</v>
      </c>
      <c r="E42" s="57">
        <v>49</v>
      </c>
      <c r="F42" s="57">
        <v>39233</v>
      </c>
    </row>
    <row r="43" spans="1:6" x14ac:dyDescent="0.25">
      <c r="A43" s="69" t="s">
        <v>157</v>
      </c>
      <c r="B43" s="192">
        <v>633</v>
      </c>
      <c r="C43" s="57">
        <v>312</v>
      </c>
      <c r="D43" s="57">
        <v>0</v>
      </c>
      <c r="E43" s="57">
        <v>0</v>
      </c>
      <c r="F43" s="57">
        <v>312</v>
      </c>
    </row>
    <row r="44" spans="1:6" x14ac:dyDescent="0.25">
      <c r="A44" s="71" t="s">
        <v>3</v>
      </c>
      <c r="B44" s="191"/>
      <c r="C44" s="99">
        <v>442924</v>
      </c>
      <c r="D44" s="57">
        <v>0</v>
      </c>
      <c r="E44" s="99">
        <v>1130</v>
      </c>
      <c r="F44" s="99">
        <v>444054</v>
      </c>
    </row>
    <row r="45" spans="1:6" x14ac:dyDescent="0.25">
      <c r="A45" s="69" t="s">
        <v>158</v>
      </c>
      <c r="B45" s="192">
        <v>99</v>
      </c>
      <c r="C45" s="57">
        <v>825</v>
      </c>
      <c r="D45" s="57">
        <v>0</v>
      </c>
      <c r="E45" s="57">
        <v>0</v>
      </c>
      <c r="F45" s="57">
        <v>825</v>
      </c>
    </row>
    <row r="46" spans="1:6" x14ac:dyDescent="0.25">
      <c r="A46" s="69" t="s">
        <v>62</v>
      </c>
      <c r="B46" s="192">
        <v>143</v>
      </c>
      <c r="C46" s="57">
        <v>81655</v>
      </c>
      <c r="D46" s="57">
        <v>0</v>
      </c>
      <c r="E46" s="57">
        <v>0</v>
      </c>
      <c r="F46" s="57">
        <v>81655</v>
      </c>
    </row>
    <row r="47" spans="1:6" x14ac:dyDescent="0.25">
      <c r="A47" s="69" t="s">
        <v>473</v>
      </c>
      <c r="B47" s="192">
        <v>144</v>
      </c>
      <c r="C47" s="57">
        <v>1963</v>
      </c>
      <c r="D47" s="57">
        <v>0</v>
      </c>
      <c r="E47" s="57">
        <v>0</v>
      </c>
      <c r="F47" s="57">
        <v>1963</v>
      </c>
    </row>
    <row r="48" spans="1:6" x14ac:dyDescent="0.25">
      <c r="A48" s="69" t="s">
        <v>305</v>
      </c>
      <c r="B48" s="192">
        <v>108</v>
      </c>
      <c r="C48" s="57">
        <v>329</v>
      </c>
      <c r="D48" s="57">
        <v>0</v>
      </c>
      <c r="E48" s="57">
        <v>0</v>
      </c>
      <c r="F48" s="57">
        <v>329</v>
      </c>
    </row>
    <row r="49" spans="1:6" x14ac:dyDescent="0.25">
      <c r="A49" s="69" t="s">
        <v>377</v>
      </c>
      <c r="B49" s="192">
        <v>951</v>
      </c>
      <c r="C49" s="57">
        <v>38</v>
      </c>
      <c r="D49" s="57">
        <v>0</v>
      </c>
      <c r="E49" s="57">
        <v>0</v>
      </c>
      <c r="F49" s="57">
        <v>38</v>
      </c>
    </row>
    <row r="50" spans="1:6" x14ac:dyDescent="0.25">
      <c r="A50" s="185" t="s">
        <v>159</v>
      </c>
      <c r="B50" s="193">
        <v>123</v>
      </c>
      <c r="C50" s="186">
        <v>21477</v>
      </c>
      <c r="D50" s="57">
        <v>0</v>
      </c>
      <c r="E50" s="57">
        <v>0</v>
      </c>
      <c r="F50" s="186">
        <v>21477</v>
      </c>
    </row>
    <row r="51" spans="1:6" x14ac:dyDescent="0.25">
      <c r="A51" s="69" t="s">
        <v>160</v>
      </c>
      <c r="B51" s="192">
        <v>176</v>
      </c>
      <c r="C51" s="57">
        <v>1565</v>
      </c>
      <c r="D51" s="57">
        <v>0</v>
      </c>
      <c r="E51" s="57">
        <v>0</v>
      </c>
      <c r="F51" s="57">
        <v>1565</v>
      </c>
    </row>
    <row r="52" spans="1:6" x14ac:dyDescent="0.25">
      <c r="A52" s="69" t="s">
        <v>161</v>
      </c>
      <c r="B52" s="192">
        <v>120</v>
      </c>
      <c r="C52" s="57">
        <v>2039</v>
      </c>
      <c r="D52" s="57">
        <v>0</v>
      </c>
      <c r="E52" s="57">
        <v>0</v>
      </c>
      <c r="F52" s="57">
        <v>2039</v>
      </c>
    </row>
    <row r="53" spans="1:6" x14ac:dyDescent="0.25">
      <c r="A53" s="69" t="s">
        <v>162</v>
      </c>
      <c r="B53" s="192">
        <v>139</v>
      </c>
      <c r="C53" s="57">
        <v>8776</v>
      </c>
      <c r="D53" s="57">
        <v>0</v>
      </c>
      <c r="E53" s="57">
        <v>0</v>
      </c>
      <c r="F53" s="57">
        <v>8776</v>
      </c>
    </row>
    <row r="54" spans="1:6" x14ac:dyDescent="0.25">
      <c r="A54" s="69" t="s">
        <v>63</v>
      </c>
      <c r="B54" s="192">
        <v>111</v>
      </c>
      <c r="C54" s="57">
        <v>108955</v>
      </c>
      <c r="D54" s="57">
        <v>0</v>
      </c>
      <c r="E54" s="57">
        <v>0</v>
      </c>
      <c r="F54" s="57">
        <v>108955</v>
      </c>
    </row>
    <row r="55" spans="1:6" x14ac:dyDescent="0.25">
      <c r="A55" s="69" t="s">
        <v>474</v>
      </c>
      <c r="B55" s="192">
        <v>137</v>
      </c>
      <c r="C55" s="57">
        <v>801</v>
      </c>
      <c r="D55" s="57">
        <v>0</v>
      </c>
      <c r="E55" s="57">
        <v>0</v>
      </c>
      <c r="F55" s="57">
        <v>801</v>
      </c>
    </row>
    <row r="56" spans="1:6" x14ac:dyDescent="0.25">
      <c r="A56" s="69" t="s">
        <v>378</v>
      </c>
      <c r="B56" s="192">
        <v>171</v>
      </c>
      <c r="C56" s="57">
        <v>7102</v>
      </c>
      <c r="D56" s="57">
        <v>0</v>
      </c>
      <c r="E56" s="57">
        <v>0</v>
      </c>
      <c r="F56" s="57">
        <v>7102</v>
      </c>
    </row>
    <row r="57" spans="1:6" x14ac:dyDescent="0.25">
      <c r="A57" s="69" t="s">
        <v>163</v>
      </c>
      <c r="B57" s="192">
        <v>104</v>
      </c>
      <c r="C57" s="57">
        <v>1895</v>
      </c>
      <c r="D57" s="57">
        <v>0</v>
      </c>
      <c r="E57" s="57">
        <v>0</v>
      </c>
      <c r="F57" s="57">
        <v>1895</v>
      </c>
    </row>
    <row r="58" spans="1:6" x14ac:dyDescent="0.25">
      <c r="A58" s="69" t="s">
        <v>306</v>
      </c>
      <c r="B58" s="192">
        <v>754</v>
      </c>
      <c r="C58" s="57">
        <v>143</v>
      </c>
      <c r="D58" s="57">
        <v>0</v>
      </c>
      <c r="E58" s="57">
        <v>0</v>
      </c>
      <c r="F58" s="57">
        <v>143</v>
      </c>
    </row>
    <row r="59" spans="1:6" x14ac:dyDescent="0.25">
      <c r="A59" s="69" t="s">
        <v>164</v>
      </c>
      <c r="B59" s="192">
        <v>129</v>
      </c>
      <c r="C59" s="57">
        <v>843</v>
      </c>
      <c r="D59" s="57">
        <v>0</v>
      </c>
      <c r="E59" s="57">
        <v>0</v>
      </c>
      <c r="F59" s="57">
        <v>843</v>
      </c>
    </row>
    <row r="60" spans="1:6" x14ac:dyDescent="0.25">
      <c r="A60" s="69" t="s">
        <v>475</v>
      </c>
      <c r="B60" s="192">
        <v>117</v>
      </c>
      <c r="C60" s="57">
        <v>32951</v>
      </c>
      <c r="D60" s="57">
        <v>0</v>
      </c>
      <c r="E60" s="57">
        <v>0</v>
      </c>
      <c r="F60" s="57">
        <v>32951</v>
      </c>
    </row>
    <row r="61" spans="1:6" x14ac:dyDescent="0.25">
      <c r="A61" s="69" t="s">
        <v>64</v>
      </c>
      <c r="B61" s="192">
        <v>100</v>
      </c>
      <c r="C61" s="57">
        <v>61410</v>
      </c>
      <c r="D61" s="57">
        <v>0</v>
      </c>
      <c r="E61" s="57">
        <v>0</v>
      </c>
      <c r="F61" s="57">
        <v>61410</v>
      </c>
    </row>
    <row r="62" spans="1:6" x14ac:dyDescent="0.25">
      <c r="A62" s="69" t="s">
        <v>165</v>
      </c>
      <c r="B62" s="192">
        <v>103</v>
      </c>
      <c r="C62" s="57">
        <v>502</v>
      </c>
      <c r="D62" s="57">
        <v>0</v>
      </c>
      <c r="E62" s="57">
        <v>0</v>
      </c>
      <c r="F62" s="57">
        <v>502</v>
      </c>
    </row>
    <row r="63" spans="1:6" x14ac:dyDescent="0.25">
      <c r="A63" s="69" t="s">
        <v>166</v>
      </c>
      <c r="B63" s="192">
        <v>676</v>
      </c>
      <c r="C63" s="57">
        <v>604</v>
      </c>
      <c r="D63" s="57">
        <v>0</v>
      </c>
      <c r="E63" s="57">
        <v>0</v>
      </c>
      <c r="F63" s="57">
        <v>604</v>
      </c>
    </row>
    <row r="64" spans="1:6" x14ac:dyDescent="0.25">
      <c r="A64" s="69" t="s">
        <v>167</v>
      </c>
      <c r="B64" s="192">
        <v>193</v>
      </c>
      <c r="C64" s="57">
        <v>822</v>
      </c>
      <c r="D64" s="57">
        <v>0</v>
      </c>
      <c r="E64" s="57">
        <v>0</v>
      </c>
      <c r="F64" s="57">
        <v>822</v>
      </c>
    </row>
    <row r="65" spans="1:6" x14ac:dyDescent="0.25">
      <c r="A65" s="69" t="s">
        <v>168</v>
      </c>
      <c r="B65" s="192">
        <v>113</v>
      </c>
      <c r="C65" s="57">
        <v>6035</v>
      </c>
      <c r="D65" s="57">
        <v>0</v>
      </c>
      <c r="E65" s="57">
        <v>0</v>
      </c>
      <c r="F65" s="57">
        <v>6035</v>
      </c>
    </row>
    <row r="66" spans="1:6" x14ac:dyDescent="0.25">
      <c r="A66" s="69" t="s">
        <v>307</v>
      </c>
      <c r="B66" s="192">
        <v>152</v>
      </c>
      <c r="C66" s="57">
        <v>51443</v>
      </c>
      <c r="D66" s="57">
        <v>0</v>
      </c>
      <c r="E66" s="57">
        <v>694</v>
      </c>
      <c r="F66" s="57">
        <v>52137</v>
      </c>
    </row>
    <row r="67" spans="1:6" x14ac:dyDescent="0.25">
      <c r="A67" s="69" t="s">
        <v>169</v>
      </c>
      <c r="B67" s="192">
        <v>101</v>
      </c>
      <c r="C67" s="57">
        <v>88</v>
      </c>
      <c r="D67" s="57">
        <v>0</v>
      </c>
      <c r="E67" s="57">
        <v>0</v>
      </c>
      <c r="F67" s="57">
        <v>88</v>
      </c>
    </row>
    <row r="68" spans="1:6" x14ac:dyDescent="0.25">
      <c r="A68" s="69" t="s">
        <v>170</v>
      </c>
      <c r="B68" s="192">
        <v>155</v>
      </c>
      <c r="C68" s="57">
        <v>3116</v>
      </c>
      <c r="D68" s="57">
        <v>0</v>
      </c>
      <c r="E68" s="57">
        <v>0</v>
      </c>
      <c r="F68" s="57">
        <v>3116</v>
      </c>
    </row>
    <row r="69" spans="1:6" x14ac:dyDescent="0.25">
      <c r="A69" s="69" t="s">
        <v>171</v>
      </c>
      <c r="B69" s="192">
        <v>693</v>
      </c>
      <c r="C69" s="57">
        <v>390</v>
      </c>
      <c r="D69" s="57">
        <v>0</v>
      </c>
      <c r="E69" s="57">
        <v>0</v>
      </c>
      <c r="F69" s="57">
        <v>390</v>
      </c>
    </row>
    <row r="70" spans="1:6" x14ac:dyDescent="0.25">
      <c r="A70" s="69" t="s">
        <v>172</v>
      </c>
      <c r="B70" s="192">
        <v>106</v>
      </c>
      <c r="C70" s="57">
        <v>14341</v>
      </c>
      <c r="D70" s="57">
        <v>0</v>
      </c>
      <c r="E70" s="57">
        <v>0</v>
      </c>
      <c r="F70" s="57">
        <v>14341</v>
      </c>
    </row>
    <row r="71" spans="1:6" x14ac:dyDescent="0.25">
      <c r="A71" s="69" t="s">
        <v>476</v>
      </c>
      <c r="B71" s="192">
        <v>162</v>
      </c>
      <c r="C71" s="57">
        <v>2371</v>
      </c>
      <c r="D71" s="57">
        <v>0</v>
      </c>
      <c r="E71" s="57">
        <v>151</v>
      </c>
      <c r="F71" s="57">
        <v>2522</v>
      </c>
    </row>
    <row r="72" spans="1:6" x14ac:dyDescent="0.25">
      <c r="A72" s="69" t="s">
        <v>173</v>
      </c>
      <c r="B72" s="192">
        <v>116</v>
      </c>
      <c r="C72" s="57">
        <v>30445</v>
      </c>
      <c r="D72" s="57">
        <v>0</v>
      </c>
      <c r="E72" s="57">
        <v>285</v>
      </c>
      <c r="F72" s="57">
        <v>30730</v>
      </c>
    </row>
    <row r="73" spans="1:6" x14ac:dyDescent="0.25">
      <c r="A73" s="71" t="s">
        <v>4</v>
      </c>
      <c r="B73" s="191"/>
      <c r="C73" s="99">
        <v>731981</v>
      </c>
      <c r="D73" s="99">
        <v>54696</v>
      </c>
      <c r="E73" s="99">
        <v>72363</v>
      </c>
      <c r="F73" s="99">
        <v>859040</v>
      </c>
    </row>
    <row r="74" spans="1:6" x14ac:dyDescent="0.25">
      <c r="A74" s="185" t="s">
        <v>174</v>
      </c>
      <c r="B74" s="193">
        <v>86</v>
      </c>
      <c r="C74" s="186">
        <v>33765</v>
      </c>
      <c r="D74" s="186">
        <v>6113</v>
      </c>
      <c r="E74" s="186">
        <v>15852</v>
      </c>
      <c r="F74" s="186">
        <v>55730</v>
      </c>
    </row>
    <row r="75" spans="1:6" x14ac:dyDescent="0.25">
      <c r="A75" s="69" t="s">
        <v>175</v>
      </c>
      <c r="B75" s="192">
        <v>89</v>
      </c>
      <c r="C75" s="57">
        <v>18583</v>
      </c>
      <c r="D75" s="57">
        <v>1449</v>
      </c>
      <c r="E75" s="57">
        <v>135</v>
      </c>
      <c r="F75" s="57">
        <v>20167</v>
      </c>
    </row>
    <row r="76" spans="1:6" x14ac:dyDescent="0.25">
      <c r="A76" s="69" t="s">
        <v>176</v>
      </c>
      <c r="B76" s="192">
        <v>11</v>
      </c>
      <c r="C76" s="57">
        <v>4130</v>
      </c>
      <c r="D76" s="57">
        <v>50</v>
      </c>
      <c r="E76" s="57">
        <v>27</v>
      </c>
      <c r="F76" s="57">
        <v>4207</v>
      </c>
    </row>
    <row r="77" spans="1:6" x14ac:dyDescent="0.25">
      <c r="A77" s="69" t="s">
        <v>177</v>
      </c>
      <c r="B77" s="192">
        <v>23</v>
      </c>
      <c r="C77" s="57">
        <v>10636</v>
      </c>
      <c r="D77" s="57">
        <v>2132</v>
      </c>
      <c r="E77" s="57">
        <v>1270</v>
      </c>
      <c r="F77" s="57">
        <v>14038</v>
      </c>
    </row>
    <row r="78" spans="1:6" x14ac:dyDescent="0.25">
      <c r="A78" s="69" t="s">
        <v>178</v>
      </c>
      <c r="B78" s="192">
        <v>38</v>
      </c>
      <c r="C78" s="57">
        <v>2665</v>
      </c>
      <c r="D78" s="57">
        <v>115</v>
      </c>
      <c r="E78" s="57">
        <v>43</v>
      </c>
      <c r="F78" s="57">
        <v>2823</v>
      </c>
    </row>
    <row r="79" spans="1:6" x14ac:dyDescent="0.25">
      <c r="A79" s="69" t="s">
        <v>179</v>
      </c>
      <c r="B79" s="192">
        <v>69</v>
      </c>
      <c r="C79" s="57">
        <v>7864</v>
      </c>
      <c r="D79" s="57">
        <v>849</v>
      </c>
      <c r="E79" s="57">
        <v>247</v>
      </c>
      <c r="F79" s="57">
        <v>8960</v>
      </c>
    </row>
    <row r="80" spans="1:6" x14ac:dyDescent="0.25">
      <c r="A80" s="69" t="s">
        <v>180</v>
      </c>
      <c r="B80" s="192">
        <v>20</v>
      </c>
      <c r="C80" s="57">
        <v>59286</v>
      </c>
      <c r="D80" s="57">
        <v>6621</v>
      </c>
      <c r="E80" s="57">
        <v>6478</v>
      </c>
      <c r="F80" s="57">
        <v>72385</v>
      </c>
    </row>
    <row r="81" spans="1:6" x14ac:dyDescent="0.25">
      <c r="A81" s="69" t="s">
        <v>181</v>
      </c>
      <c r="B81" s="192">
        <v>81</v>
      </c>
      <c r="C81" s="57">
        <v>9779</v>
      </c>
      <c r="D81" s="57">
        <v>40</v>
      </c>
      <c r="E81" s="57">
        <v>0</v>
      </c>
      <c r="F81" s="57">
        <v>9819</v>
      </c>
    </row>
    <row r="82" spans="1:6" x14ac:dyDescent="0.25">
      <c r="A82" s="69" t="s">
        <v>182</v>
      </c>
      <c r="B82" s="192">
        <v>90</v>
      </c>
      <c r="C82" s="57">
        <v>17200</v>
      </c>
      <c r="D82" s="57">
        <v>756</v>
      </c>
      <c r="E82" s="57">
        <v>169</v>
      </c>
      <c r="F82" s="57">
        <v>18125</v>
      </c>
    </row>
    <row r="83" spans="1:6" x14ac:dyDescent="0.25">
      <c r="A83" s="69" t="s">
        <v>183</v>
      </c>
      <c r="B83" s="192">
        <v>31</v>
      </c>
      <c r="C83" s="57">
        <v>31355</v>
      </c>
      <c r="D83" s="57">
        <v>1405</v>
      </c>
      <c r="E83" s="57">
        <v>9139</v>
      </c>
      <c r="F83" s="57">
        <v>41899</v>
      </c>
    </row>
    <row r="84" spans="1:6" x14ac:dyDescent="0.25">
      <c r="A84" s="69" t="s">
        <v>228</v>
      </c>
      <c r="B84" s="192">
        <v>50</v>
      </c>
      <c r="C84" s="57">
        <v>7565</v>
      </c>
      <c r="D84" s="57">
        <v>1055</v>
      </c>
      <c r="E84" s="57">
        <v>238</v>
      </c>
      <c r="F84" s="57">
        <v>8858</v>
      </c>
    </row>
    <row r="85" spans="1:6" x14ac:dyDescent="0.25">
      <c r="A85" s="69" t="s">
        <v>184</v>
      </c>
      <c r="B85" s="192">
        <v>7</v>
      </c>
      <c r="C85" s="57">
        <v>294</v>
      </c>
      <c r="D85" s="57">
        <v>0</v>
      </c>
      <c r="E85" s="57">
        <v>0</v>
      </c>
      <c r="F85" s="57">
        <v>294</v>
      </c>
    </row>
    <row r="86" spans="1:6" x14ac:dyDescent="0.25">
      <c r="A86" s="69" t="s">
        <v>308</v>
      </c>
      <c r="B86" s="192">
        <v>42</v>
      </c>
      <c r="C86" s="57">
        <v>5808</v>
      </c>
      <c r="D86" s="57">
        <v>19</v>
      </c>
      <c r="E86" s="57">
        <v>0</v>
      </c>
      <c r="F86" s="57">
        <v>5827</v>
      </c>
    </row>
    <row r="87" spans="1:6" x14ac:dyDescent="0.25">
      <c r="A87" s="69" t="s">
        <v>185</v>
      </c>
      <c r="B87" s="192">
        <v>93</v>
      </c>
      <c r="C87" s="57">
        <v>15668</v>
      </c>
      <c r="D87" s="57">
        <v>459</v>
      </c>
      <c r="E87" s="57">
        <v>449</v>
      </c>
      <c r="F87" s="57">
        <v>16576</v>
      </c>
    </row>
    <row r="88" spans="1:6" x14ac:dyDescent="0.25">
      <c r="A88" s="69" t="s">
        <v>186</v>
      </c>
      <c r="B88" s="192">
        <v>94</v>
      </c>
      <c r="C88" s="57">
        <v>11426</v>
      </c>
      <c r="D88" s="57">
        <v>278</v>
      </c>
      <c r="E88" s="57">
        <v>100</v>
      </c>
      <c r="F88" s="57">
        <v>11804</v>
      </c>
    </row>
    <row r="89" spans="1:6" x14ac:dyDescent="0.25">
      <c r="A89" s="69" t="s">
        <v>187</v>
      </c>
      <c r="B89" s="192">
        <v>92</v>
      </c>
      <c r="C89" s="57">
        <v>13284</v>
      </c>
      <c r="D89" s="57">
        <v>445</v>
      </c>
      <c r="E89" s="57">
        <v>239</v>
      </c>
      <c r="F89" s="57">
        <v>13968</v>
      </c>
    </row>
    <row r="90" spans="1:6" x14ac:dyDescent="0.25">
      <c r="A90" s="69" t="s">
        <v>188</v>
      </c>
      <c r="B90" s="192">
        <v>91</v>
      </c>
      <c r="C90" s="57">
        <v>11645</v>
      </c>
      <c r="D90" s="57">
        <v>470</v>
      </c>
      <c r="E90" s="57">
        <v>214</v>
      </c>
      <c r="F90" s="57">
        <v>12329</v>
      </c>
    </row>
    <row r="91" spans="1:6" x14ac:dyDescent="0.25">
      <c r="A91" s="69" t="s">
        <v>189</v>
      </c>
      <c r="B91" s="192">
        <v>4</v>
      </c>
      <c r="C91" s="57">
        <v>14877</v>
      </c>
      <c r="D91" s="57">
        <v>2088</v>
      </c>
      <c r="E91" s="57">
        <v>373</v>
      </c>
      <c r="F91" s="57">
        <v>17338</v>
      </c>
    </row>
    <row r="92" spans="1:6" x14ac:dyDescent="0.25">
      <c r="A92" s="69" t="s">
        <v>190</v>
      </c>
      <c r="B92" s="192">
        <v>46</v>
      </c>
      <c r="C92" s="57">
        <v>3842</v>
      </c>
      <c r="D92" s="57">
        <v>0</v>
      </c>
      <c r="E92" s="57">
        <v>0</v>
      </c>
      <c r="F92" s="57">
        <v>3842</v>
      </c>
    </row>
    <row r="93" spans="1:6" x14ac:dyDescent="0.25">
      <c r="A93" s="69" t="s">
        <v>191</v>
      </c>
      <c r="B93" s="192">
        <v>73</v>
      </c>
      <c r="C93" s="57">
        <v>7013</v>
      </c>
      <c r="D93" s="57">
        <v>141</v>
      </c>
      <c r="E93" s="57">
        <v>125</v>
      </c>
      <c r="F93" s="57">
        <v>7279</v>
      </c>
    </row>
    <row r="94" spans="1:6" x14ac:dyDescent="0.25">
      <c r="A94" s="69" t="s">
        <v>192</v>
      </c>
      <c r="B94" s="192">
        <v>26</v>
      </c>
      <c r="C94" s="57">
        <v>6616</v>
      </c>
      <c r="D94" s="57">
        <v>253</v>
      </c>
      <c r="E94" s="57">
        <v>24</v>
      </c>
      <c r="F94" s="57">
        <v>6893</v>
      </c>
    </row>
    <row r="95" spans="1:6" x14ac:dyDescent="0.25">
      <c r="A95" s="69" t="s">
        <v>193</v>
      </c>
      <c r="B95" s="192">
        <v>79</v>
      </c>
      <c r="C95" s="57">
        <v>8064</v>
      </c>
      <c r="D95" s="57">
        <v>50</v>
      </c>
      <c r="E95" s="57">
        <v>30</v>
      </c>
      <c r="F95" s="57">
        <v>8144</v>
      </c>
    </row>
    <row r="96" spans="1:6" x14ac:dyDescent="0.25">
      <c r="A96" s="69" t="s">
        <v>226</v>
      </c>
      <c r="B96" s="192">
        <v>896</v>
      </c>
      <c r="C96" s="57">
        <v>793</v>
      </c>
      <c r="D96" s="57">
        <v>0</v>
      </c>
      <c r="E96" s="57">
        <v>0</v>
      </c>
      <c r="F96" s="57">
        <v>793</v>
      </c>
    </row>
    <row r="97" spans="1:6" x14ac:dyDescent="0.25">
      <c r="A97" s="69" t="s">
        <v>194</v>
      </c>
      <c r="B97" s="192">
        <v>70</v>
      </c>
      <c r="C97" s="57">
        <v>37610</v>
      </c>
      <c r="D97" s="57">
        <v>6561</v>
      </c>
      <c r="E97" s="57">
        <v>10031</v>
      </c>
      <c r="F97" s="57">
        <v>54202</v>
      </c>
    </row>
    <row r="98" spans="1:6" x14ac:dyDescent="0.25">
      <c r="A98" s="69" t="s">
        <v>195</v>
      </c>
      <c r="B98" s="192">
        <v>87</v>
      </c>
      <c r="C98" s="57">
        <v>25370</v>
      </c>
      <c r="D98" s="57">
        <v>1937</v>
      </c>
      <c r="E98" s="57">
        <v>710</v>
      </c>
      <c r="F98" s="57">
        <v>28017</v>
      </c>
    </row>
    <row r="99" spans="1:6" x14ac:dyDescent="0.25">
      <c r="A99" s="69" t="s">
        <v>196</v>
      </c>
      <c r="B99" s="192">
        <v>76</v>
      </c>
      <c r="C99" s="57">
        <v>11093</v>
      </c>
      <c r="D99" s="57">
        <v>816</v>
      </c>
      <c r="E99" s="57">
        <v>256</v>
      </c>
      <c r="F99" s="57">
        <v>12165</v>
      </c>
    </row>
    <row r="100" spans="1:6" x14ac:dyDescent="0.25">
      <c r="A100" s="69" t="s">
        <v>197</v>
      </c>
      <c r="B100" s="192">
        <v>74</v>
      </c>
      <c r="C100" s="57">
        <v>7554</v>
      </c>
      <c r="D100" s="57">
        <v>209</v>
      </c>
      <c r="E100" s="57">
        <v>0</v>
      </c>
      <c r="F100" s="57">
        <v>7763</v>
      </c>
    </row>
    <row r="101" spans="1:6" x14ac:dyDescent="0.25">
      <c r="A101" s="69" t="s">
        <v>198</v>
      </c>
      <c r="B101" s="192">
        <v>19</v>
      </c>
      <c r="C101" s="57">
        <v>33106</v>
      </c>
      <c r="D101" s="57">
        <v>347</v>
      </c>
      <c r="E101" s="57">
        <v>1472</v>
      </c>
      <c r="F101" s="57">
        <v>34925</v>
      </c>
    </row>
    <row r="102" spans="1:6" x14ac:dyDescent="0.25">
      <c r="A102" s="69" t="s">
        <v>199</v>
      </c>
      <c r="B102" s="192">
        <v>34</v>
      </c>
      <c r="C102" s="57">
        <v>9115</v>
      </c>
      <c r="D102" s="57">
        <v>1889</v>
      </c>
      <c r="E102" s="57">
        <v>9591</v>
      </c>
      <c r="F102" s="57">
        <v>20595</v>
      </c>
    </row>
    <row r="103" spans="1:6" x14ac:dyDescent="0.25">
      <c r="A103" s="69" t="s">
        <v>200</v>
      </c>
      <c r="B103" s="192">
        <v>84</v>
      </c>
      <c r="C103" s="57">
        <v>11245</v>
      </c>
      <c r="D103" s="57">
        <v>145</v>
      </c>
      <c r="E103" s="57">
        <v>0</v>
      </c>
      <c r="F103" s="57">
        <v>11390</v>
      </c>
    </row>
    <row r="104" spans="1:6" x14ac:dyDescent="0.25">
      <c r="A104" s="69" t="s">
        <v>201</v>
      </c>
      <c r="B104" s="192">
        <v>77</v>
      </c>
      <c r="C104" s="57">
        <v>4382</v>
      </c>
      <c r="D104" s="57">
        <v>118</v>
      </c>
      <c r="E104" s="57">
        <v>0</v>
      </c>
      <c r="F104" s="57">
        <v>4500</v>
      </c>
    </row>
    <row r="105" spans="1:6" x14ac:dyDescent="0.25">
      <c r="A105" s="69" t="s">
        <v>227</v>
      </c>
      <c r="B105" s="192">
        <v>895</v>
      </c>
      <c r="C105" s="57">
        <v>8850</v>
      </c>
      <c r="D105" s="57">
        <v>90</v>
      </c>
      <c r="E105" s="57">
        <v>13</v>
      </c>
      <c r="F105" s="57">
        <v>8953</v>
      </c>
    </row>
    <row r="106" spans="1:6" x14ac:dyDescent="0.25">
      <c r="A106" s="69" t="s">
        <v>202</v>
      </c>
      <c r="B106" s="192">
        <v>83</v>
      </c>
      <c r="C106" s="57">
        <v>6521</v>
      </c>
      <c r="D106" s="57">
        <v>277</v>
      </c>
      <c r="E106" s="57">
        <v>0</v>
      </c>
      <c r="F106" s="57">
        <v>6798</v>
      </c>
    </row>
    <row r="107" spans="1:6" x14ac:dyDescent="0.25">
      <c r="A107" s="69" t="s">
        <v>203</v>
      </c>
      <c r="B107" s="192">
        <v>71</v>
      </c>
      <c r="C107" s="57">
        <v>22724</v>
      </c>
      <c r="D107" s="57">
        <v>1359</v>
      </c>
      <c r="E107" s="57">
        <v>992</v>
      </c>
      <c r="F107" s="57">
        <v>25075</v>
      </c>
    </row>
    <row r="108" spans="1:6" x14ac:dyDescent="0.25">
      <c r="A108" s="69" t="s">
        <v>323</v>
      </c>
      <c r="B108" s="192">
        <v>71</v>
      </c>
      <c r="C108" s="57">
        <v>26</v>
      </c>
      <c r="D108" s="57">
        <v>0</v>
      </c>
      <c r="E108" s="57">
        <v>0</v>
      </c>
      <c r="F108" s="57">
        <v>26</v>
      </c>
    </row>
    <row r="109" spans="1:6" x14ac:dyDescent="0.25">
      <c r="A109" s="69" t="s">
        <v>204</v>
      </c>
      <c r="B109" s="192">
        <v>78</v>
      </c>
      <c r="C109" s="57">
        <v>11555</v>
      </c>
      <c r="D109" s="57">
        <v>915</v>
      </c>
      <c r="E109" s="57">
        <v>184</v>
      </c>
      <c r="F109" s="57">
        <v>12654</v>
      </c>
    </row>
    <row r="110" spans="1:6" x14ac:dyDescent="0.25">
      <c r="A110" s="69" t="s">
        <v>205</v>
      </c>
      <c r="B110" s="192">
        <v>80</v>
      </c>
      <c r="C110" s="57">
        <v>10600</v>
      </c>
      <c r="D110" s="57">
        <v>248</v>
      </c>
      <c r="E110" s="57">
        <v>0</v>
      </c>
      <c r="F110" s="57">
        <v>10848</v>
      </c>
    </row>
    <row r="111" spans="1:6" x14ac:dyDescent="0.25">
      <c r="A111" s="69" t="s">
        <v>206</v>
      </c>
      <c r="B111" s="192">
        <v>72</v>
      </c>
      <c r="C111" s="57">
        <v>14980</v>
      </c>
      <c r="D111" s="57">
        <v>1100</v>
      </c>
      <c r="E111" s="57">
        <v>986</v>
      </c>
      <c r="F111" s="57">
        <v>17066</v>
      </c>
    </row>
    <row r="112" spans="1:6" x14ac:dyDescent="0.25">
      <c r="A112" s="69" t="s">
        <v>207</v>
      </c>
      <c r="B112" s="192">
        <v>22</v>
      </c>
      <c r="C112" s="57">
        <v>9526</v>
      </c>
      <c r="D112" s="57">
        <v>1236</v>
      </c>
      <c r="E112" s="57">
        <v>44</v>
      </c>
      <c r="F112" s="57">
        <v>10806</v>
      </c>
    </row>
    <row r="113" spans="1:6" x14ac:dyDescent="0.25">
      <c r="A113" s="69" t="s">
        <v>354</v>
      </c>
      <c r="B113" s="192">
        <v>9</v>
      </c>
      <c r="C113" s="57">
        <v>8882</v>
      </c>
      <c r="D113" s="57">
        <v>319</v>
      </c>
      <c r="E113" s="57">
        <v>95</v>
      </c>
      <c r="F113" s="57">
        <v>9296</v>
      </c>
    </row>
    <row r="114" spans="1:6" x14ac:dyDescent="0.25">
      <c r="A114" s="69" t="s">
        <v>208</v>
      </c>
      <c r="B114" s="192">
        <v>75</v>
      </c>
      <c r="C114" s="57">
        <v>11324</v>
      </c>
      <c r="D114" s="57">
        <v>472</v>
      </c>
      <c r="E114" s="57">
        <v>255</v>
      </c>
      <c r="F114" s="57">
        <v>12051</v>
      </c>
    </row>
    <row r="115" spans="1:6" x14ac:dyDescent="0.25">
      <c r="A115" s="69" t="s">
        <v>209</v>
      </c>
      <c r="B115" s="192">
        <v>45</v>
      </c>
      <c r="C115" s="57">
        <v>17654</v>
      </c>
      <c r="D115" s="57">
        <v>1046</v>
      </c>
      <c r="E115" s="57">
        <v>4308</v>
      </c>
      <c r="F115" s="57">
        <v>23008</v>
      </c>
    </row>
    <row r="116" spans="1:6" x14ac:dyDescent="0.25">
      <c r="A116" s="69" t="s">
        <v>210</v>
      </c>
      <c r="B116" s="192">
        <v>3</v>
      </c>
      <c r="C116" s="57">
        <v>18159</v>
      </c>
      <c r="D116" s="57">
        <v>1584</v>
      </c>
      <c r="E116" s="57">
        <v>2444</v>
      </c>
      <c r="F116" s="57">
        <v>22187</v>
      </c>
    </row>
    <row r="117" spans="1:6" x14ac:dyDescent="0.25">
      <c r="A117" s="69" t="s">
        <v>211</v>
      </c>
      <c r="B117" s="192">
        <v>2</v>
      </c>
      <c r="C117" s="57">
        <v>9022</v>
      </c>
      <c r="D117" s="57">
        <v>748</v>
      </c>
      <c r="E117" s="57">
        <v>698</v>
      </c>
      <c r="F117" s="57">
        <v>10468</v>
      </c>
    </row>
    <row r="118" spans="1:6" x14ac:dyDescent="0.25">
      <c r="A118" s="69" t="s">
        <v>212</v>
      </c>
      <c r="B118" s="192">
        <v>1</v>
      </c>
      <c r="C118" s="57">
        <v>4297</v>
      </c>
      <c r="D118" s="57">
        <v>174</v>
      </c>
      <c r="E118" s="57">
        <v>216</v>
      </c>
      <c r="F118" s="57">
        <v>4687</v>
      </c>
    </row>
    <row r="119" spans="1:6" x14ac:dyDescent="0.25">
      <c r="A119" s="69" t="s">
        <v>379</v>
      </c>
      <c r="B119" s="192">
        <v>16</v>
      </c>
      <c r="C119" s="57">
        <v>526</v>
      </c>
      <c r="D119" s="57">
        <v>2</v>
      </c>
      <c r="E119" s="57">
        <v>0</v>
      </c>
      <c r="F119" s="57">
        <v>528</v>
      </c>
    </row>
    <row r="120" spans="1:6" x14ac:dyDescent="0.25">
      <c r="A120" s="69" t="s">
        <v>213</v>
      </c>
      <c r="B120" s="192">
        <v>10</v>
      </c>
      <c r="C120" s="57">
        <v>22924</v>
      </c>
      <c r="D120" s="57">
        <v>1201</v>
      </c>
      <c r="E120" s="57">
        <v>839</v>
      </c>
      <c r="F120" s="57">
        <v>24964</v>
      </c>
    </row>
    <row r="121" spans="1:6" x14ac:dyDescent="0.25">
      <c r="A121" s="69" t="s">
        <v>214</v>
      </c>
      <c r="B121" s="192">
        <v>82</v>
      </c>
      <c r="C121" s="57">
        <v>3976</v>
      </c>
      <c r="D121" s="57">
        <v>191</v>
      </c>
      <c r="E121" s="57">
        <v>111</v>
      </c>
      <c r="F121" s="57">
        <v>4278</v>
      </c>
    </row>
    <row r="122" spans="1:6" x14ac:dyDescent="0.25">
      <c r="A122" s="69" t="s">
        <v>215</v>
      </c>
      <c r="B122" s="192">
        <v>68</v>
      </c>
      <c r="C122" s="57">
        <v>1206</v>
      </c>
      <c r="D122" s="57">
        <v>1282</v>
      </c>
      <c r="E122" s="57">
        <v>764</v>
      </c>
      <c r="F122" s="57">
        <v>3252</v>
      </c>
    </row>
    <row r="123" spans="1:6" x14ac:dyDescent="0.25">
      <c r="A123" s="69" t="s">
        <v>216</v>
      </c>
      <c r="B123" s="192">
        <v>39</v>
      </c>
      <c r="C123" s="57">
        <v>47555</v>
      </c>
      <c r="D123" s="57">
        <v>3397</v>
      </c>
      <c r="E123" s="57">
        <v>2022</v>
      </c>
      <c r="F123" s="57">
        <v>52974</v>
      </c>
    </row>
    <row r="124" spans="1:6" x14ac:dyDescent="0.25">
      <c r="A124" s="69" t="s">
        <v>217</v>
      </c>
      <c r="B124" s="192">
        <v>13</v>
      </c>
      <c r="C124" s="57">
        <v>27610</v>
      </c>
      <c r="D124" s="57">
        <v>602</v>
      </c>
      <c r="E124" s="57">
        <v>759</v>
      </c>
      <c r="F124" s="57">
        <v>28971</v>
      </c>
    </row>
    <row r="125" spans="1:6" x14ac:dyDescent="0.25">
      <c r="A125" s="69" t="s">
        <v>218</v>
      </c>
      <c r="B125" s="192">
        <v>17</v>
      </c>
      <c r="C125" s="57">
        <v>2629</v>
      </c>
      <c r="D125" s="57">
        <v>24</v>
      </c>
      <c r="E125" s="57">
        <v>0</v>
      </c>
      <c r="F125" s="57">
        <v>2653</v>
      </c>
    </row>
    <row r="126" spans="1:6" x14ac:dyDescent="0.25">
      <c r="A126" s="69" t="s">
        <v>219</v>
      </c>
      <c r="B126" s="192">
        <v>88</v>
      </c>
      <c r="C126" s="57">
        <v>21303</v>
      </c>
      <c r="D126" s="57">
        <v>1304</v>
      </c>
      <c r="E126" s="57">
        <v>351</v>
      </c>
      <c r="F126" s="57">
        <v>22958</v>
      </c>
    </row>
    <row r="127" spans="1:6" x14ac:dyDescent="0.25">
      <c r="A127" s="69" t="s">
        <v>220</v>
      </c>
      <c r="B127" s="192">
        <v>54</v>
      </c>
      <c r="C127" s="57">
        <v>338</v>
      </c>
      <c r="D127" s="57">
        <v>0</v>
      </c>
      <c r="E127" s="57">
        <v>0</v>
      </c>
      <c r="F127" s="57">
        <v>338</v>
      </c>
    </row>
    <row r="128" spans="1:6" x14ac:dyDescent="0.25">
      <c r="A128" s="69" t="s">
        <v>221</v>
      </c>
      <c r="B128" s="192">
        <v>85</v>
      </c>
      <c r="C128" s="57">
        <v>8161</v>
      </c>
      <c r="D128" s="57">
        <v>315</v>
      </c>
      <c r="E128" s="57">
        <v>70</v>
      </c>
      <c r="F128" s="57">
        <v>8546</v>
      </c>
    </row>
    <row r="129" spans="1:6" x14ac:dyDescent="0.25">
      <c r="A129" s="71" t="s">
        <v>0</v>
      </c>
      <c r="B129" s="191"/>
      <c r="C129" s="99">
        <v>1327344</v>
      </c>
      <c r="D129" s="99">
        <v>54696</v>
      </c>
      <c r="E129" s="99">
        <v>73599</v>
      </c>
      <c r="F129" s="99">
        <v>1455639</v>
      </c>
    </row>
    <row r="135" spans="1:6" x14ac:dyDescent="0.25">
      <c r="A135" s="83" t="s">
        <v>254</v>
      </c>
      <c r="B135" s="195"/>
    </row>
    <row r="137" spans="1:6" x14ac:dyDescent="0.25">
      <c r="A137" s="61" t="s">
        <v>243</v>
      </c>
      <c r="B137" s="196"/>
    </row>
  </sheetData>
  <sortState xmlns:xlrd2="http://schemas.microsoft.com/office/spreadsheetml/2017/richdata2" ref="A3:A138">
    <sortCondition ref="A3:A138"/>
  </sortState>
  <hyperlinks>
    <hyperlink ref="A137" location="Índice!C1" display="Volver al ïndice" xr:uid="{00000000-0004-0000-0B00-000000000000}"/>
  </hyperlinks>
  <pageMargins left="0.7" right="0.7" top="0.75" bottom="0.75" header="0.3" footer="0.3"/>
  <pageSetup paperSize="281"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D61B8470A32A674BA32B0F0843FD833D" ma:contentTypeVersion="13" ma:contentTypeDescription="Crear nuevo documento." ma:contentTypeScope="" ma:versionID="49ba5e8fcf27c43e696877a208ba16af">
  <xsd:schema xmlns:xsd="http://www.w3.org/2001/XMLSchema" xmlns:xs="http://www.w3.org/2001/XMLSchema" xmlns:p="http://schemas.microsoft.com/office/2006/metadata/properties" xmlns:ns3="9f4f5549-ab14-4416-aabc-6a2559eaf16c" xmlns:ns4="9034eac3-09e6-43ed-a7a7-3f7d0c8b832f" targetNamespace="http://schemas.microsoft.com/office/2006/metadata/properties" ma:root="true" ma:fieldsID="d2983ee26176b7ea893d1be23d514b8e" ns3:_="" ns4:_="">
    <xsd:import namespace="9f4f5549-ab14-4416-aabc-6a2559eaf16c"/>
    <xsd:import namespace="9034eac3-09e6-43ed-a7a7-3f7d0c8b832f"/>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4:SharedWithUsers" minOccurs="0"/>
                <xsd:element ref="ns4:SharedWithDetails" minOccurs="0"/>
                <xsd:element ref="ns4:SharingHintHash" minOccurs="0"/>
                <xsd:element ref="ns3:MediaServiceEventHashCode" minOccurs="0"/>
                <xsd:element ref="ns3:MediaServiceGenerationTime"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4f5549-ab14-4416-aabc-6a2559eaf16c"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034eac3-09e6-43ed-a7a7-3f7d0c8b832f" elementFormDefault="qualified">
    <xsd:import namespace="http://schemas.microsoft.com/office/2006/documentManagement/types"/>
    <xsd:import namespace="http://schemas.microsoft.com/office/infopath/2007/PartnerControls"/>
    <xsd:element name="SharedWithUsers" ma:index="14"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les de uso compartido" ma:internalName="SharedWithDetails" ma:readOnly="true">
      <xsd:simpleType>
        <xsd:restriction base="dms:Note">
          <xsd:maxLength value="255"/>
        </xsd:restriction>
      </xsd:simpleType>
    </xsd:element>
    <xsd:element name="SharingHintHash" ma:index="16"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085572-974B-4AEC-8ABB-74323EC0171C}">
  <ds:schemaRefs>
    <ds:schemaRef ds:uri="http://schemas.microsoft.com/sharepoint/v3/contenttype/forms"/>
  </ds:schemaRefs>
</ds:datastoreItem>
</file>

<file path=customXml/itemProps2.xml><?xml version="1.0" encoding="utf-8"?>
<ds:datastoreItem xmlns:ds="http://schemas.openxmlformats.org/officeDocument/2006/customXml" ds:itemID="{766A91E3-A5DC-4376-9542-ACF62E6D200F}">
  <ds:schemaRefs>
    <ds:schemaRef ds:uri="http://schemas.microsoft.com/office/2006/metadata/properties"/>
    <ds:schemaRef ds:uri="http://www.w3.org/2000/xmlns/"/>
    <ds:schemaRef ds:uri="http://schemas.microsoft.com/office/infopath/2007/PartnerControls"/>
  </ds:schemaRefs>
</ds:datastoreItem>
</file>

<file path=customXml/itemProps3.xml><?xml version="1.0" encoding="utf-8"?>
<ds:datastoreItem xmlns:ds="http://schemas.openxmlformats.org/officeDocument/2006/customXml" ds:itemID="{5DAD83EB-91CB-4C8F-85E7-DA3B98D18F5D}">
  <ds:schemaRefs>
    <ds:schemaRef ds:uri="http://schemas.microsoft.com/office/2006/metadata/contentType"/>
    <ds:schemaRef ds:uri="http://schemas.microsoft.com/office/2006/metadata/properties/metaAttributes"/>
    <ds:schemaRef ds:uri="http://www.w3.org/2000/xmlns/"/>
    <ds:schemaRef ds:uri="http://www.w3.org/2001/XMLSchema"/>
    <ds:schemaRef ds:uri="9f4f5549-ab14-4416-aabc-6a2559eaf16c"/>
    <ds:schemaRef ds:uri="9034eac3-09e6-43ed-a7a7-3f7d0c8b832f"/>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vt:i4>
      </vt:variant>
    </vt:vector>
  </HeadingPairs>
  <TitlesOfParts>
    <vt:vector size="13" baseType="lpstr">
      <vt:lpstr>Índice</vt:lpstr>
      <vt:lpstr>Matrícula Total 2025</vt:lpstr>
      <vt:lpstr>Evolución Matrícula Total</vt:lpstr>
      <vt:lpstr>Matrícula Pregrado 2025</vt:lpstr>
      <vt:lpstr>Evolución Matrícula Pregrado</vt:lpstr>
      <vt:lpstr>Matrícula Posgrado 2025</vt:lpstr>
      <vt:lpstr>Evolución Matrícula Posgrado</vt:lpstr>
      <vt:lpstr>Matrícula Postitulo 2025</vt:lpstr>
      <vt:lpstr>Evolución Matrícula Postítulo</vt:lpstr>
      <vt:lpstr>Matrícula PPOO</vt:lpstr>
      <vt:lpstr>Matrícula con Discapacidad</vt:lpstr>
      <vt:lpstr>Listado de instituciones 2025</vt:lpstr>
      <vt:lpstr>Matricula_Total_2019_por_tipo_de_institución_y_sexo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Rolando Meneses</dc:creator>
  <cp:lastModifiedBy>Rodrigo Rolando Meneses</cp:lastModifiedBy>
  <cp:lastPrinted>2013-08-26T19:15:47Z</cp:lastPrinted>
  <dcterms:created xsi:type="dcterms:W3CDTF">2012-05-11T20:13:46Z</dcterms:created>
  <dcterms:modified xsi:type="dcterms:W3CDTF">2025-06-10T20:43:57Z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0x010100D61B8470A32A674BA32B0F0843FD833D</vt:lpwstr>
  </property>
</Properties>
</file>