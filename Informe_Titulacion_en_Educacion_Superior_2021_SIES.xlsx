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CCEM\Desktop\SIES\Titulados 2021\"/>
    </mc:Choice>
  </mc:AlternateContent>
  <bookViews>
    <workbookView xWindow="0" yWindow="0" windowWidth="20490" windowHeight="7650" tabRatio="892"/>
  </bookViews>
  <sheets>
    <sheet name="Indice" sheetId="11" r:id="rId1"/>
    <sheet name="Titulación Total 2021" sheetId="2" r:id="rId2"/>
    <sheet name="Evolución Titulación Total" sheetId="3" r:id="rId3"/>
    <sheet name="Titulación Pregrado 2021" sheetId="4" r:id="rId4"/>
    <sheet name="Evolución Titulación Pregrado" sheetId="5" r:id="rId5"/>
    <sheet name="Titulación Posgrado 2021" sheetId="6" r:id="rId6"/>
    <sheet name="Evolución Titulación Posgrado" sheetId="7" r:id="rId7"/>
    <sheet name="Titulacion Postitulo 2021" sheetId="8" r:id="rId8"/>
    <sheet name="Evolucion Titulacion Postitulo" sheetId="9" r:id="rId9"/>
    <sheet name="Listado de Instituciones" sheetId="10" r:id="rId10"/>
  </sheets>
  <definedNames>
    <definedName name="_xlnm._FilterDatabase" localSheetId="4" hidden="1">'Evolución Titulación Pregrado'!$A$103:$R$123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4" i="10" l="1"/>
  <c r="D134" i="10"/>
  <c r="E134" i="10"/>
  <c r="B134" i="10"/>
  <c r="Q193" i="5"/>
  <c r="Q175" i="5"/>
  <c r="R175" i="5"/>
  <c r="P100" i="5"/>
  <c r="Q19" i="5"/>
  <c r="T19" i="5"/>
  <c r="S9" i="5"/>
  <c r="C105" i="4"/>
  <c r="D105" i="4"/>
  <c r="B105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89" i="4"/>
  <c r="C85" i="4"/>
  <c r="D85" i="4"/>
  <c r="E85" i="4"/>
  <c r="B85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69" i="4"/>
  <c r="E61" i="4"/>
  <c r="E62" i="4"/>
  <c r="E63" i="4"/>
  <c r="E64" i="4"/>
  <c r="E60" i="4"/>
  <c r="B65" i="4"/>
  <c r="C65" i="4"/>
  <c r="E65" i="4"/>
  <c r="D65" i="4"/>
  <c r="D47" i="4"/>
  <c r="D56" i="4" s="1"/>
  <c r="D48" i="4"/>
  <c r="D49" i="4"/>
  <c r="D50" i="4"/>
  <c r="D51" i="4"/>
  <c r="D52" i="4"/>
  <c r="D53" i="4"/>
  <c r="D54" i="4"/>
  <c r="D55" i="4"/>
  <c r="D46" i="4"/>
  <c r="C56" i="4"/>
  <c r="B56" i="4"/>
  <c r="E33" i="4"/>
  <c r="E34" i="4"/>
  <c r="E35" i="4"/>
  <c r="E36" i="4"/>
  <c r="E37" i="4"/>
  <c r="E38" i="4"/>
  <c r="E39" i="4"/>
  <c r="E40" i="4"/>
  <c r="E41" i="4"/>
  <c r="E42" i="4"/>
  <c r="E32" i="4"/>
  <c r="D42" i="4"/>
  <c r="E28" i="4"/>
  <c r="E25" i="4"/>
  <c r="E26" i="4"/>
  <c r="E27" i="4"/>
  <c r="E24" i="4"/>
  <c r="D28" i="4"/>
  <c r="E13" i="4"/>
  <c r="E14" i="4"/>
  <c r="E15" i="4"/>
  <c r="E16" i="4"/>
  <c r="E17" i="4"/>
  <c r="E18" i="4"/>
  <c r="E19" i="4"/>
  <c r="E12" i="4"/>
  <c r="E7" i="4"/>
  <c r="E6" i="4"/>
  <c r="E8" i="4" s="1"/>
  <c r="B8" i="4"/>
  <c r="C8" i="4"/>
  <c r="D8" i="4"/>
  <c r="Q113" i="3"/>
  <c r="B104" i="3"/>
  <c r="C104" i="3"/>
  <c r="D104" i="3"/>
  <c r="E104" i="3"/>
  <c r="F104" i="3"/>
  <c r="G104" i="3"/>
  <c r="Q104" i="3" s="1"/>
  <c r="H104" i="3"/>
  <c r="I104" i="3"/>
  <c r="J104" i="3"/>
  <c r="K104" i="3"/>
  <c r="L104" i="3"/>
  <c r="M104" i="3"/>
  <c r="N104" i="3"/>
  <c r="O104" i="3"/>
  <c r="P104" i="3"/>
  <c r="S40" i="3"/>
  <c r="D63" i="2"/>
  <c r="D64" i="2"/>
  <c r="D65" i="2"/>
  <c r="D66" i="2"/>
  <c r="D67" i="2"/>
  <c r="D68" i="2"/>
  <c r="D69" i="2"/>
  <c r="D70" i="2"/>
  <c r="D71" i="2"/>
  <c r="D62" i="2"/>
  <c r="C72" i="2"/>
  <c r="B7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42" i="2"/>
  <c r="C58" i="2"/>
  <c r="B58" i="2"/>
  <c r="D32" i="2"/>
  <c r="D33" i="2"/>
  <c r="D34" i="2"/>
  <c r="D35" i="2"/>
  <c r="D36" i="2"/>
  <c r="D31" i="2"/>
  <c r="C37" i="2"/>
  <c r="B37" i="2"/>
  <c r="E21" i="2"/>
  <c r="E26" i="2" s="1"/>
  <c r="E22" i="2"/>
  <c r="E23" i="2"/>
  <c r="E24" i="2"/>
  <c r="E25" i="2"/>
  <c r="E20" i="2"/>
  <c r="C26" i="2"/>
  <c r="D26" i="2"/>
  <c r="B26" i="2"/>
  <c r="D14" i="2"/>
  <c r="D15" i="2"/>
  <c r="D13" i="2"/>
  <c r="D16" i="2" s="1"/>
  <c r="C16" i="2"/>
  <c r="B16" i="2"/>
  <c r="E7" i="2"/>
  <c r="E8" i="2"/>
  <c r="E9" i="2"/>
  <c r="E6" i="2"/>
  <c r="C9" i="2"/>
  <c r="D9" i="2"/>
  <c r="B9" i="2"/>
  <c r="S14" i="9"/>
  <c r="S15" i="9"/>
  <c r="S94" i="3"/>
  <c r="C26" i="8"/>
  <c r="D26" i="8"/>
  <c r="E26" i="8"/>
  <c r="B26" i="8"/>
  <c r="C26" i="6"/>
  <c r="D26" i="6"/>
  <c r="B26" i="6"/>
  <c r="C19" i="4"/>
  <c r="D19" i="4"/>
  <c r="B19" i="4"/>
  <c r="R204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P34" i="5" s="1"/>
  <c r="C33" i="5"/>
  <c r="D33" i="5"/>
  <c r="E33" i="5"/>
  <c r="F33" i="5"/>
  <c r="G33" i="5"/>
  <c r="H33" i="5"/>
  <c r="I33" i="5"/>
  <c r="J33" i="5"/>
  <c r="K33" i="5"/>
  <c r="L33" i="5"/>
  <c r="L34" i="5" s="1"/>
  <c r="M33" i="5"/>
  <c r="N33" i="5"/>
  <c r="O33" i="5"/>
  <c r="P33" i="5"/>
  <c r="B33" i="5"/>
  <c r="B32" i="5"/>
  <c r="Q13" i="3"/>
  <c r="R13" i="3"/>
  <c r="S13" i="3"/>
  <c r="T192" i="5"/>
  <c r="T193" i="5"/>
  <c r="T191" i="5"/>
  <c r="T186" i="5"/>
  <c r="T187" i="5"/>
  <c r="T185" i="5"/>
  <c r="T180" i="5"/>
  <c r="T181" i="5"/>
  <c r="T179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50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27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04" i="5"/>
  <c r="T33" i="9"/>
  <c r="S33" i="9"/>
  <c r="R33" i="9"/>
  <c r="Q33" i="9"/>
  <c r="T41" i="9"/>
  <c r="S41" i="9"/>
  <c r="R41" i="9"/>
  <c r="Q41" i="9"/>
  <c r="T40" i="9"/>
  <c r="S40" i="9"/>
  <c r="R40" i="9"/>
  <c r="Q40" i="9"/>
  <c r="T39" i="9"/>
  <c r="S39" i="9"/>
  <c r="R39" i="9"/>
  <c r="Q39" i="9"/>
  <c r="T38" i="9"/>
  <c r="S38" i="9"/>
  <c r="R38" i="9"/>
  <c r="Q38" i="9"/>
  <c r="T37" i="9"/>
  <c r="S37" i="9"/>
  <c r="R37" i="9"/>
  <c r="Q37" i="9"/>
  <c r="T36" i="9"/>
  <c r="S36" i="9"/>
  <c r="R36" i="9"/>
  <c r="Q36" i="9"/>
  <c r="T35" i="9"/>
  <c r="S35" i="9"/>
  <c r="R35" i="9"/>
  <c r="Q35" i="9"/>
  <c r="T34" i="9"/>
  <c r="S34" i="9"/>
  <c r="R34" i="9"/>
  <c r="Q34" i="9"/>
  <c r="T29" i="9"/>
  <c r="S29" i="9"/>
  <c r="R29" i="9"/>
  <c r="Q29" i="9"/>
  <c r="T28" i="9"/>
  <c r="S28" i="9"/>
  <c r="R28" i="9"/>
  <c r="Q28" i="9"/>
  <c r="T27" i="9"/>
  <c r="S27" i="9"/>
  <c r="R27" i="9"/>
  <c r="Q27" i="9"/>
  <c r="T26" i="9"/>
  <c r="S26" i="9"/>
  <c r="R26" i="9"/>
  <c r="Q26" i="9"/>
  <c r="T25" i="9"/>
  <c r="S25" i="9"/>
  <c r="R25" i="9"/>
  <c r="Q25" i="9"/>
  <c r="T24" i="9"/>
  <c r="S24" i="9"/>
  <c r="R24" i="9"/>
  <c r="T23" i="9"/>
  <c r="S23" i="9"/>
  <c r="R23" i="9"/>
  <c r="T22" i="9"/>
  <c r="S22" i="9"/>
  <c r="R22" i="9"/>
  <c r="T21" i="9"/>
  <c r="S21" i="9"/>
  <c r="R21" i="9"/>
  <c r="Q21" i="9"/>
  <c r="T20" i="9"/>
  <c r="S20" i="9"/>
  <c r="R20" i="9"/>
  <c r="Q20" i="9"/>
  <c r="T16" i="9"/>
  <c r="S16" i="9"/>
  <c r="R16" i="9"/>
  <c r="Q16" i="9"/>
  <c r="T15" i="9"/>
  <c r="R15" i="9"/>
  <c r="Q15" i="9"/>
  <c r="T14" i="9"/>
  <c r="R14" i="9"/>
  <c r="Q14" i="9"/>
  <c r="T13" i="9"/>
  <c r="S13" i="9"/>
  <c r="R13" i="9"/>
  <c r="Q13" i="9"/>
  <c r="T9" i="9"/>
  <c r="S9" i="9"/>
  <c r="R9" i="9"/>
  <c r="Q9" i="9"/>
  <c r="T8" i="9"/>
  <c r="S8" i="9"/>
  <c r="R8" i="9"/>
  <c r="Q8" i="9"/>
  <c r="T7" i="9"/>
  <c r="S7" i="9"/>
  <c r="R7" i="9"/>
  <c r="T6" i="9"/>
  <c r="S6" i="9"/>
  <c r="R6" i="9"/>
  <c r="Q6" i="9"/>
  <c r="Q23" i="7"/>
  <c r="Q6" i="7"/>
  <c r="Q55" i="5"/>
  <c r="T40" i="7"/>
  <c r="S40" i="7"/>
  <c r="R40" i="7"/>
  <c r="Q40" i="7"/>
  <c r="T39" i="7"/>
  <c r="S39" i="7"/>
  <c r="R39" i="7"/>
  <c r="Q39" i="7"/>
  <c r="T38" i="7"/>
  <c r="S38" i="7"/>
  <c r="R38" i="7"/>
  <c r="Q38" i="7"/>
  <c r="T37" i="7"/>
  <c r="S37" i="7"/>
  <c r="R37" i="7"/>
  <c r="Q37" i="7"/>
  <c r="T36" i="7"/>
  <c r="S36" i="7"/>
  <c r="R36" i="7"/>
  <c r="Q36" i="7"/>
  <c r="T35" i="7"/>
  <c r="S35" i="7"/>
  <c r="R35" i="7"/>
  <c r="Q35" i="7"/>
  <c r="T34" i="7"/>
  <c r="S34" i="7"/>
  <c r="R34" i="7"/>
  <c r="Q34" i="7"/>
  <c r="T29" i="7"/>
  <c r="S29" i="7"/>
  <c r="R29" i="7"/>
  <c r="Q29" i="7"/>
  <c r="T28" i="7"/>
  <c r="S28" i="7"/>
  <c r="R28" i="7"/>
  <c r="Q28" i="7"/>
  <c r="T27" i="7"/>
  <c r="S27" i="7"/>
  <c r="R27" i="7"/>
  <c r="Q27" i="7"/>
  <c r="T26" i="7"/>
  <c r="S26" i="7"/>
  <c r="R26" i="7"/>
  <c r="Q26" i="7"/>
  <c r="T25" i="7"/>
  <c r="S25" i="7"/>
  <c r="R25" i="7"/>
  <c r="Q25" i="7"/>
  <c r="T24" i="7"/>
  <c r="S24" i="7"/>
  <c r="R24" i="7"/>
  <c r="Q24" i="7"/>
  <c r="T23" i="7"/>
  <c r="S23" i="7"/>
  <c r="R23" i="7"/>
  <c r="T22" i="7"/>
  <c r="S22" i="7"/>
  <c r="R22" i="7"/>
  <c r="Q22" i="7"/>
  <c r="T21" i="7"/>
  <c r="S21" i="7"/>
  <c r="R21" i="7"/>
  <c r="Q21" i="7"/>
  <c r="T20" i="7"/>
  <c r="S20" i="7"/>
  <c r="R20" i="7"/>
  <c r="Q20" i="7"/>
  <c r="T16" i="7"/>
  <c r="S16" i="7"/>
  <c r="R16" i="7"/>
  <c r="Q16" i="7"/>
  <c r="T15" i="7"/>
  <c r="S15" i="7"/>
  <c r="R15" i="7"/>
  <c r="Q15" i="7"/>
  <c r="T14" i="7"/>
  <c r="S14" i="7"/>
  <c r="R14" i="7"/>
  <c r="Q14" i="7"/>
  <c r="T9" i="7"/>
  <c r="S9" i="7"/>
  <c r="R9" i="7"/>
  <c r="Q9" i="7"/>
  <c r="T8" i="7"/>
  <c r="S8" i="7"/>
  <c r="R8" i="7"/>
  <c r="Q8" i="7"/>
  <c r="T7" i="7"/>
  <c r="S7" i="7"/>
  <c r="R7" i="7"/>
  <c r="Q7" i="7"/>
  <c r="T6" i="7"/>
  <c r="S6" i="7"/>
  <c r="R6" i="7"/>
  <c r="T204" i="5"/>
  <c r="T203" i="5"/>
  <c r="R203" i="5"/>
  <c r="Q203" i="5"/>
  <c r="T202" i="5"/>
  <c r="S202" i="5"/>
  <c r="R202" i="5"/>
  <c r="Q202" i="5"/>
  <c r="T201" i="5"/>
  <c r="S201" i="5"/>
  <c r="R201" i="5"/>
  <c r="Q201" i="5"/>
  <c r="T200" i="5"/>
  <c r="S200" i="5"/>
  <c r="R200" i="5"/>
  <c r="Q200" i="5"/>
  <c r="T199" i="5"/>
  <c r="S199" i="5"/>
  <c r="R199" i="5"/>
  <c r="Q199" i="5"/>
  <c r="T198" i="5"/>
  <c r="S198" i="5"/>
  <c r="R198" i="5"/>
  <c r="Q198" i="5"/>
  <c r="T197" i="5"/>
  <c r="S197" i="5"/>
  <c r="R197" i="5"/>
  <c r="Q197" i="5"/>
  <c r="S193" i="5"/>
  <c r="R193" i="5"/>
  <c r="S192" i="5"/>
  <c r="R192" i="5"/>
  <c r="Q192" i="5"/>
  <c r="S191" i="5"/>
  <c r="R191" i="5"/>
  <c r="Q191" i="5"/>
  <c r="S187" i="5"/>
  <c r="R187" i="5"/>
  <c r="Q187" i="5"/>
  <c r="S186" i="5"/>
  <c r="R186" i="5"/>
  <c r="Q186" i="5"/>
  <c r="S185" i="5"/>
  <c r="R185" i="5"/>
  <c r="Q185" i="5"/>
  <c r="S181" i="5"/>
  <c r="R181" i="5"/>
  <c r="Q181" i="5"/>
  <c r="S180" i="5"/>
  <c r="R180" i="5"/>
  <c r="Q180" i="5"/>
  <c r="S179" i="5"/>
  <c r="R179" i="5"/>
  <c r="Q179" i="5"/>
  <c r="S175" i="5"/>
  <c r="T174" i="5"/>
  <c r="S174" i="5"/>
  <c r="R174" i="5"/>
  <c r="Q174" i="5"/>
  <c r="T173" i="5"/>
  <c r="S173" i="5"/>
  <c r="R173" i="5"/>
  <c r="Q173" i="5"/>
  <c r="S169" i="5"/>
  <c r="R169" i="5"/>
  <c r="Q169" i="5"/>
  <c r="S168" i="5"/>
  <c r="R168" i="5"/>
  <c r="Q168" i="5"/>
  <c r="S167" i="5"/>
  <c r="R167" i="5"/>
  <c r="Q167" i="5"/>
  <c r="S166" i="5"/>
  <c r="R166" i="5"/>
  <c r="Q166" i="5"/>
  <c r="S165" i="5"/>
  <c r="R165" i="5"/>
  <c r="Q165" i="5"/>
  <c r="S164" i="5"/>
  <c r="R164" i="5"/>
  <c r="Q164" i="5"/>
  <c r="S163" i="5"/>
  <c r="R163" i="5"/>
  <c r="Q163" i="5"/>
  <c r="S162" i="5"/>
  <c r="R162" i="5"/>
  <c r="Q162" i="5"/>
  <c r="S161" i="5"/>
  <c r="R161" i="5"/>
  <c r="Q161" i="5"/>
  <c r="S160" i="5"/>
  <c r="R160" i="5"/>
  <c r="Q160" i="5"/>
  <c r="S159" i="5"/>
  <c r="R159" i="5"/>
  <c r="Q159" i="5"/>
  <c r="S158" i="5"/>
  <c r="R158" i="5"/>
  <c r="Q158" i="5"/>
  <c r="S157" i="5"/>
  <c r="R157" i="5"/>
  <c r="Q157" i="5"/>
  <c r="S156" i="5"/>
  <c r="R156" i="5"/>
  <c r="Q156" i="5"/>
  <c r="S155" i="5"/>
  <c r="R155" i="5"/>
  <c r="Q155" i="5"/>
  <c r="S154" i="5"/>
  <c r="R154" i="5"/>
  <c r="Q154" i="5"/>
  <c r="S153" i="5"/>
  <c r="R153" i="5"/>
  <c r="Q153" i="5"/>
  <c r="S152" i="5"/>
  <c r="R152" i="5"/>
  <c r="Q152" i="5"/>
  <c r="S151" i="5"/>
  <c r="R151" i="5"/>
  <c r="Q151" i="5"/>
  <c r="S150" i="5"/>
  <c r="R150" i="5"/>
  <c r="Q150" i="5"/>
  <c r="S146" i="5"/>
  <c r="R146" i="5"/>
  <c r="Q146" i="5"/>
  <c r="S145" i="5"/>
  <c r="R145" i="5"/>
  <c r="Q145" i="5"/>
  <c r="S144" i="5"/>
  <c r="R144" i="5"/>
  <c r="Q144" i="5"/>
  <c r="S143" i="5"/>
  <c r="R143" i="5"/>
  <c r="Q143" i="5"/>
  <c r="S142" i="5"/>
  <c r="R142" i="5"/>
  <c r="Q142" i="5"/>
  <c r="S141" i="5"/>
  <c r="R141" i="5"/>
  <c r="Q141" i="5"/>
  <c r="S140" i="5"/>
  <c r="R140" i="5"/>
  <c r="Q140" i="5"/>
  <c r="S139" i="5"/>
  <c r="R139" i="5"/>
  <c r="Q139" i="5"/>
  <c r="S138" i="5"/>
  <c r="R138" i="5"/>
  <c r="Q138" i="5"/>
  <c r="S137" i="5"/>
  <c r="R137" i="5"/>
  <c r="Q137" i="5"/>
  <c r="S136" i="5"/>
  <c r="R136" i="5"/>
  <c r="Q136" i="5"/>
  <c r="S135" i="5"/>
  <c r="R135" i="5"/>
  <c r="Q135" i="5"/>
  <c r="S134" i="5"/>
  <c r="R134" i="5"/>
  <c r="Q134" i="5"/>
  <c r="S133" i="5"/>
  <c r="R133" i="5"/>
  <c r="Q133" i="5"/>
  <c r="S132" i="5"/>
  <c r="R132" i="5"/>
  <c r="Q132" i="5"/>
  <c r="S131" i="5"/>
  <c r="R131" i="5"/>
  <c r="Q131" i="5"/>
  <c r="S130" i="5"/>
  <c r="R130" i="5"/>
  <c r="Q130" i="5"/>
  <c r="S129" i="5"/>
  <c r="R129" i="5"/>
  <c r="Q129" i="5"/>
  <c r="S128" i="5"/>
  <c r="R128" i="5"/>
  <c r="Q128" i="5"/>
  <c r="S127" i="5"/>
  <c r="R127" i="5"/>
  <c r="Q127" i="5"/>
  <c r="S123" i="5"/>
  <c r="R123" i="5"/>
  <c r="Q123" i="5"/>
  <c r="S122" i="5"/>
  <c r="R122" i="5"/>
  <c r="Q122" i="5"/>
  <c r="S121" i="5"/>
  <c r="R121" i="5"/>
  <c r="Q121" i="5"/>
  <c r="S120" i="5"/>
  <c r="R120" i="5"/>
  <c r="Q120" i="5"/>
  <c r="S119" i="5"/>
  <c r="R119" i="5"/>
  <c r="Q119" i="5"/>
  <c r="S118" i="5"/>
  <c r="R118" i="5"/>
  <c r="Q118" i="5"/>
  <c r="S117" i="5"/>
  <c r="R117" i="5"/>
  <c r="Q117" i="5"/>
  <c r="S116" i="5"/>
  <c r="R116" i="5"/>
  <c r="Q116" i="5"/>
  <c r="S115" i="5"/>
  <c r="R115" i="5"/>
  <c r="Q115" i="5"/>
  <c r="S114" i="5"/>
  <c r="R114" i="5"/>
  <c r="Q114" i="5"/>
  <c r="S113" i="5"/>
  <c r="R113" i="5"/>
  <c r="Q113" i="5"/>
  <c r="S112" i="5"/>
  <c r="R112" i="5"/>
  <c r="Q112" i="5"/>
  <c r="S111" i="5"/>
  <c r="R111" i="5"/>
  <c r="Q111" i="5"/>
  <c r="S110" i="5"/>
  <c r="R110" i="5"/>
  <c r="Q110" i="5"/>
  <c r="S109" i="5"/>
  <c r="R109" i="5"/>
  <c r="Q109" i="5"/>
  <c r="S108" i="5"/>
  <c r="R108" i="5"/>
  <c r="Q108" i="5"/>
  <c r="S107" i="5"/>
  <c r="R107" i="5"/>
  <c r="Q107" i="5"/>
  <c r="S106" i="5"/>
  <c r="R106" i="5"/>
  <c r="Q106" i="5"/>
  <c r="S105" i="5"/>
  <c r="R105" i="5"/>
  <c r="Q105" i="5"/>
  <c r="S104" i="5"/>
  <c r="R104" i="5"/>
  <c r="Q104" i="5"/>
  <c r="T100" i="5"/>
  <c r="S100" i="5"/>
  <c r="R100" i="5"/>
  <c r="Q100" i="5"/>
  <c r="T99" i="5"/>
  <c r="S99" i="5"/>
  <c r="R99" i="5"/>
  <c r="Q99" i="5"/>
  <c r="T98" i="5"/>
  <c r="S98" i="5"/>
  <c r="R98" i="5"/>
  <c r="Q98" i="5"/>
  <c r="T97" i="5"/>
  <c r="S97" i="5"/>
  <c r="R97" i="5"/>
  <c r="Q97" i="5"/>
  <c r="T96" i="5"/>
  <c r="S96" i="5"/>
  <c r="R96" i="5"/>
  <c r="Q96" i="5"/>
  <c r="T95" i="5"/>
  <c r="S95" i="5"/>
  <c r="R95" i="5"/>
  <c r="Q95" i="5"/>
  <c r="T94" i="5"/>
  <c r="S94" i="5"/>
  <c r="R94" i="5"/>
  <c r="Q94" i="5"/>
  <c r="T93" i="5"/>
  <c r="S93" i="5"/>
  <c r="R93" i="5"/>
  <c r="Q93" i="5"/>
  <c r="T92" i="5"/>
  <c r="S92" i="5"/>
  <c r="R92" i="5"/>
  <c r="Q92" i="5"/>
  <c r="T91" i="5"/>
  <c r="S91" i="5"/>
  <c r="R91" i="5"/>
  <c r="Q91" i="5"/>
  <c r="T90" i="5"/>
  <c r="S90" i="5"/>
  <c r="R90" i="5"/>
  <c r="Q90" i="5"/>
  <c r="T86" i="5"/>
  <c r="S86" i="5"/>
  <c r="R86" i="5"/>
  <c r="Q86" i="5"/>
  <c r="T85" i="5"/>
  <c r="S85" i="5"/>
  <c r="R85" i="5"/>
  <c r="Q85" i="5"/>
  <c r="T84" i="5"/>
  <c r="S84" i="5"/>
  <c r="R84" i="5"/>
  <c r="Q84" i="5"/>
  <c r="T83" i="5"/>
  <c r="S83" i="5"/>
  <c r="R83" i="5"/>
  <c r="Q83" i="5"/>
  <c r="T82" i="5"/>
  <c r="S82" i="5"/>
  <c r="R82" i="5"/>
  <c r="Q82" i="5"/>
  <c r="T81" i="5"/>
  <c r="S81" i="5"/>
  <c r="R81" i="5"/>
  <c r="Q81" i="5"/>
  <c r="T76" i="5"/>
  <c r="S76" i="5"/>
  <c r="R76" i="5"/>
  <c r="Q76" i="5"/>
  <c r="T75" i="5"/>
  <c r="S75" i="5"/>
  <c r="R75" i="5"/>
  <c r="Q75" i="5"/>
  <c r="T74" i="5"/>
  <c r="S74" i="5"/>
  <c r="R74" i="5"/>
  <c r="Q74" i="5"/>
  <c r="T73" i="5"/>
  <c r="S73" i="5"/>
  <c r="R73" i="5"/>
  <c r="Q73" i="5"/>
  <c r="T72" i="5"/>
  <c r="S72" i="5"/>
  <c r="R72" i="5"/>
  <c r="Q72" i="5"/>
  <c r="T71" i="5"/>
  <c r="S71" i="5"/>
  <c r="R71" i="5"/>
  <c r="Q71" i="5"/>
  <c r="T70" i="5"/>
  <c r="S70" i="5"/>
  <c r="R70" i="5"/>
  <c r="Q70" i="5"/>
  <c r="T69" i="5"/>
  <c r="S69" i="5"/>
  <c r="R69" i="5"/>
  <c r="Q69" i="5"/>
  <c r="T68" i="5"/>
  <c r="S68" i="5"/>
  <c r="R68" i="5"/>
  <c r="Q68" i="5"/>
  <c r="T67" i="5"/>
  <c r="S67" i="5"/>
  <c r="R67" i="5"/>
  <c r="Q67" i="5"/>
  <c r="T66" i="5"/>
  <c r="S66" i="5"/>
  <c r="R66" i="5"/>
  <c r="Q66" i="5"/>
  <c r="T65" i="5"/>
  <c r="S65" i="5"/>
  <c r="R65" i="5"/>
  <c r="Q65" i="5"/>
  <c r="T64" i="5"/>
  <c r="S64" i="5"/>
  <c r="R64" i="5"/>
  <c r="Q64" i="5"/>
  <c r="T63" i="5"/>
  <c r="S63" i="5"/>
  <c r="R63" i="5"/>
  <c r="Q63" i="5"/>
  <c r="T62" i="5"/>
  <c r="S62" i="5"/>
  <c r="R62" i="5"/>
  <c r="Q62" i="5"/>
  <c r="T61" i="5"/>
  <c r="S61" i="5"/>
  <c r="R61" i="5"/>
  <c r="Q61" i="5"/>
  <c r="T60" i="5"/>
  <c r="S60" i="5"/>
  <c r="R60" i="5"/>
  <c r="Q60" i="5"/>
  <c r="T59" i="5"/>
  <c r="S59" i="5"/>
  <c r="R59" i="5"/>
  <c r="Q59" i="5"/>
  <c r="T58" i="5"/>
  <c r="S58" i="5"/>
  <c r="R58" i="5"/>
  <c r="Q58" i="5"/>
  <c r="T57" i="5"/>
  <c r="S57" i="5"/>
  <c r="T56" i="5"/>
  <c r="S56" i="5"/>
  <c r="T55" i="5"/>
  <c r="S55" i="5"/>
  <c r="R55" i="5"/>
  <c r="T54" i="5"/>
  <c r="S54" i="5"/>
  <c r="R54" i="5"/>
  <c r="Q54" i="5"/>
  <c r="T50" i="5"/>
  <c r="S50" i="5"/>
  <c r="R50" i="5"/>
  <c r="Q50" i="5"/>
  <c r="T49" i="5"/>
  <c r="S49" i="5"/>
  <c r="R49" i="5"/>
  <c r="Q49" i="5"/>
  <c r="T48" i="5"/>
  <c r="S48" i="5"/>
  <c r="R48" i="5"/>
  <c r="Q48" i="5"/>
  <c r="T47" i="5"/>
  <c r="S47" i="5"/>
  <c r="R47" i="5"/>
  <c r="Q47" i="5"/>
  <c r="T46" i="5"/>
  <c r="S46" i="5"/>
  <c r="R46" i="5"/>
  <c r="Q46" i="5"/>
  <c r="T45" i="5"/>
  <c r="S45" i="5"/>
  <c r="R45" i="5"/>
  <c r="Q45" i="5"/>
  <c r="T44" i="5"/>
  <c r="S44" i="5"/>
  <c r="R44" i="5"/>
  <c r="Q44" i="5"/>
  <c r="T43" i="5"/>
  <c r="S43" i="5"/>
  <c r="R43" i="5"/>
  <c r="Q43" i="5"/>
  <c r="T42" i="5"/>
  <c r="S42" i="5"/>
  <c r="R42" i="5"/>
  <c r="Q42" i="5"/>
  <c r="T41" i="5"/>
  <c r="S41" i="5"/>
  <c r="R41" i="5"/>
  <c r="Q41" i="5"/>
  <c r="T40" i="5"/>
  <c r="S40" i="5"/>
  <c r="R40" i="5"/>
  <c r="Q40" i="5"/>
  <c r="T33" i="5"/>
  <c r="T32" i="5"/>
  <c r="R32" i="5"/>
  <c r="Q32" i="5"/>
  <c r="T28" i="5"/>
  <c r="S28" i="5"/>
  <c r="R28" i="5"/>
  <c r="Q28" i="5"/>
  <c r="T27" i="5"/>
  <c r="S27" i="5"/>
  <c r="R27" i="5"/>
  <c r="Q27" i="5"/>
  <c r="T26" i="5"/>
  <c r="S26" i="5"/>
  <c r="R26" i="5"/>
  <c r="Q26" i="5"/>
  <c r="T25" i="5"/>
  <c r="S25" i="5"/>
  <c r="R25" i="5"/>
  <c r="Q25" i="5"/>
  <c r="T24" i="5"/>
  <c r="S24" i="5"/>
  <c r="R24" i="5"/>
  <c r="Q24" i="5"/>
  <c r="S19" i="5"/>
  <c r="R19" i="5"/>
  <c r="T18" i="5"/>
  <c r="S18" i="5"/>
  <c r="R18" i="5"/>
  <c r="Q18" i="5"/>
  <c r="T17" i="5"/>
  <c r="S17" i="5"/>
  <c r="R17" i="5"/>
  <c r="Q17" i="5"/>
  <c r="T16" i="5"/>
  <c r="S16" i="5"/>
  <c r="R16" i="5"/>
  <c r="Q16" i="5"/>
  <c r="T15" i="5"/>
  <c r="S15" i="5"/>
  <c r="R15" i="5"/>
  <c r="Q15" i="5"/>
  <c r="T14" i="5"/>
  <c r="S14" i="5"/>
  <c r="T13" i="5"/>
  <c r="S13" i="5"/>
  <c r="R13" i="5"/>
  <c r="Q13" i="5"/>
  <c r="T6" i="5"/>
  <c r="S6" i="5"/>
  <c r="R6" i="5"/>
  <c r="Q6" i="5"/>
  <c r="T9" i="5"/>
  <c r="R9" i="5"/>
  <c r="Q9" i="5"/>
  <c r="T8" i="5"/>
  <c r="S8" i="5"/>
  <c r="R8" i="5"/>
  <c r="Q8" i="5"/>
  <c r="T7" i="5"/>
  <c r="S7" i="5"/>
  <c r="R7" i="5"/>
  <c r="Q7" i="5"/>
  <c r="T113" i="3"/>
  <c r="S113" i="3"/>
  <c r="R113" i="3"/>
  <c r="T112" i="3"/>
  <c r="S112" i="3"/>
  <c r="R112" i="3"/>
  <c r="Q112" i="3"/>
  <c r="T111" i="3"/>
  <c r="S111" i="3"/>
  <c r="R111" i="3"/>
  <c r="Q111" i="3"/>
  <c r="T110" i="3"/>
  <c r="S110" i="3"/>
  <c r="R110" i="3"/>
  <c r="Q110" i="3"/>
  <c r="T109" i="3"/>
  <c r="S109" i="3"/>
  <c r="R109" i="3"/>
  <c r="Q109" i="3"/>
  <c r="T108" i="3"/>
  <c r="S108" i="3"/>
  <c r="R108" i="3"/>
  <c r="Q108" i="3"/>
  <c r="T104" i="3"/>
  <c r="S104" i="3"/>
  <c r="R104" i="3"/>
  <c r="T103" i="3"/>
  <c r="S103" i="3"/>
  <c r="R103" i="3"/>
  <c r="Q103" i="3"/>
  <c r="T102" i="3"/>
  <c r="S102" i="3"/>
  <c r="R102" i="3"/>
  <c r="Q102" i="3"/>
  <c r="T101" i="3"/>
  <c r="S101" i="3"/>
  <c r="R101" i="3"/>
  <c r="Q101" i="3"/>
  <c r="T100" i="3"/>
  <c r="S100" i="3"/>
  <c r="R100" i="3"/>
  <c r="Q100" i="3"/>
  <c r="T99" i="3"/>
  <c r="S99" i="3"/>
  <c r="R99" i="3"/>
  <c r="Q99" i="3"/>
  <c r="T98" i="3"/>
  <c r="S98" i="3"/>
  <c r="R98" i="3"/>
  <c r="Q98" i="3"/>
  <c r="T97" i="3"/>
  <c r="S97" i="3"/>
  <c r="R97" i="3"/>
  <c r="Q97" i="3"/>
  <c r="T96" i="3"/>
  <c r="S96" i="3"/>
  <c r="R96" i="3"/>
  <c r="Q96" i="3"/>
  <c r="T95" i="3"/>
  <c r="S95" i="3"/>
  <c r="R95" i="3"/>
  <c r="Q95" i="3"/>
  <c r="T94" i="3"/>
  <c r="R94" i="3"/>
  <c r="Q94" i="3"/>
  <c r="T93" i="3"/>
  <c r="S93" i="3"/>
  <c r="R93" i="3"/>
  <c r="Q93" i="3"/>
  <c r="T92" i="3"/>
  <c r="S92" i="3"/>
  <c r="R92" i="3"/>
  <c r="Q92" i="3"/>
  <c r="T91" i="3"/>
  <c r="S91" i="3"/>
  <c r="R91" i="3"/>
  <c r="Q91" i="3"/>
  <c r="T90" i="3"/>
  <c r="S90" i="3"/>
  <c r="R90" i="3"/>
  <c r="Q90" i="3"/>
  <c r="T89" i="3"/>
  <c r="S89" i="3"/>
  <c r="R89" i="3"/>
  <c r="Q89" i="3"/>
  <c r="T88" i="3"/>
  <c r="S88" i="3"/>
  <c r="R88" i="3"/>
  <c r="Q88" i="3"/>
  <c r="T83" i="3"/>
  <c r="T82" i="3"/>
  <c r="S82" i="3"/>
  <c r="R82" i="3"/>
  <c r="Q82" i="3"/>
  <c r="T81" i="3"/>
  <c r="S81" i="3"/>
  <c r="R81" i="3"/>
  <c r="Q81" i="3"/>
  <c r="T80" i="3"/>
  <c r="S80" i="3"/>
  <c r="R80" i="3"/>
  <c r="Q80" i="3"/>
  <c r="T79" i="3"/>
  <c r="S79" i="3"/>
  <c r="R79" i="3"/>
  <c r="Q79" i="3"/>
  <c r="T78" i="3"/>
  <c r="S78" i="3"/>
  <c r="R78" i="3"/>
  <c r="Q78" i="3"/>
  <c r="T77" i="3"/>
  <c r="S77" i="3"/>
  <c r="R77" i="3"/>
  <c r="Q77" i="3"/>
  <c r="T76" i="3"/>
  <c r="S76" i="3"/>
  <c r="R76" i="3"/>
  <c r="Q76" i="3"/>
  <c r="T72" i="3"/>
  <c r="S72" i="3"/>
  <c r="R72" i="3"/>
  <c r="Q72" i="3"/>
  <c r="T71" i="3"/>
  <c r="S71" i="3"/>
  <c r="R71" i="3"/>
  <c r="Q71" i="3"/>
  <c r="T70" i="3"/>
  <c r="S70" i="3"/>
  <c r="R70" i="3"/>
  <c r="Q70" i="3"/>
  <c r="T65" i="3"/>
  <c r="S65" i="3"/>
  <c r="R65" i="3"/>
  <c r="Q65" i="3"/>
  <c r="T64" i="3"/>
  <c r="S64" i="3"/>
  <c r="R64" i="3"/>
  <c r="Q64" i="3"/>
  <c r="T63" i="3"/>
  <c r="S63" i="3"/>
  <c r="R63" i="3"/>
  <c r="Q63" i="3"/>
  <c r="T62" i="3"/>
  <c r="S62" i="3"/>
  <c r="R62" i="3"/>
  <c r="Q62" i="3"/>
  <c r="T61" i="3"/>
  <c r="S61" i="3"/>
  <c r="R61" i="3"/>
  <c r="Q61" i="3"/>
  <c r="T60" i="3"/>
  <c r="S60" i="3"/>
  <c r="R60" i="3"/>
  <c r="Q60" i="3"/>
  <c r="T59" i="3"/>
  <c r="S59" i="3"/>
  <c r="R59" i="3"/>
  <c r="Q59" i="3"/>
  <c r="T58" i="3"/>
  <c r="S58" i="3"/>
  <c r="R58" i="3"/>
  <c r="Q58" i="3"/>
  <c r="T57" i="3"/>
  <c r="S57" i="3"/>
  <c r="R57" i="3"/>
  <c r="Q57" i="3"/>
  <c r="T56" i="3"/>
  <c r="S56" i="3"/>
  <c r="R56" i="3"/>
  <c r="Q56" i="3"/>
  <c r="T55" i="3"/>
  <c r="S55" i="3"/>
  <c r="R55" i="3"/>
  <c r="Q55" i="3"/>
  <c r="T54" i="3"/>
  <c r="S54" i="3"/>
  <c r="R54" i="3"/>
  <c r="Q54" i="3"/>
  <c r="T53" i="3"/>
  <c r="S53" i="3"/>
  <c r="R53" i="3"/>
  <c r="Q53" i="3"/>
  <c r="T52" i="3"/>
  <c r="S52" i="3"/>
  <c r="R52" i="3"/>
  <c r="T51" i="3"/>
  <c r="S51" i="3"/>
  <c r="R51" i="3"/>
  <c r="Q51" i="3"/>
  <c r="T50" i="3"/>
  <c r="S50" i="3"/>
  <c r="R50" i="3"/>
  <c r="Q50" i="3"/>
  <c r="T49" i="3"/>
  <c r="S49" i="3"/>
  <c r="T48" i="3"/>
  <c r="S48" i="3"/>
  <c r="T47" i="3"/>
  <c r="S47" i="3"/>
  <c r="R47" i="3"/>
  <c r="Q47" i="3"/>
  <c r="T46" i="3"/>
  <c r="S46" i="3"/>
  <c r="R46" i="3"/>
  <c r="Q46" i="3"/>
  <c r="T45" i="3"/>
  <c r="S45" i="3"/>
  <c r="R45" i="3"/>
  <c r="Q45" i="3"/>
  <c r="T40" i="3"/>
  <c r="R40" i="3"/>
  <c r="Q40" i="3"/>
  <c r="T39" i="3"/>
  <c r="S39" i="3"/>
  <c r="R39" i="3"/>
  <c r="Q39" i="3"/>
  <c r="T38" i="3"/>
  <c r="S38" i="3"/>
  <c r="R38" i="3"/>
  <c r="Q38" i="3"/>
  <c r="T37" i="3"/>
  <c r="S37" i="3"/>
  <c r="R37" i="3"/>
  <c r="Q37" i="3"/>
  <c r="T36" i="3"/>
  <c r="S36" i="3"/>
  <c r="R36" i="3"/>
  <c r="Q36" i="3"/>
  <c r="T35" i="3"/>
  <c r="S35" i="3"/>
  <c r="T34" i="3"/>
  <c r="S34" i="3"/>
  <c r="R34" i="3"/>
  <c r="Q34" i="3"/>
  <c r="T30" i="3"/>
  <c r="S30" i="3"/>
  <c r="R30" i="3"/>
  <c r="Q30" i="3"/>
  <c r="T29" i="3"/>
  <c r="S29" i="3"/>
  <c r="R29" i="3"/>
  <c r="Q29" i="3"/>
  <c r="T28" i="3"/>
  <c r="S28" i="3"/>
  <c r="R28" i="3"/>
  <c r="Q28" i="3"/>
  <c r="T27" i="3"/>
  <c r="S27" i="3"/>
  <c r="R27" i="3"/>
  <c r="Q27" i="3"/>
  <c r="T26" i="3"/>
  <c r="S26" i="3"/>
  <c r="R26" i="3"/>
  <c r="Q26" i="3"/>
  <c r="T25" i="3"/>
  <c r="S25" i="3"/>
  <c r="R25" i="3"/>
  <c r="T24" i="3"/>
  <c r="S24" i="3"/>
  <c r="R24" i="3"/>
  <c r="Q24" i="3"/>
  <c r="T23" i="3"/>
  <c r="S23" i="3"/>
  <c r="R23" i="3"/>
  <c r="Q23" i="3"/>
  <c r="T22" i="3"/>
  <c r="S22" i="3"/>
  <c r="R22" i="3"/>
  <c r="Q22" i="3"/>
  <c r="T21" i="3"/>
  <c r="S21" i="3"/>
  <c r="R21" i="3"/>
  <c r="Q21" i="3"/>
  <c r="T20" i="3"/>
  <c r="S20" i="3"/>
  <c r="R20" i="3"/>
  <c r="Q20" i="3"/>
  <c r="T16" i="3"/>
  <c r="S16" i="3"/>
  <c r="R16" i="3"/>
  <c r="Q16" i="3"/>
  <c r="T15" i="3"/>
  <c r="S15" i="3"/>
  <c r="R15" i="3"/>
  <c r="Q15" i="3"/>
  <c r="T14" i="3"/>
  <c r="S14" i="3"/>
  <c r="R14" i="3"/>
  <c r="Q14" i="3"/>
  <c r="T13" i="3"/>
  <c r="T7" i="3"/>
  <c r="T8" i="3"/>
  <c r="T9" i="3"/>
  <c r="T6" i="3"/>
  <c r="S7" i="3"/>
  <c r="S8" i="3"/>
  <c r="S9" i="3"/>
  <c r="S6" i="3"/>
  <c r="R7" i="3"/>
  <c r="R8" i="3"/>
  <c r="R9" i="3"/>
  <c r="R6" i="3"/>
  <c r="Q7" i="3"/>
  <c r="Q8" i="3"/>
  <c r="Q6" i="3"/>
  <c r="S204" i="5" l="1"/>
  <c r="T175" i="5"/>
  <c r="S33" i="5"/>
  <c r="D72" i="2"/>
  <c r="D58" i="2"/>
  <c r="D37" i="2"/>
  <c r="D34" i="5"/>
  <c r="M34" i="5"/>
  <c r="G34" i="5"/>
  <c r="O34" i="5"/>
  <c r="S34" i="5" s="1"/>
  <c r="I34" i="5"/>
  <c r="C34" i="5"/>
  <c r="B34" i="5"/>
  <c r="Q83" i="3"/>
  <c r="K34" i="5"/>
  <c r="Q33" i="5"/>
  <c r="N34" i="5"/>
  <c r="R33" i="5"/>
  <c r="T34" i="5"/>
  <c r="Q34" i="5"/>
  <c r="R34" i="5"/>
  <c r="J34" i="5"/>
  <c r="S32" i="5"/>
  <c r="E34" i="5"/>
  <c r="H34" i="5"/>
  <c r="F34" i="5"/>
  <c r="S83" i="3"/>
  <c r="R83" i="3"/>
  <c r="Q204" i="5"/>
</calcChain>
</file>

<file path=xl/connections.xml><?xml version="1.0" encoding="utf-8"?>
<connections xmlns="http://schemas.openxmlformats.org/spreadsheetml/2006/main">
  <connection id="1" sourceFile="C:\Users\andres.leal\Desktop\Titulados\Copia de TIT_WEB_2019(TITULADOS 2007 - 2018)_03-06-2019.xlsx" keepAlive="1" name="Copia de TIT_WEB_2019(TITULADOS 2007 - 2018)_03-06-2019" type="5" refreshedVersion="6" background="1">
    <dbPr connection="Provider=Microsoft.ACE.OLEDB.12.0;User ID=Admin;Data Source=C:\Users\andres.leal\Desktop\Titulados\Copia de 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2" sourceFile="C:\Users\andres.leal\Desktop\Titulados\TIT_2019_TITULADOS 2007-2018_21-06-2019.xlsx" keepAlive="1" name="TIT_2019_TITULADOS 2007-2018_21-06-2019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" commandType="3"/>
  </connection>
  <connection id="3" sourceFile="C:\Users\andres.leal\Desktop\Titulados\TIT_2019_TITULADOS 2007-2018_21-06-2019.xlsx" keepAlive="1" name="TIT_2019_TITULADOS 2007-2018_21-06-20191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$" commandType="3"/>
  </connection>
  <connection id="4" sourceFile="C:\Users\andres.leal\Desktop\Titulados\TIT_WEB_2019 (TITULADOS 2007 - 2018)_04-06-2019_2020.xlsx" keepAlive="1" name="TIT_WEB_2019 (TITULADOS 2007 - 2018)_04-06-2019_2020" type="5" refreshedVersion="6" background="1">
    <dbPr connection="Provider=Microsoft.ACE.OLEDB.12.0;User ID=Admin;Data Source=C:\Users\andres.leal\Desktop\Titulados\TIT_WEB_2019 (TITULADOS 2007 - 2018)_04-06-2019_2020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Titulados Web 2009$'" commandType="3"/>
  </connection>
  <connection id="5" sourceFile="C:\Users\andres.leal\Desktop\Titulados\TIT_WEB_2019(TITULADOS 2007 - 2018)_03-06-2019.xlsx" keepAlive="1" name="TIT_WEB_2019(TITULADOS 2007 - 2018)_03-06-2019" type="5" refreshedVersion="6" background="1">
    <dbPr connection="Provider=Microsoft.ACE.OLEDB.12.0;User ID=Admin;Data Source=C:\Users\andres.leal\Desktop\Titulados\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_TITULADOS_2007___2018_" commandType="3"/>
  </connection>
  <connection id="6" sourceFile="C:\Users\andres.leal\Desktop\Titulados\TIT_WEB_2019(TITULADOS 2007 - 2018)_03-06-2019_final.xlsx" keepAlive="1" name="TIT_WEB_2019(TITULADOS 2007 - 2018)_03-06-2019_final" type="5" refreshedVersion="6" background="1">
    <dbPr connection="Provider=Microsoft.ACE.OLEDB.12.0;User ID=Admin;Data Source=C:\Users\andres.leal\Desktop\Titulados\TIT_WEB_2019(TITULADOS 2007 - 2018)_03-06-2019_final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7" sourceFile="C:\Users\andres.leal\Desktop\Titulados\TIT_WEB_2019(TITULADOS 2007- 2018).xlsx" keepAlive="1" name="TIT_WEB_2019(TITULADOS 2007- 2018)" type="5" refreshedVersion="6" background="1">
    <dbPr connection="Provider=Microsoft.ACE.OLEDB.12.0;User ID=Admin;Data Source=C:\Users\andres.leal\Desktop\Titulados\TIT_WEB_2019(TITULADOS 2007- 2018)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uladosweb$" commandType="3"/>
  </connection>
</connections>
</file>

<file path=xl/sharedStrings.xml><?xml version="1.0" encoding="utf-8"?>
<sst xmlns="http://schemas.openxmlformats.org/spreadsheetml/2006/main" count="1220" uniqueCount="431">
  <si>
    <t>Tipo de institución</t>
  </si>
  <si>
    <t>Pregrado</t>
  </si>
  <si>
    <t>Posgrado</t>
  </si>
  <si>
    <t>Postítulo</t>
  </si>
  <si>
    <t>Total general</t>
  </si>
  <si>
    <t>Centros de Formación Técnica</t>
  </si>
  <si>
    <t>Institutos Profesionales</t>
  </si>
  <si>
    <t>Universidades</t>
  </si>
  <si>
    <t>Titulación Total</t>
  </si>
  <si>
    <t>Región</t>
  </si>
  <si>
    <t>Área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</si>
  <si>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</si>
  <si>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</si>
  <si>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</si>
  <si>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</si>
  <si>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</si>
  <si>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</si>
  <si>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</si>
  <si>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</si>
  <si>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</si>
  <si>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</si>
  <si>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Volver al índice</t>
  </si>
  <si>
    <t xml:space="preserve">Evolución de Titulación Total por tipo de institución </t>
  </si>
  <si>
    <t>Tipo de institución y grado</t>
  </si>
  <si>
    <t>n/a</t>
  </si>
  <si>
    <t>Evolución de Titulación Total por rango de edad y/o promedio de edad</t>
  </si>
  <si>
    <t>Rango de edad</t>
  </si>
  <si>
    <t>15 a 19 años</t>
  </si>
  <si>
    <t>20 a 24 años</t>
  </si>
  <si>
    <t>25 a 29 años</t>
  </si>
  <si>
    <t>30 a 34 años</t>
  </si>
  <si>
    <t>35 a 39 años</t>
  </si>
  <si>
    <t>40 y más años</t>
  </si>
  <si>
    <t>Sin información</t>
  </si>
  <si>
    <t>Evolución de Titulación Total por región</t>
  </si>
  <si>
    <t>Promedio de Edad</t>
  </si>
  <si>
    <t>Tipo de carrera</t>
  </si>
  <si>
    <t>Técnico de Nivel Superior</t>
  </si>
  <si>
    <t>Profesional sin licenciatura previa</t>
  </si>
  <si>
    <t>Licenciatura no conducente a título</t>
  </si>
  <si>
    <t>Profesional con licenciatura previa</t>
  </si>
  <si>
    <t>Jornada</t>
  </si>
  <si>
    <t>Diurno</t>
  </si>
  <si>
    <t>Vespertino</t>
  </si>
  <si>
    <t>Otro</t>
  </si>
  <si>
    <t>Evolución de Titulación Total de Pregrado por tipo de institución</t>
  </si>
  <si>
    <t>Evolución de Titulación Total de Pregrado por tipo de carrera</t>
  </si>
  <si>
    <t>Carreras Profesionales Universitarias**</t>
  </si>
  <si>
    <t>Tipo de institución y carrera</t>
  </si>
  <si>
    <t>Evolución de Titulación Total de Pregrado por jornada</t>
  </si>
  <si>
    <t>Evolución de Titulación Total de Pregrado por área</t>
  </si>
  <si>
    <t>Carreras</t>
  </si>
  <si>
    <t>Técnico en Enfermería</t>
  </si>
  <si>
    <t>Técnico en Prevención de Riesgos</t>
  </si>
  <si>
    <t>Técnico en Administración de Empresas</t>
  </si>
  <si>
    <t>Técnico Asistente del Educador de Párvulos</t>
  </si>
  <si>
    <t>Técnico en Gastronomía y Cocina</t>
  </si>
  <si>
    <t>Técnico en Mecánica Automotriz</t>
  </si>
  <si>
    <t>Técnico en Turismo y Hotelería</t>
  </si>
  <si>
    <t>Técnico Asistente del Educador Diferencial</t>
  </si>
  <si>
    <t>Técnico en Mantenimiento Industrial</t>
  </si>
  <si>
    <t>Técnico Dental y Asistente de Odontología</t>
  </si>
  <si>
    <t>Técnico en Electricidad y Electricidad Industrial</t>
  </si>
  <si>
    <t>Técnico Agropecuario</t>
  </si>
  <si>
    <t>Técnico en Construcción y Obras Civiles</t>
  </si>
  <si>
    <t>Técnico en Contabilidad General</t>
  </si>
  <si>
    <t>Técnico en Instrumentación, Automatización y Control Industrial</t>
  </si>
  <si>
    <t>Ingeniería en Prevención de Riesgos</t>
  </si>
  <si>
    <t>Administración de Empresas e Ing. Asociadas</t>
  </si>
  <si>
    <t>Trabajo Social</t>
  </si>
  <si>
    <t>Contador Auditor</t>
  </si>
  <si>
    <t>Psicopedagogía</t>
  </si>
  <si>
    <t>Ingeniería en Computación e Informática</t>
  </si>
  <si>
    <t>Ingeniería en Mecánica Automotriz</t>
  </si>
  <si>
    <t>Pedagogía en Educación de Párvulos</t>
  </si>
  <si>
    <t>Técnico en Servicio Social</t>
  </si>
  <si>
    <t>Construcción Civil</t>
  </si>
  <si>
    <t>Ingeniería Comercial</t>
  </si>
  <si>
    <t>Ingeniería Civil Industrial</t>
  </si>
  <si>
    <t>Enfermería</t>
  </si>
  <si>
    <t>Psicología</t>
  </si>
  <si>
    <t>Pedagogía en Educación Física</t>
  </si>
  <si>
    <t>Pedagogía en Educación Diferencial</t>
  </si>
  <si>
    <t>Nutrición y Dietética</t>
  </si>
  <si>
    <t>Evolución de Titulación Total de Pregrado por rango de edad</t>
  </si>
  <si>
    <t>Doctorado</t>
  </si>
  <si>
    <t>Magíster</t>
  </si>
  <si>
    <t>Tipo de programa</t>
  </si>
  <si>
    <t>Tipo de institución y programa</t>
  </si>
  <si>
    <t>Especialidad médica u odontológica</t>
  </si>
  <si>
    <t>Diplomado (superior a un semestre)</t>
  </si>
  <si>
    <t xml:space="preserve">Sin información </t>
  </si>
  <si>
    <t>Evolución de Titulación Total de Postítulo por tipo de institución</t>
  </si>
  <si>
    <t>Evolución de Titulación Total de Postítulo por tipo de programa</t>
  </si>
  <si>
    <t>Nombre de la institución</t>
  </si>
  <si>
    <t>CFT ALPES</t>
  </si>
  <si>
    <t>CFT CAMARA DE COMERCIO DE SANTIAGO</t>
  </si>
  <si>
    <t>CFT CEDUC - UCN</t>
  </si>
  <si>
    <t>CFT CEITEC</t>
  </si>
  <si>
    <t>CFT CENCO</t>
  </si>
  <si>
    <t>CFT CENTRO TECNOLOGICO SUPERIOR INFOMED</t>
  </si>
  <si>
    <t>CFT DE ENAC</t>
  </si>
  <si>
    <t>CFT DE TARAPACA</t>
  </si>
  <si>
    <t>CFT DEL MEDIO AMBIENTE</t>
  </si>
  <si>
    <t>CFT EDUCAP</t>
  </si>
  <si>
    <t>CFT INACAP</t>
  </si>
  <si>
    <t>CFT INSTITUTO CENTRAL DE CAPACITACION EDUCACIONAL ICCE</t>
  </si>
  <si>
    <t>CFT INSTITUTO SUPERIOR DE ESTUDIOS JURIDICOS CANON</t>
  </si>
  <si>
    <t>CFT INSTITUTO TECNOLOGICO DE CHILE - I.T.C.</t>
  </si>
  <si>
    <t>CFT IPROSEC</t>
  </si>
  <si>
    <t>CFT JUAN BOHON</t>
  </si>
  <si>
    <t>CFT LAPLACE</t>
  </si>
  <si>
    <t>CFT LOS LAGOS</t>
  </si>
  <si>
    <t>CFT LOTA-ARAUCO</t>
  </si>
  <si>
    <t>CFT MANPOWER</t>
  </si>
  <si>
    <t>CFT MASSACHUSETTS</t>
  </si>
  <si>
    <t>CFT PRODATA</t>
  </si>
  <si>
    <t>CFT PROFASOC</t>
  </si>
  <si>
    <t>CFT SANTO TOMAS</t>
  </si>
  <si>
    <t>CFT TEODORO WICKEL KLUWEN</t>
  </si>
  <si>
    <t>IP AGRARIO ADOLFO MATTHEI</t>
  </si>
  <si>
    <t>IP AIEP</t>
  </si>
  <si>
    <t>IP CIISA</t>
  </si>
  <si>
    <t>IP DE ARTE Y COMUNICACION ARCOS</t>
  </si>
  <si>
    <t>IP DE CHILE</t>
  </si>
  <si>
    <t>IP DE CIENCIAS DE LA COMPUTACION ACUARIO DATA</t>
  </si>
  <si>
    <t>IP DEL COMERCIO</t>
  </si>
  <si>
    <t>IP DEL VALLE CENTRAL</t>
  </si>
  <si>
    <t>IP DIEGO PORTALES</t>
  </si>
  <si>
    <t>IP DR. VIRGINIO GOMEZ G.</t>
  </si>
  <si>
    <t>IP DUOC UC</t>
  </si>
  <si>
    <t>IP EATRI INSTITUTO PROFESIONAL</t>
  </si>
  <si>
    <t>IP ESCUELA DE CONTADORES AUDITORES DE SANTIAGO</t>
  </si>
  <si>
    <t>IP ESCUELA MODERNA DE MUSICA</t>
  </si>
  <si>
    <t>IP ESUCOMEX</t>
  </si>
  <si>
    <t>IP INACAP</t>
  </si>
  <si>
    <t>IP INSTITUTO DE ESTUDIOS BANCARIOS GUILLERMO SUBERCASEAUX</t>
  </si>
  <si>
    <t>IP INSTITUTO INTERNACIONAL DE ARTES CULINARIAS Y SERVICIOS</t>
  </si>
  <si>
    <t>IP INSTITUTO NACIONAL DEL FUTBOL</t>
  </si>
  <si>
    <t>IP INSTITUTO SUPERIOR DE ARTES Y CIENCIAS DE LA COMUNICACION</t>
  </si>
  <si>
    <t>IP IPG</t>
  </si>
  <si>
    <t>IP LIBERTADOR DE LOS ANDES</t>
  </si>
  <si>
    <t>IP LOS LAGOS</t>
  </si>
  <si>
    <t>IP LOS LEONES</t>
  </si>
  <si>
    <t>IP PROVIDENCIA</t>
  </si>
  <si>
    <t>IP SANTO TOMAS</t>
  </si>
  <si>
    <t>PONTIFICIA UNIVERSIDAD CATOLICA DE CHILE</t>
  </si>
  <si>
    <t>PONTIFICIA UNIVERSIDAD CATOLICA DE VALPARAISO</t>
  </si>
  <si>
    <t>UNIVERSIDAD ACADEMIA DE HUMANISMO CRISTIANO</t>
  </si>
  <si>
    <t>UNIVERSIDAD ADOLFO IBAÑEZ</t>
  </si>
  <si>
    <t>UNIVERSIDAD ADVENTISTA DE CHILE</t>
  </si>
  <si>
    <t>UNIVERSIDAD ALBERTO HURTADO</t>
  </si>
  <si>
    <t>UNIVERSIDAD ANDRES BELLO</t>
  </si>
  <si>
    <t>UNIVERSIDAD ARTURO PRAT</t>
  </si>
  <si>
    <t>UNIVERSIDAD AUSTRAL DE CHILE</t>
  </si>
  <si>
    <t>UNIVERSIDAD AUTONOMA DE CHILE</t>
  </si>
  <si>
    <t>UNIVERSIDAD BERNARDO O'HIGGINS</t>
  </si>
  <si>
    <t>UNIVERSIDAD BOLIVARIANA</t>
  </si>
  <si>
    <t>UNIVERSIDAD CATOLICA DE LA SANTISIMA CONCEPCION</t>
  </si>
  <si>
    <t>UNIVERSIDAD CATOLICA DE TEMUCO</t>
  </si>
  <si>
    <t>UNIVERSIDAD CATOLICA DEL MAULE</t>
  </si>
  <si>
    <t>UNIVERSIDAD CATOLICA DEL NORTE</t>
  </si>
  <si>
    <t>UNIVERSIDAD CENTRAL DE CHILE</t>
  </si>
  <si>
    <t>UNIVERSIDAD DE ACONCAGUA</t>
  </si>
  <si>
    <t>UNIVERSIDAD DE ANTOFAGASTA</t>
  </si>
  <si>
    <t>UNIVERSIDAD DE ARTES, CIENCIAS Y COMUNICACION - UNIACC</t>
  </si>
  <si>
    <t>UNIVERSIDAD DE ATACAMA</t>
  </si>
  <si>
    <t>UNIVERSIDAD DE CHILE</t>
  </si>
  <si>
    <t>UNIVERSIDAD DE CONCEPCION</t>
  </si>
  <si>
    <t>UNIVERSIDAD DE LA FRONTERA</t>
  </si>
  <si>
    <t>UNIVERSIDAD DE LA SERENA</t>
  </si>
  <si>
    <t>UNIVERSIDAD DE LAS AMERICAS</t>
  </si>
  <si>
    <t>UNIVERSIDAD DE LOS ANDES</t>
  </si>
  <si>
    <t>UNIVERSIDAD DE LOS LAGOS</t>
  </si>
  <si>
    <t>UNIVERSIDAD DE MAGALLANES</t>
  </si>
  <si>
    <t>UNIVERSIDAD DE PLAYA ANCHA DE CIENCIAS DE LA EDUCACION</t>
  </si>
  <si>
    <t>UNIVERSIDAD DE SANTIAGO DE CHILE</t>
  </si>
  <si>
    <t>UNIVERSIDAD DE TALCA</t>
  </si>
  <si>
    <t>UNIVERSIDAD DE TARAPACA</t>
  </si>
  <si>
    <t>UNIVERSIDAD DE VALPARAISO</t>
  </si>
  <si>
    <t>UNIVERSIDAD DE VIÑA DEL MAR</t>
  </si>
  <si>
    <t>UNIVERSIDAD DEL BIO-BIO</t>
  </si>
  <si>
    <t>UNIVERSIDAD DEL DESARROLLO</t>
  </si>
  <si>
    <t>UNIVERSIDAD DIEGO PORTALES</t>
  </si>
  <si>
    <t>UNIVERSIDAD FINIS TERRAE</t>
  </si>
  <si>
    <t>UNIVERSIDAD GABRIELA MISTRAL</t>
  </si>
  <si>
    <t>UNIVERSIDAD LOS LEONES</t>
  </si>
  <si>
    <t>UNIVERSIDAD MAYOR</t>
  </si>
  <si>
    <t>UNIVERSIDAD METROPOLITANA DE CIENCIAS DE LA EDUCACION</t>
  </si>
  <si>
    <t>UNIVERSIDAD MIGUEL DE CERVANTES</t>
  </si>
  <si>
    <t>UNIVERSIDAD SAN SEBASTIAN</t>
  </si>
  <si>
    <t>UNIVERSIDAD SANTO TOMAS</t>
  </si>
  <si>
    <t>UNIVERSIDAD SEK</t>
  </si>
  <si>
    <t>UNIVERSIDAD TECNICA FEDERICO SANTA MARIA</t>
  </si>
  <si>
    <t>UNIVERSIDAD TECNOLOGICA DE CHILE INACAP</t>
  </si>
  <si>
    <t>UNIVERSIDAD TECNOLOGICA METROPOLITANA</t>
  </si>
  <si>
    <t xml:space="preserve">Hoja </t>
  </si>
  <si>
    <t>Tabla</t>
  </si>
  <si>
    <t>Contenido</t>
  </si>
  <si>
    <t>Indice de Tablas</t>
  </si>
  <si>
    <t>Evolución de Titulación Total de Pregrado por tipo de institución 2</t>
  </si>
  <si>
    <t>Evolución de Titulación Total de Pregrado por tipo de carrera (técnico y profesional)</t>
  </si>
  <si>
    <t>Evolución de Titulación Total de Pregrado en carreras de mayor titulación - CFT</t>
  </si>
  <si>
    <t>Evolución de Titulación Total de Pregrado en carreras de mayor titulación - IP</t>
  </si>
  <si>
    <t>Evolución de Titulación Total de Pregrado en carreras de mayor titulación - Universidades</t>
  </si>
  <si>
    <t xml:space="preserve">Evolución de Titulación Total de Posgrado por tipo de programa </t>
  </si>
  <si>
    <t>Mujeres</t>
  </si>
  <si>
    <t>Hombres</t>
  </si>
  <si>
    <t>Evolución de Titulación Total por sexo</t>
  </si>
  <si>
    <t>Evolución de Titulación Total por tipo de institución 2</t>
  </si>
  <si>
    <t xml:space="preserve">Evolución de Titulación Total por tipo de institución 2 </t>
  </si>
  <si>
    <t>Profesional sin licenciatura</t>
  </si>
  <si>
    <t>Profesional con licenciatura</t>
  </si>
  <si>
    <t>Evolución de Titulación Total de Pregrado por tipo de institución y tipo de carrera</t>
  </si>
  <si>
    <t>Evolución de Titulación Total de Pregrado por tipo de institución 2 y tipo de carrera</t>
  </si>
  <si>
    <t>Evolución de Titulación Total por nivel de formación</t>
  </si>
  <si>
    <t>Evolución de Titulación Total por tipo de institución y nivel de formación</t>
  </si>
  <si>
    <t>Evolución de Titulación Total por tipo de institución 2 y nivel de formación</t>
  </si>
  <si>
    <t>Evolución de Titulación Total de Posgrado por tipo de universidad</t>
  </si>
  <si>
    <t xml:space="preserve">Evolución de Titulación Total de Posgrado por tipo de universidad y tipo de programa </t>
  </si>
  <si>
    <t>Evolución de Titulación Total de Postítulo por tipo de institución y tipo de programa</t>
  </si>
  <si>
    <t>Evolución de Titulación Total de Pregrado por sexo</t>
  </si>
  <si>
    <t>Evolución de Titulación Total de Pregrado por sexo - CFT</t>
  </si>
  <si>
    <t>Evolución de Titulación Total de Pregrado por sexo - IP</t>
  </si>
  <si>
    <t>Evolución de Titulación Total de Pregrado por sexo - Universidades</t>
  </si>
  <si>
    <t>Sexo</t>
  </si>
  <si>
    <t>Nivel de formación</t>
  </si>
  <si>
    <t>Semipresencial</t>
  </si>
  <si>
    <t>A Distancia</t>
  </si>
  <si>
    <t>Técnico en Computación e Informática</t>
  </si>
  <si>
    <t>A distancia</t>
  </si>
  <si>
    <t>Evolución de Titulación Total de Pregrado por sexo y tipo de programa</t>
  </si>
  <si>
    <t>Evolución de Titulación Total de Postítulo por sexo y tipo de programa</t>
  </si>
  <si>
    <t>Tipo de Institución</t>
  </si>
  <si>
    <t>Ingeniería en Recursos Humanos</t>
  </si>
  <si>
    <t>U. Cruch Estatal</t>
  </si>
  <si>
    <t>U. Cruch Privada</t>
  </si>
  <si>
    <t>U. Privada</t>
  </si>
  <si>
    <t>Fuente: Servicio de Información de Educación Superior (SIES), de Mineduc.</t>
  </si>
  <si>
    <t xml:space="preserve">U. Cruch Estatal </t>
  </si>
  <si>
    <t>** Incluye solo Carreras Profesionales con licenciatura y Licenciaturas no conducentes a título.</t>
  </si>
  <si>
    <t>Tipo de universidad</t>
  </si>
  <si>
    <t>Sexo y tipo de programa</t>
  </si>
  <si>
    <t>Tipo de universidad y programa</t>
  </si>
  <si>
    <r>
      <t xml:space="preserve">Diplomado 
</t>
    </r>
    <r>
      <rPr>
        <sz val="10"/>
        <color theme="1"/>
        <rFont val="Calibri"/>
        <family val="2"/>
        <scheme val="minor"/>
      </rPr>
      <t>(superior a un semestre)</t>
    </r>
  </si>
  <si>
    <t>NOTA: En caso de utilizar datos de esta base para notas periodísticas o estudios, se debe citar como fuente de los datos al Servicio de Información de Educación Superior (SIES), de Mineduc</t>
  </si>
  <si>
    <t>Arica y Parinacota</t>
  </si>
  <si>
    <t>Tarapacá</t>
  </si>
  <si>
    <t>Antofagasta</t>
  </si>
  <si>
    <t>Atacama</t>
  </si>
  <si>
    <t>Coquimbo</t>
  </si>
  <si>
    <t>Valparaíso</t>
  </si>
  <si>
    <t>Maule</t>
  </si>
  <si>
    <t>Biobío</t>
  </si>
  <si>
    <t>La Araucanía</t>
  </si>
  <si>
    <t>Los Ríos</t>
  </si>
  <si>
    <t>Los Lagos</t>
  </si>
  <si>
    <t>Aysén</t>
  </si>
  <si>
    <t>Magallanes</t>
  </si>
  <si>
    <t xml:space="preserve">Magallanes </t>
  </si>
  <si>
    <t xml:space="preserve">Total general </t>
  </si>
  <si>
    <t>Diplomado 
(superior a un semestre)</t>
  </si>
  <si>
    <t>Metropolitana</t>
  </si>
  <si>
    <t>Técnico en Logística</t>
  </si>
  <si>
    <t>IP DE ARTES ESCENICAS KAREN CONNOLLY</t>
  </si>
  <si>
    <t>IP ESCUELA DE CINE DE CHILE</t>
  </si>
  <si>
    <t>Ñuble</t>
  </si>
  <si>
    <t>Ingeniería Industrial</t>
  </si>
  <si>
    <t>IP LATINOAMERICANO DE COMERCIO EXTERIOR - IPLACEX</t>
  </si>
  <si>
    <t>UNIVERSIDAD CATOLICA CARDENAL RAUL SILVA HENRIQUEZ</t>
  </si>
  <si>
    <t>CFT ACCIOMA</t>
  </si>
  <si>
    <t>CFT CENTRO DE ENSEÑANZA DE ALTA COSTURA PAULINA DIARD</t>
  </si>
  <si>
    <t>CFT ESCUELA SUPERIOR DE ADMINISTRACION DE NEGOCIOS DEL NORTE - ESANE DEL NORTE</t>
  </si>
  <si>
    <t>CFT PUCV</t>
  </si>
  <si>
    <t>CFT SAN AGUSTIN</t>
  </si>
  <si>
    <t>IP CHILENO BRITANICO DE CULTURA</t>
  </si>
  <si>
    <t>Titulación Total 2018 de Posgrado</t>
  </si>
  <si>
    <t>Titulación Total 2018 de Postítulo</t>
  </si>
  <si>
    <t>CFT INSTITUTO SUPERIOR ALEMAN DE COMERCIO INSALCO</t>
  </si>
  <si>
    <t>IP ESCUELA DE MARINA MERCANTE PILOTO PARDO</t>
  </si>
  <si>
    <t>UNIVERSIDAD IBEROAMERICANA DE CIENCIAS Y TECNOLOGIA, UNICYT (*CARRERA EN CONVENIO USACH)</t>
  </si>
  <si>
    <t>Evolución de la Titulación Total por jornada de estudios de la carrera</t>
  </si>
  <si>
    <t>* Incluye Carreras Técnicas de Nivel Superior y Profesionales sin licenciatura.</t>
  </si>
  <si>
    <t>CFT</t>
  </si>
  <si>
    <t>CFT Estatal</t>
  </si>
  <si>
    <t>Ingeniería en Construcción</t>
  </si>
  <si>
    <t>Arquitectura</t>
  </si>
  <si>
    <t>EVOLUCIÓN TITULACIÓN DE POSTÍTULO 2007 - 2020</t>
  </si>
  <si>
    <t>CFT DE LA INDUSTRIA GRAFICA</t>
  </si>
  <si>
    <t>CFT DE LA REGION DE LA ARAUCANIA</t>
  </si>
  <si>
    <t>CFT DE LA REGION DEL MAULE</t>
  </si>
  <si>
    <t>CFT ICEL</t>
  </si>
  <si>
    <t>IP PROJAZZ</t>
  </si>
  <si>
    <t>UNIVERSIDAD DE ARTE Y CIENCIAS SOCIALES ARCIS (* CARRERA EN CONVENIO U. CATOLICA DEL MAULE)</t>
  </si>
  <si>
    <t>UNIVERSIDAD DEL PACIFICO (*CARRERA EN CONVENIO UTEM)</t>
  </si>
  <si>
    <t>Centros de Formación Técnica Estatal</t>
  </si>
  <si>
    <t>*Incluye programas de Pregrado, Posgrado y Postítulo</t>
  </si>
  <si>
    <t>A partir de 2019 las universidades Alberto Hurtado y Diego Portales, y desde 2020 la Univeridad de los Andes se integraron al Consejo de Rectores (Cruch).</t>
  </si>
  <si>
    <t>O'Higgins</t>
  </si>
  <si>
    <t>Tipo de institución y formación</t>
  </si>
  <si>
    <t xml:space="preserve">Evolución de la Titulación Total por jornada </t>
  </si>
  <si>
    <t>Carreras Técnico Profesionales*</t>
  </si>
  <si>
    <t xml:space="preserve">Promedio de Edad </t>
  </si>
  <si>
    <t>Evolución de Titulación de Pregrado por tipo de institución</t>
  </si>
  <si>
    <t>Evolución de Titulación de Pregrado por tipo de institución 2</t>
  </si>
  <si>
    <t>Evolución de Titulación de Pregrado por tipo de carrera</t>
  </si>
  <si>
    <t xml:space="preserve">Evolución de Titulación de Pregrado por tipo de carrera agrupada </t>
  </si>
  <si>
    <t>Evolución de Titulación de Pregrado por tipo de institución y de carrera</t>
  </si>
  <si>
    <t>Evolución de Titulación de Pregrado por tipo de institución 2 y tipo de carrera</t>
  </si>
  <si>
    <t>Evolución de Titulación de Pregrado por jornada</t>
  </si>
  <si>
    <t>Evolución de Titulación de Pregrado por área</t>
  </si>
  <si>
    <t>Evolución de Titulación de Pregrado en carreras con mayor titulación - CFT</t>
  </si>
  <si>
    <t>Evolución de Titulación de Pregrado en carreras con mayor titulación - IP</t>
  </si>
  <si>
    <t>Evolución de Titulación de Pregrado en carreras con mayor titulación - Universidades</t>
  </si>
  <si>
    <t>Evolución de Titulación de Pregrado por sexo</t>
  </si>
  <si>
    <t>Evolución de Titulación de Pregrado por sexo - CFT</t>
  </si>
  <si>
    <t>Evolución de Titulación de Pregrado por sexo - IP</t>
  </si>
  <si>
    <t>Evolución de Titulación de Pregrado por sexo - Universidades</t>
  </si>
  <si>
    <t>Evolución de Titulación de Pregrado por rango de edad</t>
  </si>
  <si>
    <t>Evolución de Titulación de Posgrado por tipo de universidad</t>
  </si>
  <si>
    <t xml:space="preserve">Evolución de Titulación de Posgrado por tipo de programa </t>
  </si>
  <si>
    <t xml:space="preserve">Evolución de Titulación de Posgrado por tipo de universidad y de programa </t>
  </si>
  <si>
    <t>Evolución de Titulación de Pregrado por sexo y tipo de programa</t>
  </si>
  <si>
    <t>Evolución de Titulación de Postítulo por tipo de institución</t>
  </si>
  <si>
    <t>Evolución de Titulación de Postítulo por tipo de programa</t>
  </si>
  <si>
    <t>Evolución de Titulación de Postítulo por tipo de institución y programa</t>
  </si>
  <si>
    <t>Evolución de Titulación de Postítulo por sexo y tipo de programa</t>
  </si>
  <si>
    <t>1. TITULACIÓN TOTAL 2021</t>
  </si>
  <si>
    <t>Titulación Total 2021 por tipo de institución y nivel de formación</t>
  </si>
  <si>
    <t>Titulación Total 2021 por tipo de institución y sexo</t>
  </si>
  <si>
    <t>Titulación Total 2021 por tipo de institución 2 y nivel de formación</t>
  </si>
  <si>
    <t>Titulación Total 2021 por tipo de institución 2 y sexo</t>
  </si>
  <si>
    <t>Titulación Total 2021 por región y sexo</t>
  </si>
  <si>
    <t>Titulación Total 2021  por área y sexo</t>
  </si>
  <si>
    <t>2. EVOLUCIÓN TITULACIÓN TOTAL 2007 - 2021</t>
  </si>
  <si>
    <t>3. TITULACIÓN DE PREGRADO 2021</t>
  </si>
  <si>
    <t>Titulación Total 2021 de Pregrado por sexo y tipo de institución</t>
  </si>
  <si>
    <t xml:space="preserve">Titulación Total 2021 de Pregrado por rango de edad y tipo de institución </t>
  </si>
  <si>
    <t>Titulación Total 2021 de Pregrado por tipo de carrera y tipo de institución</t>
  </si>
  <si>
    <t>Titulación Total 2021 de Pregrado por área y tipo de institución</t>
  </si>
  <si>
    <t>Titulación Total 2021 de Pregrado por área y sexo</t>
  </si>
  <si>
    <t>Titulación Total 2021 de Pregrado por jornada y tipo de institución</t>
  </si>
  <si>
    <t>Titulación Total 2021 de Pregrado por región y tipo de institución</t>
  </si>
  <si>
    <t>Titulación Total 2021 de Pregrado por región y sexo</t>
  </si>
  <si>
    <t>4. EVOLUCIÓN TITULACIÓN DE PREGRADO 2007 - 2021</t>
  </si>
  <si>
    <t>5. TITULACIÓN DE POSGRADO 2021</t>
  </si>
  <si>
    <t>Titulación Total 2021 de Posgrado por tipo de universidad y tipo de programa</t>
  </si>
  <si>
    <t>Titulación Total 2021 de Posgrado por sexo y tipo de programa</t>
  </si>
  <si>
    <t>Titulación Total 2021 de Posgrado por rango de edad y tipo de programa</t>
  </si>
  <si>
    <t>Titulación Total 2021 de Posgrado por área y tipo de programa</t>
  </si>
  <si>
    <t>Titulación Total 2021 de Posgrado por jornada y tipo de programa</t>
  </si>
  <si>
    <t>Titulación Total 2021 de Posgrado por región y tipo de programa</t>
  </si>
  <si>
    <t>Titulación Total 2021 de Posgrado por área y sexo</t>
  </si>
  <si>
    <t>Titulación Total 2021 de Posgrado por región y sexo</t>
  </si>
  <si>
    <t>6. EVOLUCIÓN TITULACIÓN DE POSGRADO 2007 - 2021</t>
  </si>
  <si>
    <t>7. TITULACIÓN DE POSTÍTULO 2021</t>
  </si>
  <si>
    <t>Titulación Total 2021 de Postítulo por tipo de universidad y tipo de programa</t>
  </si>
  <si>
    <t>Titulación Total 2021 de Postítulo por sexo y tipo de programa</t>
  </si>
  <si>
    <t>Titulación Total 2021 de Postítulo por rango de edad y tipo de programa</t>
  </si>
  <si>
    <t>Titulación Total 2021 de Postítulo por área y tipo de programa</t>
  </si>
  <si>
    <t>Titulación Total 2021 de Postítulo por jornada y tipo de programa</t>
  </si>
  <si>
    <t>Titulación Total 2021 de Postítulo por región y tipo de programa</t>
  </si>
  <si>
    <t>Titulación Total 2021 de Postítulo por área y sexo</t>
  </si>
  <si>
    <t>Titulación Total 2021 de Postítulo por región y sexo</t>
  </si>
  <si>
    <t>8. EVOLUCIÓN TITULACIÓN DE POSTÍTULO 2007 - 2021</t>
  </si>
  <si>
    <t>Listado de instituciones participantes 2021</t>
  </si>
  <si>
    <t>TITULACIÓN TOTAL 2021</t>
  </si>
  <si>
    <t>A partir de 2019 las universidades Alberto Hurtado y Diego Portales, y desde 2021 la Univeridad de los Andes se integraron al Consejo de Rectores (Cruch).</t>
  </si>
  <si>
    <t>Titulación Total 2021  por área del conocimiento y sexo</t>
  </si>
  <si>
    <t>EVOLUCIÓN TITULACIÓN TOTAL 2007 - 2021</t>
  </si>
  <si>
    <t>% Variación 2012 - 2021</t>
  </si>
  <si>
    <t>% Variación 2017  - 2021</t>
  </si>
  <si>
    <t>% Variación 2020 - 2021</t>
  </si>
  <si>
    <t>Distribución Titulación 2021</t>
  </si>
  <si>
    <t>TITULACIÓN DE PREGRADO 2021</t>
  </si>
  <si>
    <t>Titulación de Pregrado 2021 por sexo y tipo de institución</t>
  </si>
  <si>
    <t>Titulación 2021 de Pregrado Mujeres</t>
  </si>
  <si>
    <t>Titulación 2021 de Pregrado Hombres</t>
  </si>
  <si>
    <t>Titulación Total 2021 de Pregrado</t>
  </si>
  <si>
    <t xml:space="preserve">Titulación de Pregrado 2021 por rango de edad y tipo de institución </t>
  </si>
  <si>
    <t>Titulación de Pregrado 2021 por tipo de carrera y de institución</t>
  </si>
  <si>
    <t>Titulación de Pregrado 2021 por área y tipo de institución</t>
  </si>
  <si>
    <t>Titulación de Pregrado 2021 por área y sexo</t>
  </si>
  <si>
    <t>Titulación de Pregrado 2021 por jornada y tipo de institución</t>
  </si>
  <si>
    <t>Titulación de Pregrado 2021 por región y sexo</t>
  </si>
  <si>
    <t>EVOLUCIÓN TITULACIÓN DE PREGRADO 2007 - 2021</t>
  </si>
  <si>
    <t>TITULACIÓN DE POSGRADO 2021</t>
  </si>
  <si>
    <t>Titulación de Posgrado 2021 por tipo de universidad y de programa</t>
  </si>
  <si>
    <t>Titulación de Posgrado 2021 por sexo y tipo de programa</t>
  </si>
  <si>
    <t>Titulación 2021 de Posgrado Mujeres</t>
  </si>
  <si>
    <t>Titulación 2021 de Posgrado Hombres</t>
  </si>
  <si>
    <t>Titulación de Posgrado 2021 por rango de edad y tipo de programa</t>
  </si>
  <si>
    <t>Titulación de Posgrado 2021 por área y tipo de programa</t>
  </si>
  <si>
    <t>Titulación de Posgrado 2021 por jornada y tipo de programa</t>
  </si>
  <si>
    <t>Titulación de Posgrado 2021 por región y tipo de programa</t>
  </si>
  <si>
    <t>Titulación de Posgrado 2021 por área y sexo</t>
  </si>
  <si>
    <t>Titulación de Posgrado 2021 por región y sexo</t>
  </si>
  <si>
    <t>EVOLUCIÓN TITULACIÓN DE POSGRADO 2007 - 2021</t>
  </si>
  <si>
    <t>TITULACIÓN DE POSTÍTULO 2021</t>
  </si>
  <si>
    <t>Titulación de Postítulo 2021 por tipo de institución y de programa</t>
  </si>
  <si>
    <t>Titulación de Postítulo 2021 por sexo y tipo de programa</t>
  </si>
  <si>
    <t>Titulación 2021 de Postìtulo Mujeres</t>
  </si>
  <si>
    <t>Titulación 2021 de Postítulo Hombres</t>
  </si>
  <si>
    <t>Titulación de Postítulo 2021 por rango de edad y tipo de programa</t>
  </si>
  <si>
    <t>Titulación de Postítulo 2021 por área y tipo de programa</t>
  </si>
  <si>
    <t>Titulación de Postítulo 2021 por jornada y tipo de programa</t>
  </si>
  <si>
    <t>Titulación de Postítulo 2021 por región y tipo de programa</t>
  </si>
  <si>
    <t>Titulación de Postítulo 2021 por área y sexo</t>
  </si>
  <si>
    <t>Titulación de Postítulo 2021 por región y sexo</t>
  </si>
  <si>
    <t>Instituciones participantes en proceso Titulación 2021</t>
  </si>
  <si>
    <t>Titulados Pregrado 2021</t>
  </si>
  <si>
    <t>Graduados Posgrado 2021</t>
  </si>
  <si>
    <t>Titulados Postítulo 2021</t>
  </si>
  <si>
    <t>Total Titulados y/o Graduados 2021</t>
  </si>
  <si>
    <t>INFORME TITULACIÓN 2021</t>
  </si>
  <si>
    <t>Técnico en Deporte, Recreación y Preparación Física</t>
  </si>
  <si>
    <t>Técnico en Laboratorio Clínico</t>
  </si>
  <si>
    <t>Kinesiología</t>
  </si>
  <si>
    <t>Medicina</t>
  </si>
  <si>
    <t>Odontología</t>
  </si>
  <si>
    <t>Fonoaudiología</t>
  </si>
  <si>
    <t>Terapia Ocupacional</t>
  </si>
  <si>
    <t>Tecnología Médica</t>
  </si>
  <si>
    <t>CFT DE LA REGION DE ARICA Y PARINACOTA</t>
  </si>
  <si>
    <t>CFT DE LA REGION DE COQUIMBO</t>
  </si>
  <si>
    <t>CFT DE LA REGION DE TARAPACA</t>
  </si>
  <si>
    <t>CFT DE LA REGION DE VALPARAISO</t>
  </si>
  <si>
    <t>CFT ESCUELA CULINARIA FRANCESA</t>
  </si>
  <si>
    <t>UNIVERSIDAD DE AYSEN</t>
  </si>
  <si>
    <t>UNIVERSIDAD DE O'HIGGINS</t>
  </si>
  <si>
    <t>UNIVERSIDAD EL 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</si>
</sst>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_-;\-* #,##0.00_-;_-* &quot;-&quot;??_-;_-@_-"/>
    <numFmt numFmtId="165" formatCode="_-* #,##0.00\ _€_-;\-* #,##0.00\ _€_-;_-* &quot;-&quot;??\ _€_-;_-@_-"/>
    <numFmt numFmtId="166" formatCode="_-* #,##0_-;\-* #,##0_-;_-* &quot;-&quot;??_-;_-@_-"/>
    <numFmt numFmtId="167" formatCode="0.0%"/>
    <numFmt numFmtId="168" formatCode="_-* #,##0.0_-;\-* #,##0.0_-;_-* &quot;-&quot;??_-;_-@_-"/>
    <numFmt numFmtId="169" formatCode="_-* #,##0\ _€_-;\-* #,##0\ _€_-;_-* &quot;-&quot;??\ _€_-;_-@_-"/>
    <numFmt numFmtId="170" formatCode="_-* #,##0.0\ _€_-;\-* #,##0.0\ _€_-;_-* &quot;-&quot;??\ _€_-;_-@_-"/>
  </numFmts>
  <fonts count="24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5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</cellStyleXfs>
  <cellXfs count="132">
    <xf numFmtId="0" fontId="0" fillId="0" borderId="0" xfId="0"/>
    <xf numFmtId="0" fontId="6" fillId="0" borderId="0" xfId="1" applyAlignment="1">
      <alignment vertical="center"/>
    </xf>
    <xf numFmtId="0" fontId="6" fillId="0" borderId="0" xfId="1"/>
    <xf numFmtId="0" fontId="5" fillId="2" borderId="1" xfId="1" applyFont="1" applyFill="1" applyBorder="1" applyAlignment="1">
      <alignment horizontal="center" vertical="center"/>
    </xf>
    <xf numFmtId="166" fontId="4" fillId="3" borderId="1" xfId="2" applyNumberFormat="1" applyFont="1" applyFill="1" applyBorder="1" applyAlignment="1">
      <alignment horizontal="left" vertical="center"/>
    </xf>
    <xf numFmtId="166" fontId="5" fillId="3" borderId="1" xfId="2" applyNumberFormat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 wrapText="1"/>
    </xf>
    <xf numFmtId="166" fontId="4" fillId="3" borderId="1" xfId="4" applyNumberFormat="1" applyFont="1" applyFill="1" applyBorder="1" applyAlignment="1">
      <alignment horizontal="left" vertical="center"/>
    </xf>
    <xf numFmtId="166" fontId="4" fillId="0" borderId="1" xfId="4" applyNumberFormat="1" applyFont="1" applyBorder="1" applyAlignment="1">
      <alignment horizontal="center" vertical="center"/>
    </xf>
    <xf numFmtId="166" fontId="5" fillId="3" borderId="1" xfId="4" applyNumberFormat="1" applyFont="1" applyFill="1" applyBorder="1" applyAlignment="1">
      <alignment horizontal="left" vertical="center"/>
    </xf>
    <xf numFmtId="166" fontId="5" fillId="0" borderId="1" xfId="4" applyNumberFormat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167" fontId="0" fillId="0" borderId="0" xfId="3" applyNumberFormat="1" applyFont="1"/>
    <xf numFmtId="167" fontId="5" fillId="3" borderId="1" xfId="3" applyNumberFormat="1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vertical="center"/>
    </xf>
    <xf numFmtId="166" fontId="4" fillId="0" borderId="1" xfId="1" applyNumberFormat="1" applyFont="1" applyBorder="1" applyAlignment="1">
      <alignment vertical="center"/>
    </xf>
    <xf numFmtId="166" fontId="4" fillId="0" borderId="1" xfId="4" applyNumberFormat="1" applyFont="1" applyFill="1" applyBorder="1" applyAlignment="1">
      <alignment horizontal="left" vertical="center"/>
    </xf>
    <xf numFmtId="166" fontId="5" fillId="0" borderId="1" xfId="4" applyNumberFormat="1" applyFont="1" applyFill="1" applyBorder="1" applyAlignment="1">
      <alignment horizontal="left" vertical="center"/>
    </xf>
    <xf numFmtId="166" fontId="4" fillId="3" borderId="1" xfId="2" applyNumberFormat="1" applyFont="1" applyFill="1" applyBorder="1" applyAlignment="1">
      <alignment horizontal="center" vertical="center"/>
    </xf>
    <xf numFmtId="166" fontId="5" fillId="3" borderId="1" xfId="2" applyNumberFormat="1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0" fontId="8" fillId="3" borderId="0" xfId="1" applyFont="1" applyFill="1" applyAlignment="1">
      <alignment vertical="center"/>
    </xf>
    <xf numFmtId="0" fontId="15" fillId="0" borderId="0" xfId="1" applyFont="1" applyFill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Fill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ill="1" applyAlignment="1">
      <alignment vertical="center"/>
    </xf>
    <xf numFmtId="0" fontId="7" fillId="0" borderId="0" xfId="1" applyFont="1" applyFill="1" applyAlignment="1">
      <alignment vertical="center"/>
    </xf>
    <xf numFmtId="166" fontId="0" fillId="3" borderId="1" xfId="2" applyNumberFormat="1" applyFont="1" applyFill="1" applyBorder="1" applyAlignment="1">
      <alignment horizontal="left" vertical="center"/>
    </xf>
    <xf numFmtId="0" fontId="6" fillId="0" borderId="0" xfId="1" applyAlignment="1">
      <alignment horizontal="left" vertical="center"/>
    </xf>
    <xf numFmtId="166" fontId="4" fillId="3" borderId="1" xfId="7" applyNumberFormat="1" applyFont="1" applyFill="1" applyBorder="1" applyAlignment="1">
      <alignment horizontal="left" vertical="center"/>
    </xf>
    <xf numFmtId="0" fontId="7" fillId="3" borderId="0" xfId="1" applyFont="1" applyFill="1" applyAlignment="1">
      <alignment vertical="center"/>
    </xf>
    <xf numFmtId="0" fontId="6" fillId="3" borderId="0" xfId="1" applyFill="1" applyAlignment="1">
      <alignment vertical="center"/>
    </xf>
    <xf numFmtId="0" fontId="8" fillId="3" borderId="0" xfId="1" applyFont="1" applyFill="1" applyAlignment="1">
      <alignment horizontal="left" vertical="center"/>
    </xf>
    <xf numFmtId="169" fontId="4" fillId="0" borderId="1" xfId="22" applyNumberFormat="1" applyFont="1" applyBorder="1" applyAlignment="1">
      <alignment horizontal="center" vertical="center"/>
    </xf>
    <xf numFmtId="169" fontId="5" fillId="0" borderId="1" xfId="22" applyNumberFormat="1" applyFont="1" applyBorder="1" applyAlignment="1">
      <alignment horizontal="center" vertical="center"/>
    </xf>
    <xf numFmtId="169" fontId="6" fillId="0" borderId="0" xfId="22" applyNumberFormat="1" applyFont="1" applyAlignment="1">
      <alignment vertical="center"/>
    </xf>
    <xf numFmtId="169" fontId="6" fillId="3" borderId="0" xfId="22" applyNumberFormat="1" applyFont="1" applyFill="1" applyAlignment="1">
      <alignment vertical="center"/>
    </xf>
    <xf numFmtId="169" fontId="5" fillId="4" borderId="1" xfId="22" applyNumberFormat="1" applyFont="1" applyFill="1" applyBorder="1" applyAlignment="1">
      <alignment horizontal="center" vertical="center" wrapText="1"/>
    </xf>
    <xf numFmtId="169" fontId="13" fillId="0" borderId="1" xfId="22" applyNumberFormat="1" applyFont="1" applyFill="1" applyBorder="1" applyAlignment="1">
      <alignment horizontal="right" vertical="center"/>
    </xf>
    <xf numFmtId="169" fontId="14" fillId="0" borderId="1" xfId="22" applyNumberFormat="1" applyFont="1" applyFill="1" applyBorder="1" applyAlignment="1">
      <alignment horizontal="right" vertical="center"/>
    </xf>
    <xf numFmtId="169" fontId="6" fillId="0" borderId="0" xfId="22" applyNumberFormat="1" applyFont="1"/>
    <xf numFmtId="169" fontId="20" fillId="2" borderId="1" xfId="22" applyNumberFormat="1" applyFont="1" applyFill="1" applyBorder="1" applyAlignment="1">
      <alignment horizontal="center" vertical="center" wrapText="1"/>
    </xf>
    <xf numFmtId="169" fontId="8" fillId="3" borderId="0" xfId="22" applyNumberFormat="1" applyFont="1" applyFill="1" applyAlignment="1">
      <alignment vertical="center"/>
    </xf>
    <xf numFmtId="169" fontId="5" fillId="4" borderId="1" xfId="22" applyNumberFormat="1" applyFont="1" applyFill="1" applyBorder="1" applyAlignment="1">
      <alignment vertical="center"/>
    </xf>
    <xf numFmtId="169" fontId="0" fillId="0" borderId="1" xfId="22" applyNumberFormat="1" applyFont="1" applyBorder="1" applyAlignment="1">
      <alignment vertical="center"/>
    </xf>
    <xf numFmtId="169" fontId="5" fillId="0" borderId="1" xfId="22" applyNumberFormat="1" applyFont="1" applyBorder="1" applyAlignment="1">
      <alignment vertical="center"/>
    </xf>
    <xf numFmtId="169" fontId="5" fillId="2" borderId="1" xfId="22" applyNumberFormat="1" applyFont="1" applyFill="1" applyBorder="1" applyAlignment="1">
      <alignment horizontal="left" vertical="center"/>
    </xf>
    <xf numFmtId="169" fontId="4" fillId="3" borderId="1" xfId="22" applyNumberFormat="1" applyFont="1" applyFill="1" applyBorder="1" applyAlignment="1">
      <alignment horizontal="left" vertical="center"/>
    </xf>
    <xf numFmtId="169" fontId="5" fillId="3" borderId="1" xfId="22" applyNumberFormat="1" applyFont="1" applyFill="1" applyBorder="1" applyAlignment="1">
      <alignment horizontal="left" vertical="center"/>
    </xf>
    <xf numFmtId="169" fontId="5" fillId="4" borderId="1" xfId="22" applyNumberFormat="1" applyFont="1" applyFill="1" applyBorder="1" applyAlignment="1">
      <alignment horizontal="left" vertical="center"/>
    </xf>
    <xf numFmtId="169" fontId="5" fillId="3" borderId="0" xfId="22" applyNumberFormat="1" applyFont="1" applyFill="1" applyBorder="1" applyAlignment="1">
      <alignment vertical="center"/>
    </xf>
    <xf numFmtId="169" fontId="5" fillId="3" borderId="0" xfId="22" applyNumberFormat="1" applyFont="1" applyFill="1" applyBorder="1" applyAlignment="1">
      <alignment horizontal="center" vertical="center"/>
    </xf>
    <xf numFmtId="169" fontId="7" fillId="3" borderId="0" xfId="22" applyNumberFormat="1" applyFont="1" applyFill="1" applyAlignment="1">
      <alignment vertical="center"/>
    </xf>
    <xf numFmtId="169" fontId="4" fillId="0" borderId="1" xfId="22" applyNumberFormat="1" applyFont="1" applyFill="1" applyBorder="1" applyAlignment="1">
      <alignment horizontal="center" vertical="center"/>
    </xf>
    <xf numFmtId="169" fontId="5" fillId="0" borderId="1" xfId="22" applyNumberFormat="1" applyFont="1" applyFill="1" applyBorder="1" applyAlignment="1">
      <alignment horizontal="center" vertical="center"/>
    </xf>
    <xf numFmtId="0" fontId="21" fillId="3" borderId="0" xfId="1" applyFont="1" applyFill="1" applyAlignment="1">
      <alignment vertical="center"/>
    </xf>
    <xf numFmtId="167" fontId="0" fillId="3" borderId="0" xfId="3" applyNumberFormat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9" fillId="3" borderId="0" xfId="1" applyFont="1" applyFill="1" applyAlignment="1">
      <alignment horizontal="left" vertical="center"/>
    </xf>
    <xf numFmtId="0" fontId="10" fillId="3" borderId="0" xfId="5" applyFill="1" applyAlignment="1">
      <alignment vertical="center"/>
    </xf>
    <xf numFmtId="0" fontId="11" fillId="3" borderId="0" xfId="1" applyFont="1" applyFill="1" applyAlignment="1">
      <alignment vertical="center"/>
    </xf>
    <xf numFmtId="169" fontId="6" fillId="3" borderId="0" xfId="22" applyNumberFormat="1" applyFont="1" applyFill="1"/>
    <xf numFmtId="169" fontId="10" fillId="3" borderId="0" xfId="22" applyNumberFormat="1" applyFont="1" applyFill="1"/>
    <xf numFmtId="0" fontId="12" fillId="3" borderId="0" xfId="1" applyFont="1" applyFill="1" applyAlignment="1">
      <alignment horizontal="left" vertical="center"/>
    </xf>
    <xf numFmtId="0" fontId="6" fillId="3" borderId="0" xfId="1" applyFill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0" fontId="10" fillId="3" borderId="0" xfId="5" applyFill="1" applyAlignment="1">
      <alignment horizontal="left" vertical="center"/>
    </xf>
    <xf numFmtId="166" fontId="5" fillId="0" borderId="1" xfId="2" applyNumberFormat="1" applyFont="1" applyFill="1" applyBorder="1" applyAlignment="1">
      <alignment horizontal="left" vertical="center"/>
    </xf>
    <xf numFmtId="166" fontId="5" fillId="0" borderId="1" xfId="2" applyNumberFormat="1" applyFont="1" applyFill="1" applyBorder="1" applyAlignment="1">
      <alignment horizontal="center" vertical="center"/>
    </xf>
    <xf numFmtId="169" fontId="5" fillId="0" borderId="1" xfId="22" applyNumberFormat="1" applyFont="1" applyFill="1" applyBorder="1" applyAlignment="1">
      <alignment horizontal="left" vertical="center"/>
    </xf>
    <xf numFmtId="167" fontId="5" fillId="3" borderId="1" xfId="23" applyNumberFormat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166" fontId="4" fillId="3" borderId="1" xfId="2" applyNumberFormat="1" applyFont="1" applyFill="1" applyBorder="1" applyAlignment="1">
      <alignment horizontal="left" vertical="center" indent="1"/>
    </xf>
    <xf numFmtId="0" fontId="21" fillId="3" borderId="0" xfId="1" applyFont="1" applyFill="1" applyAlignment="1">
      <alignment horizontal="left" vertical="center"/>
    </xf>
    <xf numFmtId="169" fontId="21" fillId="3" borderId="0" xfId="22" applyNumberFormat="1" applyFont="1" applyFill="1" applyAlignment="1">
      <alignment vertical="center"/>
    </xf>
    <xf numFmtId="166" fontId="5" fillId="4" borderId="1" xfId="2" applyNumberFormat="1" applyFont="1" applyFill="1" applyBorder="1" applyAlignment="1">
      <alignment horizontal="left" vertical="center"/>
    </xf>
    <xf numFmtId="169" fontId="5" fillId="4" borderId="1" xfId="22" applyNumberFormat="1" applyFont="1" applyFill="1" applyBorder="1" applyAlignment="1">
      <alignment horizontal="left" vertical="center" wrapText="1"/>
    </xf>
    <xf numFmtId="166" fontId="0" fillId="3" borderId="1" xfId="4" applyNumberFormat="1" applyFont="1" applyFill="1" applyBorder="1" applyAlignment="1">
      <alignment horizontal="left" vertical="center"/>
    </xf>
    <xf numFmtId="169" fontId="0" fillId="3" borderId="1" xfId="22" applyNumberFormat="1" applyFont="1" applyFill="1" applyBorder="1" applyAlignment="1">
      <alignment horizontal="left" vertical="center"/>
    </xf>
    <xf numFmtId="167" fontId="4" fillId="4" borderId="1" xfId="3" applyNumberFormat="1" applyFont="1" applyFill="1" applyBorder="1" applyAlignment="1">
      <alignment horizontal="center" vertical="center"/>
    </xf>
    <xf numFmtId="168" fontId="5" fillId="4" borderId="1" xfId="2" applyNumberFormat="1" applyFont="1" applyFill="1" applyBorder="1" applyAlignment="1">
      <alignment horizontal="left" vertical="center"/>
    </xf>
    <xf numFmtId="170" fontId="5" fillId="4" borderId="1" xfId="22" applyNumberFormat="1" applyFont="1" applyFill="1" applyBorder="1" applyAlignment="1">
      <alignment horizontal="center" vertical="center"/>
    </xf>
    <xf numFmtId="166" fontId="0" fillId="0" borderId="1" xfId="4" applyNumberFormat="1" applyFont="1" applyFill="1" applyBorder="1" applyAlignment="1">
      <alignment horizontal="left" vertical="center"/>
    </xf>
    <xf numFmtId="169" fontId="0" fillId="0" borderId="1" xfId="22" applyNumberFormat="1" applyFont="1" applyFill="1" applyBorder="1" applyAlignment="1">
      <alignment horizontal="left" vertical="center"/>
    </xf>
    <xf numFmtId="166" fontId="4" fillId="3" borderId="1" xfId="4" applyNumberFormat="1" applyFont="1" applyFill="1" applyBorder="1" applyAlignment="1">
      <alignment horizontal="center" vertical="center"/>
    </xf>
    <xf numFmtId="166" fontId="5" fillId="3" borderId="1" xfId="4" applyNumberFormat="1" applyFont="1" applyFill="1" applyBorder="1" applyAlignment="1">
      <alignment horizontal="center" vertical="center"/>
    </xf>
    <xf numFmtId="167" fontId="4" fillId="3" borderId="1" xfId="23" applyNumberFormat="1" applyFont="1" applyFill="1" applyBorder="1" applyAlignment="1">
      <alignment horizontal="center" vertical="center"/>
    </xf>
    <xf numFmtId="170" fontId="5" fillId="4" borderId="1" xfId="22" applyNumberFormat="1" applyFont="1" applyFill="1" applyBorder="1" applyAlignment="1">
      <alignment horizontal="left" vertical="center"/>
    </xf>
    <xf numFmtId="0" fontId="10" fillId="0" borderId="0" xfId="5" applyFill="1"/>
    <xf numFmtId="166" fontId="5" fillId="3" borderId="1" xfId="1" applyNumberFormat="1" applyFont="1" applyFill="1" applyBorder="1" applyAlignment="1">
      <alignment horizontal="center" vertical="center"/>
    </xf>
    <xf numFmtId="167" fontId="4" fillId="3" borderId="0" xfId="3" applyNumberFormat="1" applyFont="1" applyFill="1" applyBorder="1" applyAlignment="1">
      <alignment horizontal="center" vertical="center"/>
    </xf>
    <xf numFmtId="167" fontId="6" fillId="0" borderId="0" xfId="23" applyNumberFormat="1" applyFont="1" applyAlignment="1">
      <alignment horizontal="right" vertical="center"/>
    </xf>
    <xf numFmtId="167" fontId="6" fillId="0" borderId="0" xfId="23" applyNumberFormat="1" applyFont="1" applyAlignment="1">
      <alignment vertical="center"/>
    </xf>
    <xf numFmtId="167" fontId="4" fillId="0" borderId="1" xfId="23" applyNumberFormat="1" applyFont="1" applyFill="1" applyBorder="1" applyAlignment="1">
      <alignment horizontal="center" vertical="center"/>
    </xf>
    <xf numFmtId="167" fontId="5" fillId="0" borderId="1" xfId="23" applyNumberFormat="1" applyFont="1" applyFill="1" applyBorder="1" applyAlignment="1">
      <alignment horizontal="center" vertical="center"/>
    </xf>
    <xf numFmtId="167" fontId="4" fillId="0" borderId="1" xfId="3" applyNumberFormat="1" applyFont="1" applyFill="1" applyBorder="1" applyAlignment="1">
      <alignment horizontal="center" vertical="center"/>
    </xf>
    <xf numFmtId="167" fontId="5" fillId="0" borderId="1" xfId="3" applyNumberFormat="1" applyFont="1" applyFill="1" applyBorder="1" applyAlignment="1">
      <alignment horizontal="center" vertical="center"/>
    </xf>
    <xf numFmtId="166" fontId="4" fillId="0" borderId="1" xfId="2" applyNumberFormat="1" applyFont="1" applyFill="1" applyBorder="1" applyAlignment="1">
      <alignment horizontal="left" vertical="center"/>
    </xf>
    <xf numFmtId="166" fontId="4" fillId="0" borderId="1" xfId="2" applyNumberFormat="1" applyFont="1" applyFill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6" fontId="4" fillId="0" borderId="1" xfId="2" applyNumberFormat="1" applyFont="1" applyFill="1" applyBorder="1" applyAlignment="1">
      <alignment horizontal="left" vertical="center" indent="1"/>
    </xf>
    <xf numFmtId="166" fontId="4" fillId="0" borderId="1" xfId="1" applyNumberFormat="1" applyFont="1" applyFill="1" applyBorder="1" applyAlignment="1">
      <alignment horizontal="center" vertical="center"/>
    </xf>
    <xf numFmtId="167" fontId="6" fillId="3" borderId="0" xfId="23" applyNumberFormat="1" applyFont="1" applyFill="1" applyAlignment="1">
      <alignment horizontal="center" vertical="center"/>
    </xf>
    <xf numFmtId="167" fontId="22" fillId="0" borderId="0" xfId="23" applyNumberFormat="1" applyFont="1" applyAlignment="1">
      <alignment vertical="center"/>
    </xf>
    <xf numFmtId="0" fontId="12" fillId="3" borderId="0" xfId="1" applyFont="1" applyFill="1" applyAlignment="1">
      <alignment vertical="center"/>
    </xf>
    <xf numFmtId="167" fontId="5" fillId="3" borderId="0" xfId="23" applyNumberFormat="1" applyFont="1" applyFill="1" applyBorder="1" applyAlignment="1">
      <alignment horizontal="right" vertical="center"/>
    </xf>
    <xf numFmtId="166" fontId="6" fillId="3" borderId="0" xfId="1" applyNumberFormat="1" applyFill="1" applyAlignment="1">
      <alignment vertical="center"/>
    </xf>
    <xf numFmtId="167" fontId="6" fillId="3" borderId="0" xfId="23" applyNumberFormat="1" applyFont="1" applyFill="1" applyAlignment="1">
      <alignment vertical="center"/>
    </xf>
    <xf numFmtId="166" fontId="6" fillId="0" borderId="0" xfId="1" applyNumberFormat="1" applyAlignment="1">
      <alignment horizontal="left" vertical="center"/>
    </xf>
    <xf numFmtId="167" fontId="6" fillId="0" borderId="0" xfId="23" applyNumberFormat="1" applyFont="1" applyAlignment="1">
      <alignment horizontal="center" vertical="center"/>
    </xf>
    <xf numFmtId="167" fontId="9" fillId="3" borderId="0" xfId="23" applyNumberFormat="1" applyFont="1" applyFill="1" applyAlignment="1">
      <alignment horizontal="right" vertical="center"/>
    </xf>
    <xf numFmtId="167" fontId="6" fillId="3" borderId="0" xfId="1" applyNumberFormat="1" applyFill="1" applyAlignment="1">
      <alignment vertical="center"/>
    </xf>
    <xf numFmtId="169" fontId="4" fillId="3" borderId="1" xfId="22" applyNumberFormat="1" applyFont="1" applyFill="1" applyBorder="1" applyAlignment="1">
      <alignment horizontal="center" vertical="center"/>
    </xf>
    <xf numFmtId="169" fontId="5" fillId="3" borderId="1" xfId="22" applyNumberFormat="1" applyFont="1" applyFill="1" applyBorder="1" applyAlignment="1">
      <alignment horizontal="center" vertical="center"/>
    </xf>
    <xf numFmtId="0" fontId="8" fillId="0" borderId="0" xfId="1" applyFont="1" applyFill="1" applyAlignment="1">
      <alignment horizontal="left" vertical="center"/>
    </xf>
    <xf numFmtId="170" fontId="5" fillId="5" borderId="1" xfId="22" applyNumberFormat="1" applyFont="1" applyFill="1" applyBorder="1" applyAlignment="1">
      <alignment horizontal="left" vertical="center"/>
    </xf>
    <xf numFmtId="167" fontId="5" fillId="5" borderId="1" xfId="3" applyNumberFormat="1" applyFont="1" applyFill="1" applyBorder="1" applyAlignment="1">
      <alignment horizontal="center" vertical="center"/>
    </xf>
    <xf numFmtId="167" fontId="4" fillId="5" borderId="1" xfId="3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>
      <alignment vertical="center"/>
    </xf>
    <xf numFmtId="0" fontId="20" fillId="2" borderId="1" xfId="0" applyFont="1" applyFill="1" applyBorder="1" applyAlignment="1">
      <alignment horizontal="left" vertical="center"/>
    </xf>
    <xf numFmtId="0" fontId="1" fillId="3" borderId="0" xfId="6" applyFont="1" applyFill="1" applyAlignment="1">
      <alignment vertical="center"/>
    </xf>
    <xf numFmtId="0" fontId="0" fillId="3" borderId="0" xfId="1" applyFont="1" applyFill="1" applyAlignment="1">
      <alignment vertical="center"/>
    </xf>
    <xf numFmtId="166" fontId="0" fillId="3" borderId="1" xfId="2" applyNumberFormat="1" applyFont="1" applyFill="1" applyBorder="1" applyAlignment="1">
      <alignment horizontal="left" vertical="center" indent="1"/>
    </xf>
    <xf numFmtId="169" fontId="6" fillId="0" borderId="1" xfId="22" applyNumberFormat="1" applyFont="1" applyBorder="1" applyAlignment="1">
      <alignment vertical="center"/>
    </xf>
    <xf numFmtId="169" fontId="4" fillId="0" borderId="0" xfId="22" applyNumberFormat="1" applyFont="1"/>
    <xf numFmtId="169" fontId="4" fillId="0" borderId="1" xfId="22" applyNumberFormat="1" applyFont="1" applyBorder="1"/>
    <xf numFmtId="168" fontId="5" fillId="4" borderId="1" xfId="22" applyNumberFormat="1" applyFont="1" applyFill="1" applyBorder="1" applyAlignment="1">
      <alignment horizontal="left" vertical="center"/>
    </xf>
    <xf numFmtId="0" fontId="23" fillId="3" borderId="0" xfId="0" applyFont="1" applyFill="1"/>
    <xf numFmtId="167" fontId="6" fillId="0" borderId="0" xfId="1" applyNumberFormat="1" applyFill="1" applyAlignment="1">
      <alignment vertical="center"/>
    </xf>
  </cellXfs>
  <cellStyles count="25">
    <cellStyle name="Hipervínculo" xfId="5" builtinId="8"/>
    <cellStyle name="Millares" xfId="22" builtinId="3"/>
    <cellStyle name="Millares 2" xfId="2"/>
    <cellStyle name="Millares 2 2" xfId="8"/>
    <cellStyle name="Millares 3" xfId="13"/>
    <cellStyle name="Millares 4" xfId="4"/>
    <cellStyle name="Millares 4 2" xfId="21"/>
    <cellStyle name="Millares 5" xfId="7"/>
    <cellStyle name="Normal" xfId="0" builtinId="0"/>
    <cellStyle name="Normal 2" xfId="1"/>
    <cellStyle name="Normal 2 2" xfId="14"/>
    <cellStyle name="Normal 2 3" xfId="10"/>
    <cellStyle name="Normal 3" xfId="12"/>
    <cellStyle name="Normal 3 2" xfId="15"/>
    <cellStyle name="Normal 3 3" xfId="16"/>
    <cellStyle name="Normal 3 4" xfId="17"/>
    <cellStyle name="Normal 4" xfId="18"/>
    <cellStyle name="Normal 5" xfId="6"/>
    <cellStyle name="Normal 5 2" xfId="19"/>
    <cellStyle name="Normal 6" xfId="24"/>
    <cellStyle name="Porcentaje" xfId="23" builtinId="5"/>
    <cellStyle name="Porcentaje 2" xfId="3"/>
    <cellStyle name="Porcentaje 2 2" xfId="9"/>
    <cellStyle name="Porcentaje 3" xfId="20"/>
    <cellStyle name="Porcentual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4810124</xdr:colOff>
      <xdr:row>0</xdr:row>
      <xdr:rowOff>0</xdr:rowOff>
    </xdr:from>
    <xdr:to>
      <xdr:col>3</xdr:col>
      <xdr:colOff>35857</xdr:colOff>
      <xdr:row>1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4" y="0"/>
          <a:ext cx="988358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0</xdr:row>
      <xdr:rowOff>0</xdr:rowOff>
    </xdr:from>
    <xdr:to>
      <xdr:col>6</xdr:col>
      <xdr:colOff>66675</xdr:colOff>
      <xdr:row>2</xdr:row>
      <xdr:rowOff>17828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0"/>
          <a:ext cx="885825" cy="6083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676275</xdr:colOff>
      <xdr:row>0</xdr:row>
      <xdr:rowOff>0</xdr:rowOff>
    </xdr:from>
    <xdr:to>
      <xdr:col>12</xdr:col>
      <xdr:colOff>231198</xdr:colOff>
      <xdr:row>2</xdr:row>
      <xdr:rowOff>2242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0"/>
          <a:ext cx="878898" cy="6023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0</xdr:row>
      <xdr:rowOff>0</xdr:rowOff>
    </xdr:from>
    <xdr:to>
      <xdr:col>5</xdr:col>
      <xdr:colOff>56285</xdr:colOff>
      <xdr:row>2</xdr:row>
      <xdr:rowOff>19560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0"/>
          <a:ext cx="875435" cy="6005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14</xdr:col>
      <xdr:colOff>151535</xdr:colOff>
      <xdr:row>2</xdr:row>
      <xdr:rowOff>29085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5075" y="0"/>
          <a:ext cx="875435" cy="600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148072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4114" y="0"/>
          <a:ext cx="875435" cy="600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24247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0" y="0"/>
          <a:ext cx="871972" cy="5988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0</xdr:rowOff>
    </xdr:from>
    <xdr:to>
      <xdr:col>5</xdr:col>
      <xdr:colOff>62347</xdr:colOff>
      <xdr:row>2</xdr:row>
      <xdr:rowOff>27353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0"/>
          <a:ext cx="871972" cy="5988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19050</xdr:colOff>
      <xdr:row>0</xdr:row>
      <xdr:rowOff>28575</xdr:rowOff>
    </xdr:from>
    <xdr:to>
      <xdr:col>17</xdr:col>
      <xdr:colOff>39833</xdr:colOff>
      <xdr:row>2</xdr:row>
      <xdr:rowOff>30817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8900" y="28575"/>
          <a:ext cx="868508" cy="59279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0</xdr:row>
      <xdr:rowOff>0</xdr:rowOff>
    </xdr:from>
    <xdr:to>
      <xdr:col>4</xdr:col>
      <xdr:colOff>1071997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0"/>
          <a:ext cx="871972" cy="59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tabSelected="1" zoomScaleNormal="100" workbookViewId="0">
      <pane ySplit="1" topLeftCell="A80" activePane="bottomLeft" state="frozen"/>
      <selection pane="bottomLeft"/>
    </sheetView>
  </sheetViews>
  <sheetFormatPr baseColWidth="10" defaultColWidth="10.85546875" defaultRowHeight="15" x14ac:dyDescent="0.2"/>
  <cols>
    <col min="1" max="2" width="10.85546875" style="1"/>
    <col min="3" max="3" width="86.42578125" style="1" customWidth="1"/>
    <col min="4" max="16384" width="10.85546875" style="1"/>
  </cols>
  <sheetData>
    <row r="1" spans="1:3" ht="60" customHeight="1" x14ac:dyDescent="0.2">
      <c r="B1" s="24" t="s">
        <v>414</v>
      </c>
    </row>
    <row r="4" spans="1:3" x14ac:dyDescent="0.2">
      <c r="A4" s="25" t="s">
        <v>196</v>
      </c>
      <c r="B4" s="25" t="s">
        <v>197</v>
      </c>
      <c r="C4" s="26" t="s">
        <v>198</v>
      </c>
    </row>
    <row r="5" spans="1:3" x14ac:dyDescent="0.2">
      <c r="A5" s="27">
        <v>1</v>
      </c>
      <c r="B5" s="27">
        <v>1</v>
      </c>
      <c r="C5" s="28" t="s">
        <v>199</v>
      </c>
    </row>
    <row r="6" spans="1:3" x14ac:dyDescent="0.2">
      <c r="A6" s="27"/>
      <c r="B6" s="27"/>
    </row>
    <row r="7" spans="1:3" ht="18.75" x14ac:dyDescent="0.2">
      <c r="A7" s="25" t="s">
        <v>196</v>
      </c>
      <c r="B7" s="25" t="s">
        <v>197</v>
      </c>
      <c r="C7" s="29" t="s">
        <v>327</v>
      </c>
    </row>
    <row r="8" spans="1:3" x14ac:dyDescent="0.25">
      <c r="A8" s="27">
        <v>2</v>
      </c>
      <c r="B8" s="27">
        <v>1</v>
      </c>
      <c r="C8" s="91" t="s">
        <v>328</v>
      </c>
    </row>
    <row r="9" spans="1:3" x14ac:dyDescent="0.25">
      <c r="A9" s="27">
        <v>2</v>
      </c>
      <c r="B9" s="27">
        <v>2</v>
      </c>
      <c r="C9" s="91" t="s">
        <v>329</v>
      </c>
    </row>
    <row r="10" spans="1:3" x14ac:dyDescent="0.25">
      <c r="A10" s="27">
        <v>2</v>
      </c>
      <c r="B10" s="27">
        <v>3</v>
      </c>
      <c r="C10" s="91" t="s">
        <v>330</v>
      </c>
    </row>
    <row r="11" spans="1:3" x14ac:dyDescent="0.25">
      <c r="A11" s="27">
        <v>2</v>
      </c>
      <c r="B11" s="27">
        <v>4</v>
      </c>
      <c r="C11" s="91" t="s">
        <v>331</v>
      </c>
    </row>
    <row r="12" spans="1:3" x14ac:dyDescent="0.25">
      <c r="A12" s="27">
        <v>2</v>
      </c>
      <c r="B12" s="27">
        <v>5</v>
      </c>
      <c r="C12" s="91" t="s">
        <v>332</v>
      </c>
    </row>
    <row r="13" spans="1:3" x14ac:dyDescent="0.25">
      <c r="A13" s="27">
        <v>2</v>
      </c>
      <c r="B13" s="27">
        <v>6</v>
      </c>
      <c r="C13" s="91" t="s">
        <v>333</v>
      </c>
    </row>
    <row r="15" spans="1:3" ht="18.75" x14ac:dyDescent="0.2">
      <c r="A15" s="25" t="s">
        <v>196</v>
      </c>
      <c r="B15" s="25" t="s">
        <v>197</v>
      </c>
      <c r="C15" s="29" t="s">
        <v>334</v>
      </c>
    </row>
    <row r="16" spans="1:3" x14ac:dyDescent="0.25">
      <c r="A16" s="27">
        <v>3</v>
      </c>
      <c r="B16" s="27">
        <v>1</v>
      </c>
      <c r="C16" s="91" t="s">
        <v>215</v>
      </c>
    </row>
    <row r="17" spans="1:3" x14ac:dyDescent="0.25">
      <c r="A17" s="27">
        <v>3</v>
      </c>
      <c r="B17" s="27">
        <v>2</v>
      </c>
      <c r="C17" s="91" t="s">
        <v>22</v>
      </c>
    </row>
    <row r="18" spans="1:3" x14ac:dyDescent="0.25">
      <c r="A18" s="27">
        <v>3</v>
      </c>
      <c r="B18" s="27">
        <v>3</v>
      </c>
      <c r="C18" s="91" t="s">
        <v>216</v>
      </c>
    </row>
    <row r="19" spans="1:3" x14ac:dyDescent="0.25">
      <c r="A19" s="27">
        <v>3</v>
      </c>
      <c r="B19" s="27">
        <v>4</v>
      </c>
      <c r="C19" s="91" t="s">
        <v>210</v>
      </c>
    </row>
    <row r="20" spans="1:3" x14ac:dyDescent="0.25">
      <c r="A20" s="27">
        <v>3</v>
      </c>
      <c r="B20" s="27">
        <v>5</v>
      </c>
      <c r="C20" s="91" t="s">
        <v>217</v>
      </c>
    </row>
    <row r="21" spans="1:3" x14ac:dyDescent="0.25">
      <c r="A21" s="27">
        <v>3</v>
      </c>
      <c r="B21" s="27">
        <v>6</v>
      </c>
      <c r="C21" s="91" t="s">
        <v>208</v>
      </c>
    </row>
    <row r="22" spans="1:3" x14ac:dyDescent="0.25">
      <c r="A22" s="27">
        <v>3</v>
      </c>
      <c r="B22" s="27">
        <v>7</v>
      </c>
      <c r="C22" s="91" t="s">
        <v>25</v>
      </c>
    </row>
    <row r="23" spans="1:3" x14ac:dyDescent="0.25">
      <c r="A23" s="27">
        <v>3</v>
      </c>
      <c r="B23" s="27">
        <v>8</v>
      </c>
      <c r="C23" s="91" t="s">
        <v>34</v>
      </c>
    </row>
    <row r="24" spans="1:3" x14ac:dyDescent="0.25">
      <c r="A24" s="27">
        <v>3</v>
      </c>
      <c r="B24" s="27">
        <v>9</v>
      </c>
      <c r="C24" s="91" t="s">
        <v>281</v>
      </c>
    </row>
    <row r="27" spans="1:3" ht="18.75" x14ac:dyDescent="0.2">
      <c r="A27" s="25" t="s">
        <v>196</v>
      </c>
      <c r="B27" s="25" t="s">
        <v>197</v>
      </c>
      <c r="C27" s="33" t="s">
        <v>335</v>
      </c>
    </row>
    <row r="28" spans="1:3" x14ac:dyDescent="0.25">
      <c r="A28" s="27">
        <v>4</v>
      </c>
      <c r="B28" s="27">
        <v>1</v>
      </c>
      <c r="C28" s="91" t="s">
        <v>336</v>
      </c>
    </row>
    <row r="29" spans="1:3" x14ac:dyDescent="0.25">
      <c r="A29" s="27">
        <v>4</v>
      </c>
      <c r="B29" s="27">
        <v>2</v>
      </c>
      <c r="C29" s="91" t="s">
        <v>337</v>
      </c>
    </row>
    <row r="30" spans="1:3" x14ac:dyDescent="0.25">
      <c r="A30" s="27">
        <v>4</v>
      </c>
      <c r="B30" s="27">
        <v>3</v>
      </c>
      <c r="C30" s="91" t="s">
        <v>338</v>
      </c>
    </row>
    <row r="31" spans="1:3" x14ac:dyDescent="0.25">
      <c r="A31" s="27">
        <v>4</v>
      </c>
      <c r="B31" s="27">
        <v>4</v>
      </c>
      <c r="C31" s="91" t="s">
        <v>339</v>
      </c>
    </row>
    <row r="32" spans="1:3" x14ac:dyDescent="0.25">
      <c r="A32" s="27">
        <v>4</v>
      </c>
      <c r="B32" s="27">
        <v>5</v>
      </c>
      <c r="C32" s="91" t="s">
        <v>340</v>
      </c>
    </row>
    <row r="33" spans="1:3" x14ac:dyDescent="0.25">
      <c r="A33" s="27">
        <v>4</v>
      </c>
      <c r="B33" s="27">
        <v>6</v>
      </c>
      <c r="C33" s="91" t="s">
        <v>341</v>
      </c>
    </row>
    <row r="34" spans="1:3" x14ac:dyDescent="0.25">
      <c r="A34" s="27">
        <v>4</v>
      </c>
      <c r="B34" s="27">
        <v>7</v>
      </c>
      <c r="C34" s="91" t="s">
        <v>342</v>
      </c>
    </row>
    <row r="35" spans="1:3" x14ac:dyDescent="0.25">
      <c r="A35" s="27">
        <v>4</v>
      </c>
      <c r="B35" s="27">
        <v>8</v>
      </c>
      <c r="C35" s="91" t="s">
        <v>343</v>
      </c>
    </row>
    <row r="38" spans="1:3" ht="18.75" x14ac:dyDescent="0.2">
      <c r="A38" s="25" t="s">
        <v>196</v>
      </c>
      <c r="B38" s="25" t="s">
        <v>197</v>
      </c>
      <c r="C38" s="29" t="s">
        <v>344</v>
      </c>
    </row>
    <row r="39" spans="1:3" x14ac:dyDescent="0.25">
      <c r="A39" s="27">
        <v>5</v>
      </c>
      <c r="B39" s="27">
        <v>1</v>
      </c>
      <c r="C39" s="91" t="s">
        <v>45</v>
      </c>
    </row>
    <row r="40" spans="1:3" x14ac:dyDescent="0.25">
      <c r="A40" s="27">
        <v>5</v>
      </c>
      <c r="B40" s="27">
        <v>2</v>
      </c>
      <c r="C40" s="91" t="s">
        <v>200</v>
      </c>
    </row>
    <row r="41" spans="1:3" x14ac:dyDescent="0.25">
      <c r="A41" s="27">
        <v>5</v>
      </c>
      <c r="B41" s="27">
        <v>3</v>
      </c>
      <c r="C41" s="91" t="s">
        <v>46</v>
      </c>
    </row>
    <row r="42" spans="1:3" x14ac:dyDescent="0.25">
      <c r="A42" s="27">
        <v>5</v>
      </c>
      <c r="B42" s="27">
        <v>4</v>
      </c>
      <c r="C42" s="91" t="s">
        <v>201</v>
      </c>
    </row>
    <row r="43" spans="1:3" x14ac:dyDescent="0.25">
      <c r="A43" s="27">
        <v>5</v>
      </c>
      <c r="B43" s="27">
        <v>5</v>
      </c>
      <c r="C43" s="91" t="s">
        <v>213</v>
      </c>
    </row>
    <row r="44" spans="1:3" x14ac:dyDescent="0.25">
      <c r="A44" s="27">
        <v>5</v>
      </c>
      <c r="B44" s="27">
        <v>6</v>
      </c>
      <c r="C44" s="91" t="s">
        <v>214</v>
      </c>
    </row>
    <row r="45" spans="1:3" x14ac:dyDescent="0.25">
      <c r="A45" s="27">
        <v>5</v>
      </c>
      <c r="B45" s="27">
        <v>7</v>
      </c>
      <c r="C45" s="91" t="s">
        <v>49</v>
      </c>
    </row>
    <row r="46" spans="1:3" x14ac:dyDescent="0.25">
      <c r="A46" s="27">
        <v>5</v>
      </c>
      <c r="B46" s="27">
        <v>8</v>
      </c>
      <c r="C46" s="91" t="s">
        <v>50</v>
      </c>
    </row>
    <row r="47" spans="1:3" x14ac:dyDescent="0.25">
      <c r="A47" s="27">
        <v>5</v>
      </c>
      <c r="B47" s="27">
        <v>9</v>
      </c>
      <c r="C47" s="91" t="s">
        <v>202</v>
      </c>
    </row>
    <row r="48" spans="1:3" x14ac:dyDescent="0.25">
      <c r="A48" s="27">
        <v>5</v>
      </c>
      <c r="B48" s="27">
        <v>10</v>
      </c>
      <c r="C48" s="91" t="s">
        <v>203</v>
      </c>
    </row>
    <row r="49" spans="1:3" x14ac:dyDescent="0.25">
      <c r="A49" s="27">
        <v>5</v>
      </c>
      <c r="B49" s="27">
        <v>11</v>
      </c>
      <c r="C49" s="91" t="s">
        <v>204</v>
      </c>
    </row>
    <row r="50" spans="1:3" x14ac:dyDescent="0.25">
      <c r="A50" s="27">
        <v>5</v>
      </c>
      <c r="B50" s="27">
        <v>12</v>
      </c>
      <c r="C50" s="91" t="s">
        <v>221</v>
      </c>
    </row>
    <row r="51" spans="1:3" x14ac:dyDescent="0.25">
      <c r="A51" s="27">
        <v>5</v>
      </c>
      <c r="B51" s="27">
        <v>13</v>
      </c>
      <c r="C51" s="91" t="s">
        <v>222</v>
      </c>
    </row>
    <row r="52" spans="1:3" x14ac:dyDescent="0.25">
      <c r="A52" s="27">
        <v>5</v>
      </c>
      <c r="B52" s="27">
        <v>14</v>
      </c>
      <c r="C52" s="91" t="s">
        <v>223</v>
      </c>
    </row>
    <row r="53" spans="1:3" x14ac:dyDescent="0.25">
      <c r="A53" s="27">
        <v>5</v>
      </c>
      <c r="B53" s="27">
        <v>15</v>
      </c>
      <c r="C53" s="91" t="s">
        <v>224</v>
      </c>
    </row>
    <row r="54" spans="1:3" x14ac:dyDescent="0.25">
      <c r="A54" s="27">
        <v>5</v>
      </c>
      <c r="B54" s="27">
        <v>16</v>
      </c>
      <c r="C54" s="91" t="s">
        <v>84</v>
      </c>
    </row>
    <row r="57" spans="1:3" ht="18.75" x14ac:dyDescent="0.2">
      <c r="A57" s="25" t="s">
        <v>196</v>
      </c>
      <c r="B57" s="25" t="s">
        <v>197</v>
      </c>
      <c r="C57" s="33" t="s">
        <v>345</v>
      </c>
    </row>
    <row r="58" spans="1:3" x14ac:dyDescent="0.25">
      <c r="A58" s="27">
        <v>6</v>
      </c>
      <c r="B58" s="27">
        <v>1</v>
      </c>
      <c r="C58" s="91" t="s">
        <v>346</v>
      </c>
    </row>
    <row r="59" spans="1:3" x14ac:dyDescent="0.25">
      <c r="A59" s="27">
        <v>6</v>
      </c>
      <c r="B59" s="27">
        <v>2</v>
      </c>
      <c r="C59" s="91" t="s">
        <v>347</v>
      </c>
    </row>
    <row r="60" spans="1:3" x14ac:dyDescent="0.25">
      <c r="A60" s="27">
        <v>6</v>
      </c>
      <c r="B60" s="27">
        <v>3</v>
      </c>
      <c r="C60" s="91" t="s">
        <v>348</v>
      </c>
    </row>
    <row r="61" spans="1:3" x14ac:dyDescent="0.25">
      <c r="A61" s="27">
        <v>6</v>
      </c>
      <c r="B61" s="27">
        <v>4</v>
      </c>
      <c r="C61" s="91" t="s">
        <v>349</v>
      </c>
    </row>
    <row r="62" spans="1:3" x14ac:dyDescent="0.25">
      <c r="A62" s="27">
        <v>6</v>
      </c>
      <c r="B62" s="27">
        <v>5</v>
      </c>
      <c r="C62" s="91" t="s">
        <v>350</v>
      </c>
    </row>
    <row r="63" spans="1:3" x14ac:dyDescent="0.25">
      <c r="A63" s="27">
        <v>6</v>
      </c>
      <c r="B63" s="27">
        <v>6</v>
      </c>
      <c r="C63" s="91" t="s">
        <v>351</v>
      </c>
    </row>
    <row r="64" spans="1:3" x14ac:dyDescent="0.25">
      <c r="A64" s="27">
        <v>6</v>
      </c>
      <c r="B64" s="27">
        <v>7</v>
      </c>
      <c r="C64" s="91" t="s">
        <v>352</v>
      </c>
    </row>
    <row r="65" spans="1:3" x14ac:dyDescent="0.25">
      <c r="A65" s="27">
        <v>6</v>
      </c>
      <c r="B65" s="27">
        <v>8</v>
      </c>
      <c r="C65" s="91" t="s">
        <v>353</v>
      </c>
    </row>
    <row r="68" spans="1:3" ht="18.75" x14ac:dyDescent="0.2">
      <c r="A68" s="25" t="s">
        <v>196</v>
      </c>
      <c r="B68" s="25" t="s">
        <v>197</v>
      </c>
      <c r="C68" s="33" t="s">
        <v>354</v>
      </c>
    </row>
    <row r="69" spans="1:3" x14ac:dyDescent="0.25">
      <c r="A69" s="27">
        <v>7</v>
      </c>
      <c r="B69" s="27">
        <v>1</v>
      </c>
      <c r="C69" s="91" t="s">
        <v>218</v>
      </c>
    </row>
    <row r="70" spans="1:3" x14ac:dyDescent="0.25">
      <c r="A70" s="27">
        <v>7</v>
      </c>
      <c r="B70" s="27">
        <v>2</v>
      </c>
      <c r="C70" s="91" t="s">
        <v>205</v>
      </c>
    </row>
    <row r="71" spans="1:3" x14ac:dyDescent="0.25">
      <c r="A71" s="27">
        <v>7</v>
      </c>
      <c r="B71" s="27">
        <v>3</v>
      </c>
      <c r="C71" s="91" t="s">
        <v>219</v>
      </c>
    </row>
    <row r="72" spans="1:3" x14ac:dyDescent="0.25">
      <c r="A72" s="27">
        <v>7</v>
      </c>
      <c r="B72" s="27">
        <v>4</v>
      </c>
      <c r="C72" s="91" t="s">
        <v>231</v>
      </c>
    </row>
    <row r="75" spans="1:3" ht="18.75" x14ac:dyDescent="0.2">
      <c r="A75" s="25" t="s">
        <v>196</v>
      </c>
      <c r="B75" s="25" t="s">
        <v>197</v>
      </c>
      <c r="C75" s="33" t="s">
        <v>355</v>
      </c>
    </row>
    <row r="76" spans="1:3" x14ac:dyDescent="0.25">
      <c r="A76" s="27">
        <v>8</v>
      </c>
      <c r="B76" s="27">
        <v>1</v>
      </c>
      <c r="C76" s="91" t="s">
        <v>356</v>
      </c>
    </row>
    <row r="77" spans="1:3" x14ac:dyDescent="0.25">
      <c r="A77" s="27">
        <v>8</v>
      </c>
      <c r="B77" s="27">
        <v>2</v>
      </c>
      <c r="C77" s="91" t="s">
        <v>357</v>
      </c>
    </row>
    <row r="78" spans="1:3" x14ac:dyDescent="0.25">
      <c r="A78" s="27">
        <v>8</v>
      </c>
      <c r="B78" s="27">
        <v>3</v>
      </c>
      <c r="C78" s="91" t="s">
        <v>358</v>
      </c>
    </row>
    <row r="79" spans="1:3" x14ac:dyDescent="0.25">
      <c r="A79" s="27">
        <v>8</v>
      </c>
      <c r="B79" s="27">
        <v>4</v>
      </c>
      <c r="C79" s="91" t="s">
        <v>359</v>
      </c>
    </row>
    <row r="80" spans="1:3" x14ac:dyDescent="0.25">
      <c r="A80" s="27">
        <v>8</v>
      </c>
      <c r="B80" s="27">
        <v>5</v>
      </c>
      <c r="C80" s="91" t="s">
        <v>360</v>
      </c>
    </row>
    <row r="81" spans="1:3" x14ac:dyDescent="0.25">
      <c r="A81" s="27">
        <v>8</v>
      </c>
      <c r="B81" s="27">
        <v>6</v>
      </c>
      <c r="C81" s="91" t="s">
        <v>361</v>
      </c>
    </row>
    <row r="82" spans="1:3" x14ac:dyDescent="0.25">
      <c r="A82" s="27">
        <v>8</v>
      </c>
      <c r="B82" s="27">
        <v>7</v>
      </c>
      <c r="C82" s="91" t="s">
        <v>362</v>
      </c>
    </row>
    <row r="83" spans="1:3" x14ac:dyDescent="0.25">
      <c r="A83" s="27">
        <v>8</v>
      </c>
      <c r="B83" s="27">
        <v>8</v>
      </c>
      <c r="C83" s="91" t="s">
        <v>363</v>
      </c>
    </row>
    <row r="86" spans="1:3" ht="18.75" x14ac:dyDescent="0.2">
      <c r="A86" s="25" t="s">
        <v>196</v>
      </c>
      <c r="B86" s="25" t="s">
        <v>197</v>
      </c>
      <c r="C86" s="33" t="s">
        <v>364</v>
      </c>
    </row>
    <row r="87" spans="1:3" x14ac:dyDescent="0.25">
      <c r="A87" s="27">
        <v>9</v>
      </c>
      <c r="B87" s="27">
        <v>1</v>
      </c>
      <c r="C87" s="91" t="s">
        <v>92</v>
      </c>
    </row>
    <row r="88" spans="1:3" x14ac:dyDescent="0.25">
      <c r="A88" s="27">
        <v>9</v>
      </c>
      <c r="B88" s="27">
        <v>2</v>
      </c>
      <c r="C88" s="91" t="s">
        <v>93</v>
      </c>
    </row>
    <row r="89" spans="1:3" x14ac:dyDescent="0.25">
      <c r="A89" s="27">
        <v>9</v>
      </c>
      <c r="B89" s="27">
        <v>3</v>
      </c>
      <c r="C89" s="91" t="s">
        <v>220</v>
      </c>
    </row>
    <row r="90" spans="1:3" x14ac:dyDescent="0.25">
      <c r="A90" s="27">
        <v>9</v>
      </c>
      <c r="B90" s="27">
        <v>4</v>
      </c>
      <c r="C90" s="91" t="s">
        <v>232</v>
      </c>
    </row>
    <row r="92" spans="1:3" x14ac:dyDescent="0.2">
      <c r="A92" s="25" t="s">
        <v>196</v>
      </c>
      <c r="B92" s="25" t="s">
        <v>197</v>
      </c>
      <c r="C92" s="26" t="s">
        <v>198</v>
      </c>
    </row>
    <row r="93" spans="1:3" x14ac:dyDescent="0.25">
      <c r="A93" s="27">
        <v>10</v>
      </c>
      <c r="B93" s="27">
        <v>1</v>
      </c>
      <c r="C93" s="91" t="s">
        <v>365</v>
      </c>
    </row>
    <row r="96" spans="1:3" x14ac:dyDescent="0.25">
      <c r="B96" s="130" t="s">
        <v>245</v>
      </c>
    </row>
  </sheetData>
  <hyperlinks>
    <hyperlink ref="C38" location="'Evolución Tituación Pregrado'!A1" display="Evolución titulación Pregrado 2008-2012"/>
    <hyperlink ref="C68" location="'Evolución Titulados Posgrado'!A1" display="Evolución titulación Posgrado 2008-2012"/>
    <hyperlink ref="C86" location="'Evolución Titulados Postítulo'!A1" display="Evolución titulación Postítulo 2008-2012"/>
    <hyperlink ref="C8:C13" location="'Titulación Total 2021'!A1" display="Titulación Total 2021 por tipo de institución y nivel de formación"/>
    <hyperlink ref="C16:C24" location="'Evolución Titulación Total'!A1" display="Evolución de Titulación Total por nivel de formación"/>
    <hyperlink ref="C28:C35" location="'Titulación Pregrado 2021'!A1" display="Titulación Total 2021 de Pregrado por sexo y tipo de institución"/>
    <hyperlink ref="C39:C54" location="'Evolución Titulación Pregrado'!A1" display="Evolución de Titulación Total de Pregrado por tipo de institución"/>
    <hyperlink ref="C58:C65" location="'Titulación Posgrado 2021'!A1" display="Titulación Total 2021 de Posgrado por tipo de universidad y tipo de programa"/>
    <hyperlink ref="C69:C72" location="'Titulación Posgrado 2021'!A1" display="Evolución de Titulación Total de Posgrado por tipo de universidad"/>
    <hyperlink ref="C76:C83" location="'Titulacion Postitulo 2021'!A1" display="Titulación Total 2021 de Postítulo por tipo de universidad y tipo de programa"/>
    <hyperlink ref="C87:C90" location="'Evolucion Titulacion Postitulo'!A1" display="Evolución de Titulación Total de Postítulo por tipo de institución"/>
    <hyperlink ref="C93" location="'Listado de Instituciones'!A1" display="Listado de instituciones participantes 2021"/>
  </hyperlink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48.7109375" style="1" customWidth="1"/>
    <col min="2" max="5" width="13.7109375" style="1" customWidth="1"/>
    <col min="6" max="16384" width="10.85546875" style="1"/>
  </cols>
  <sheetData>
    <row r="1" spans="1:5" ht="21" x14ac:dyDescent="0.2">
      <c r="A1" s="58" t="s">
        <v>366</v>
      </c>
      <c r="B1" s="34"/>
      <c r="C1" s="34"/>
      <c r="D1" s="34"/>
      <c r="E1" s="34"/>
    </row>
    <row r="2" spans="1:5" ht="25.5" customHeight="1" x14ac:dyDescent="0.2">
      <c r="A2" s="123" t="s">
        <v>296</v>
      </c>
      <c r="B2" s="34"/>
      <c r="C2" s="34"/>
      <c r="D2" s="34"/>
      <c r="E2" s="34"/>
    </row>
    <row r="3" spans="1:5" ht="15" customHeight="1" x14ac:dyDescent="0.2">
      <c r="A3" s="33"/>
      <c r="B3" s="34"/>
      <c r="C3" s="34"/>
      <c r="D3" s="34"/>
      <c r="E3" s="34"/>
    </row>
    <row r="4" spans="1:5" ht="15.75" x14ac:dyDescent="0.2">
      <c r="A4" s="23" t="s">
        <v>328</v>
      </c>
      <c r="B4" s="34"/>
      <c r="C4" s="34"/>
      <c r="D4" s="34"/>
      <c r="E4" s="34"/>
    </row>
    <row r="5" spans="1:5" x14ac:dyDescent="0.2">
      <c r="A5" s="78" t="s">
        <v>0</v>
      </c>
      <c r="B5" s="3" t="s">
        <v>1</v>
      </c>
      <c r="C5" s="3" t="s">
        <v>2</v>
      </c>
      <c r="D5" s="3" t="s">
        <v>3</v>
      </c>
      <c r="E5" s="74" t="s">
        <v>8</v>
      </c>
    </row>
    <row r="6" spans="1:5" x14ac:dyDescent="0.2">
      <c r="A6" s="4" t="s">
        <v>5</v>
      </c>
      <c r="B6" s="4">
        <v>35400</v>
      </c>
      <c r="C6" s="4">
        <v>0</v>
      </c>
      <c r="D6" s="4">
        <v>7</v>
      </c>
      <c r="E6" s="4">
        <f>SUM(B6:D6)</f>
        <v>35407</v>
      </c>
    </row>
    <row r="7" spans="1:5" x14ac:dyDescent="0.2">
      <c r="A7" s="4" t="s">
        <v>6</v>
      </c>
      <c r="B7" s="4">
        <v>80875</v>
      </c>
      <c r="C7" s="4">
        <v>0</v>
      </c>
      <c r="D7" s="4">
        <v>1117</v>
      </c>
      <c r="E7" s="4">
        <f t="shared" ref="E7:E9" si="0">SUM(B7:D7)</f>
        <v>81992</v>
      </c>
    </row>
    <row r="8" spans="1:5" x14ac:dyDescent="0.2">
      <c r="A8" s="4" t="s">
        <v>7</v>
      </c>
      <c r="B8" s="4">
        <v>107560</v>
      </c>
      <c r="C8" s="4">
        <v>19210</v>
      </c>
      <c r="D8" s="4">
        <v>32145</v>
      </c>
      <c r="E8" s="4">
        <f t="shared" si="0"/>
        <v>158915</v>
      </c>
    </row>
    <row r="9" spans="1:5" x14ac:dyDescent="0.2">
      <c r="A9" s="5" t="s">
        <v>4</v>
      </c>
      <c r="B9" s="5">
        <f>SUM(B6:B8)</f>
        <v>223835</v>
      </c>
      <c r="C9" s="5">
        <f t="shared" ref="C9:D9" si="1">SUM(C6:C8)</f>
        <v>19210</v>
      </c>
      <c r="D9" s="5">
        <f t="shared" si="1"/>
        <v>33269</v>
      </c>
      <c r="E9" s="5">
        <f t="shared" si="0"/>
        <v>276314</v>
      </c>
    </row>
    <row r="10" spans="1:5" x14ac:dyDescent="0.2">
      <c r="A10" s="34"/>
      <c r="B10" s="59"/>
      <c r="C10" s="59"/>
      <c r="D10" s="59"/>
      <c r="E10" s="59"/>
    </row>
    <row r="11" spans="1:5" ht="15.75" x14ac:dyDescent="0.2">
      <c r="A11" s="23" t="s">
        <v>329</v>
      </c>
      <c r="B11" s="34"/>
      <c r="C11" s="34"/>
      <c r="D11" s="34"/>
      <c r="E11" s="34"/>
    </row>
    <row r="12" spans="1:5" x14ac:dyDescent="0.2">
      <c r="A12" s="78" t="s">
        <v>0</v>
      </c>
      <c r="B12" s="6" t="s">
        <v>206</v>
      </c>
      <c r="C12" s="6" t="s">
        <v>207</v>
      </c>
      <c r="D12" s="74" t="s">
        <v>8</v>
      </c>
      <c r="E12" s="34"/>
    </row>
    <row r="13" spans="1:5" x14ac:dyDescent="0.2">
      <c r="A13" s="4" t="s">
        <v>5</v>
      </c>
      <c r="B13" s="4">
        <v>21215</v>
      </c>
      <c r="C13" s="4">
        <v>14192</v>
      </c>
      <c r="D13" s="4">
        <f>SUM(B13:C13)</f>
        <v>35407</v>
      </c>
      <c r="E13" s="34"/>
    </row>
    <row r="14" spans="1:5" x14ac:dyDescent="0.2">
      <c r="A14" s="4" t="s">
        <v>6</v>
      </c>
      <c r="B14" s="4">
        <v>46215</v>
      </c>
      <c r="C14" s="4">
        <v>35777</v>
      </c>
      <c r="D14" s="4">
        <f t="shared" ref="D14:D15" si="2">SUM(B14:C14)</f>
        <v>81992</v>
      </c>
      <c r="E14" s="34"/>
    </row>
    <row r="15" spans="1:5" x14ac:dyDescent="0.2">
      <c r="A15" s="4" t="s">
        <v>7</v>
      </c>
      <c r="B15" s="4">
        <v>93150</v>
      </c>
      <c r="C15" s="4">
        <v>65765</v>
      </c>
      <c r="D15" s="4">
        <f t="shared" si="2"/>
        <v>158915</v>
      </c>
      <c r="E15" s="34"/>
    </row>
    <row r="16" spans="1:5" x14ac:dyDescent="0.2">
      <c r="A16" s="5" t="s">
        <v>4</v>
      </c>
      <c r="B16" s="5">
        <f>SUM(B13:B15)</f>
        <v>160580</v>
      </c>
      <c r="C16" s="5">
        <f t="shared" ref="C16:D16" si="3">SUM(C13:C15)</f>
        <v>115734</v>
      </c>
      <c r="D16" s="5">
        <f t="shared" si="3"/>
        <v>276314</v>
      </c>
      <c r="E16" s="34"/>
    </row>
    <row r="17" spans="1:5" x14ac:dyDescent="0.2">
      <c r="A17" s="34"/>
      <c r="B17" s="59"/>
      <c r="C17" s="59"/>
      <c r="D17" s="59"/>
      <c r="E17" s="34"/>
    </row>
    <row r="18" spans="1:5" ht="15.75" x14ac:dyDescent="0.2">
      <c r="A18" s="23" t="s">
        <v>330</v>
      </c>
      <c r="B18" s="34"/>
      <c r="C18" s="34"/>
      <c r="D18" s="34"/>
      <c r="E18" s="34"/>
    </row>
    <row r="19" spans="1:5" x14ac:dyDescent="0.2">
      <c r="A19" s="78" t="s">
        <v>0</v>
      </c>
      <c r="B19" s="3" t="s">
        <v>1</v>
      </c>
      <c r="C19" s="3" t="s">
        <v>2</v>
      </c>
      <c r="D19" s="3" t="s">
        <v>3</v>
      </c>
      <c r="E19" s="6" t="s">
        <v>8</v>
      </c>
    </row>
    <row r="20" spans="1:5" x14ac:dyDescent="0.2">
      <c r="A20" s="4" t="s">
        <v>5</v>
      </c>
      <c r="B20" s="4">
        <v>34375</v>
      </c>
      <c r="C20" s="4">
        <v>0</v>
      </c>
      <c r="D20" s="4">
        <v>7</v>
      </c>
      <c r="E20" s="4">
        <f>SUM(B20:D20)</f>
        <v>34382</v>
      </c>
    </row>
    <row r="21" spans="1:5" x14ac:dyDescent="0.2">
      <c r="A21" s="4" t="s">
        <v>295</v>
      </c>
      <c r="B21" s="4">
        <v>1025</v>
      </c>
      <c r="C21" s="4">
        <v>0</v>
      </c>
      <c r="D21" s="4">
        <v>0</v>
      </c>
      <c r="E21" s="4">
        <f t="shared" ref="E21:E25" si="4">SUM(B21:D21)</f>
        <v>1025</v>
      </c>
    </row>
    <row r="22" spans="1:5" x14ac:dyDescent="0.2">
      <c r="A22" s="4" t="s">
        <v>6</v>
      </c>
      <c r="B22" s="4">
        <v>80875</v>
      </c>
      <c r="C22" s="4">
        <v>0</v>
      </c>
      <c r="D22" s="4">
        <v>1117</v>
      </c>
      <c r="E22" s="4">
        <f t="shared" si="4"/>
        <v>81992</v>
      </c>
    </row>
    <row r="23" spans="1:5" x14ac:dyDescent="0.2">
      <c r="A23" s="30" t="s">
        <v>235</v>
      </c>
      <c r="B23" s="4">
        <v>26626</v>
      </c>
      <c r="C23" s="4">
        <v>4367</v>
      </c>
      <c r="D23" s="4">
        <v>2932</v>
      </c>
      <c r="E23" s="4">
        <f t="shared" si="4"/>
        <v>33925</v>
      </c>
    </row>
    <row r="24" spans="1:5" x14ac:dyDescent="0.2">
      <c r="A24" s="30" t="s">
        <v>236</v>
      </c>
      <c r="B24" s="4">
        <v>25676</v>
      </c>
      <c r="C24" s="4">
        <v>4974</v>
      </c>
      <c r="D24" s="4">
        <v>9341</v>
      </c>
      <c r="E24" s="4">
        <f t="shared" si="4"/>
        <v>39991</v>
      </c>
    </row>
    <row r="25" spans="1:5" x14ac:dyDescent="0.2">
      <c r="A25" s="30" t="s">
        <v>237</v>
      </c>
      <c r="B25" s="4">
        <v>55258</v>
      </c>
      <c r="C25" s="4">
        <v>9869</v>
      </c>
      <c r="D25" s="4">
        <v>19872</v>
      </c>
      <c r="E25" s="4">
        <f t="shared" si="4"/>
        <v>84999</v>
      </c>
    </row>
    <row r="26" spans="1:5" x14ac:dyDescent="0.2">
      <c r="A26" s="5" t="s">
        <v>4</v>
      </c>
      <c r="B26" s="5">
        <f>SUM(B20:B25)</f>
        <v>223835</v>
      </c>
      <c r="C26" s="5">
        <f t="shared" ref="C26:E26" si="5">SUM(C20:C25)</f>
        <v>19210</v>
      </c>
      <c r="D26" s="5">
        <f t="shared" si="5"/>
        <v>33269</v>
      </c>
      <c r="E26" s="5">
        <f t="shared" si="5"/>
        <v>276314</v>
      </c>
    </row>
    <row r="27" spans="1:5" x14ac:dyDescent="0.2">
      <c r="A27" s="124" t="s">
        <v>367</v>
      </c>
      <c r="B27" s="59"/>
      <c r="C27" s="59"/>
      <c r="D27" s="59"/>
      <c r="E27" s="59"/>
    </row>
    <row r="28" spans="1:5" x14ac:dyDescent="0.2">
      <c r="A28" s="34"/>
      <c r="B28" s="59"/>
      <c r="C28" s="59"/>
      <c r="D28" s="59"/>
      <c r="E28" s="59"/>
    </row>
    <row r="29" spans="1:5" ht="15.75" x14ac:dyDescent="0.2">
      <c r="A29" s="23" t="s">
        <v>331</v>
      </c>
      <c r="B29" s="34"/>
      <c r="C29" s="34"/>
      <c r="D29" s="34"/>
      <c r="E29" s="34"/>
    </row>
    <row r="30" spans="1:5" x14ac:dyDescent="0.2">
      <c r="A30" s="78" t="s">
        <v>0</v>
      </c>
      <c r="B30" s="6" t="s">
        <v>206</v>
      </c>
      <c r="C30" s="6" t="s">
        <v>207</v>
      </c>
      <c r="D30" s="6" t="s">
        <v>8</v>
      </c>
      <c r="E30" s="34"/>
    </row>
    <row r="31" spans="1:5" x14ac:dyDescent="0.2">
      <c r="A31" s="4" t="s">
        <v>5</v>
      </c>
      <c r="B31" s="4">
        <v>20533</v>
      </c>
      <c r="C31" s="4">
        <v>13849</v>
      </c>
      <c r="D31" s="4">
        <f>SUM(B31:C31)</f>
        <v>34382</v>
      </c>
      <c r="E31" s="34"/>
    </row>
    <row r="32" spans="1:5" x14ac:dyDescent="0.2">
      <c r="A32" s="4" t="s">
        <v>295</v>
      </c>
      <c r="B32" s="4">
        <v>682</v>
      </c>
      <c r="C32" s="4">
        <v>343</v>
      </c>
      <c r="D32" s="4">
        <f t="shared" ref="D32:D36" si="6">SUM(B32:C32)</f>
        <v>1025</v>
      </c>
      <c r="E32" s="34"/>
    </row>
    <row r="33" spans="1:5" x14ac:dyDescent="0.2">
      <c r="A33" s="4" t="s">
        <v>6</v>
      </c>
      <c r="B33" s="4">
        <v>46215</v>
      </c>
      <c r="C33" s="4">
        <v>35777</v>
      </c>
      <c r="D33" s="4">
        <f t="shared" si="6"/>
        <v>81992</v>
      </c>
      <c r="E33" s="34"/>
    </row>
    <row r="34" spans="1:5" x14ac:dyDescent="0.2">
      <c r="A34" s="30" t="s">
        <v>235</v>
      </c>
      <c r="B34" s="4">
        <v>18371</v>
      </c>
      <c r="C34" s="4">
        <v>15554</v>
      </c>
      <c r="D34" s="4">
        <f t="shared" si="6"/>
        <v>33925</v>
      </c>
      <c r="E34" s="34"/>
    </row>
    <row r="35" spans="1:5" x14ac:dyDescent="0.2">
      <c r="A35" s="30" t="s">
        <v>236</v>
      </c>
      <c r="B35" s="4">
        <v>22287</v>
      </c>
      <c r="C35" s="4">
        <v>17704</v>
      </c>
      <c r="D35" s="4">
        <f t="shared" si="6"/>
        <v>39991</v>
      </c>
      <c r="E35" s="34"/>
    </row>
    <row r="36" spans="1:5" x14ac:dyDescent="0.2">
      <c r="A36" s="30" t="s">
        <v>237</v>
      </c>
      <c r="B36" s="4">
        <v>52492</v>
      </c>
      <c r="C36" s="4">
        <v>32507</v>
      </c>
      <c r="D36" s="4">
        <f t="shared" si="6"/>
        <v>84999</v>
      </c>
      <c r="E36" s="34"/>
    </row>
    <row r="37" spans="1:5" x14ac:dyDescent="0.2">
      <c r="A37" s="5" t="s">
        <v>4</v>
      </c>
      <c r="B37" s="5">
        <f>SUM(B31:B36)</f>
        <v>160580</v>
      </c>
      <c r="C37" s="5">
        <f t="shared" ref="C37:D37" si="7">SUM(C31:C36)</f>
        <v>115734</v>
      </c>
      <c r="D37" s="5">
        <f t="shared" si="7"/>
        <v>276314</v>
      </c>
      <c r="E37" s="34"/>
    </row>
    <row r="38" spans="1:5" x14ac:dyDescent="0.2">
      <c r="A38" s="124" t="s">
        <v>367</v>
      </c>
      <c r="B38" s="59"/>
      <c r="C38" s="59"/>
      <c r="D38" s="59"/>
      <c r="E38" s="34"/>
    </row>
    <row r="39" spans="1:5" x14ac:dyDescent="0.2">
      <c r="A39" s="34"/>
      <c r="B39" s="59"/>
      <c r="C39" s="59"/>
      <c r="D39" s="59"/>
      <c r="E39" s="34"/>
    </row>
    <row r="40" spans="1:5" ht="15.75" x14ac:dyDescent="0.2">
      <c r="A40" s="23" t="s">
        <v>332</v>
      </c>
      <c r="B40" s="34"/>
      <c r="C40" s="34"/>
      <c r="D40" s="34"/>
      <c r="E40" s="34"/>
    </row>
    <row r="41" spans="1:5" ht="15" customHeight="1" x14ac:dyDescent="0.2">
      <c r="A41" s="78" t="s">
        <v>9</v>
      </c>
      <c r="B41" s="6" t="s">
        <v>206</v>
      </c>
      <c r="C41" s="6" t="s">
        <v>207</v>
      </c>
      <c r="D41" s="6" t="s">
        <v>8</v>
      </c>
      <c r="E41" s="34"/>
    </row>
    <row r="42" spans="1:5" x14ac:dyDescent="0.2">
      <c r="A42" s="7" t="s">
        <v>246</v>
      </c>
      <c r="B42" s="8">
        <v>2161</v>
      </c>
      <c r="C42" s="8">
        <v>1398</v>
      </c>
      <c r="D42" s="8">
        <f>SUM(B42:C42)</f>
        <v>3559</v>
      </c>
      <c r="E42" s="34"/>
    </row>
    <row r="43" spans="1:5" x14ac:dyDescent="0.2">
      <c r="A43" s="7" t="s">
        <v>247</v>
      </c>
      <c r="B43" s="8">
        <v>2584</v>
      </c>
      <c r="C43" s="8">
        <v>1548</v>
      </c>
      <c r="D43" s="8">
        <f t="shared" ref="D43:D57" si="8">SUM(B43:C43)</f>
        <v>4132</v>
      </c>
      <c r="E43" s="34"/>
    </row>
    <row r="44" spans="1:5" x14ac:dyDescent="0.2">
      <c r="A44" s="7" t="s">
        <v>248</v>
      </c>
      <c r="B44" s="8">
        <v>3846</v>
      </c>
      <c r="C44" s="8">
        <v>3426</v>
      </c>
      <c r="D44" s="8">
        <f t="shared" si="8"/>
        <v>7272</v>
      </c>
      <c r="E44" s="34"/>
    </row>
    <row r="45" spans="1:5" x14ac:dyDescent="0.2">
      <c r="A45" s="7" t="s">
        <v>249</v>
      </c>
      <c r="B45" s="8">
        <v>1562</v>
      </c>
      <c r="C45" s="8">
        <v>1035</v>
      </c>
      <c r="D45" s="8">
        <f t="shared" si="8"/>
        <v>2597</v>
      </c>
      <c r="E45" s="34"/>
    </row>
    <row r="46" spans="1:5" x14ac:dyDescent="0.2">
      <c r="A46" s="7" t="s">
        <v>250</v>
      </c>
      <c r="B46" s="8">
        <v>5859</v>
      </c>
      <c r="C46" s="8">
        <v>3902</v>
      </c>
      <c r="D46" s="8">
        <f t="shared" si="8"/>
        <v>9761</v>
      </c>
      <c r="E46" s="34"/>
    </row>
    <row r="47" spans="1:5" x14ac:dyDescent="0.2">
      <c r="A47" s="80" t="s">
        <v>251</v>
      </c>
      <c r="B47" s="8">
        <v>14273</v>
      </c>
      <c r="C47" s="8">
        <v>10842</v>
      </c>
      <c r="D47" s="8">
        <f t="shared" si="8"/>
        <v>25115</v>
      </c>
      <c r="E47" s="34"/>
    </row>
    <row r="48" spans="1:5" x14ac:dyDescent="0.2">
      <c r="A48" s="80" t="s">
        <v>262</v>
      </c>
      <c r="B48" s="8">
        <v>83060</v>
      </c>
      <c r="C48" s="8">
        <v>63473</v>
      </c>
      <c r="D48" s="8">
        <f t="shared" si="8"/>
        <v>146533</v>
      </c>
      <c r="E48" s="34"/>
    </row>
    <row r="49" spans="1:5" x14ac:dyDescent="0.2">
      <c r="A49" s="80" t="s">
        <v>298</v>
      </c>
      <c r="B49" s="8">
        <v>3344</v>
      </c>
      <c r="C49" s="8">
        <v>2375</v>
      </c>
      <c r="D49" s="8">
        <f t="shared" si="8"/>
        <v>5719</v>
      </c>
      <c r="E49" s="34"/>
    </row>
    <row r="50" spans="1:5" x14ac:dyDescent="0.2">
      <c r="A50" s="7" t="s">
        <v>252</v>
      </c>
      <c r="B50" s="8">
        <v>6829</v>
      </c>
      <c r="C50" s="8">
        <v>4341</v>
      </c>
      <c r="D50" s="8">
        <f t="shared" si="8"/>
        <v>11170</v>
      </c>
      <c r="E50" s="34"/>
    </row>
    <row r="51" spans="1:5" x14ac:dyDescent="0.2">
      <c r="A51" s="7" t="s">
        <v>266</v>
      </c>
      <c r="B51" s="8">
        <v>3438</v>
      </c>
      <c r="C51" s="8">
        <v>1816</v>
      </c>
      <c r="D51" s="8">
        <f t="shared" si="8"/>
        <v>5254</v>
      </c>
      <c r="E51" s="34"/>
    </row>
    <row r="52" spans="1:5" x14ac:dyDescent="0.2">
      <c r="A52" s="7" t="s">
        <v>253</v>
      </c>
      <c r="B52" s="8">
        <v>16431</v>
      </c>
      <c r="C52" s="8">
        <v>11291</v>
      </c>
      <c r="D52" s="8">
        <f t="shared" si="8"/>
        <v>27722</v>
      </c>
      <c r="E52" s="34"/>
    </row>
    <row r="53" spans="1:5" x14ac:dyDescent="0.2">
      <c r="A53" s="7" t="s">
        <v>254</v>
      </c>
      <c r="B53" s="8">
        <v>7917</v>
      </c>
      <c r="C53" s="8">
        <v>4704</v>
      </c>
      <c r="D53" s="8">
        <f t="shared" si="8"/>
        <v>12621</v>
      </c>
      <c r="E53" s="34"/>
    </row>
    <row r="54" spans="1:5" x14ac:dyDescent="0.2">
      <c r="A54" s="7" t="s">
        <v>255</v>
      </c>
      <c r="B54" s="8">
        <v>2791</v>
      </c>
      <c r="C54" s="8">
        <v>1882</v>
      </c>
      <c r="D54" s="8">
        <f t="shared" si="8"/>
        <v>4673</v>
      </c>
      <c r="E54" s="34"/>
    </row>
    <row r="55" spans="1:5" x14ac:dyDescent="0.2">
      <c r="A55" s="80" t="s">
        <v>256</v>
      </c>
      <c r="B55" s="8">
        <v>5459</v>
      </c>
      <c r="C55" s="8">
        <v>3004</v>
      </c>
      <c r="D55" s="8">
        <f t="shared" si="8"/>
        <v>8463</v>
      </c>
      <c r="E55" s="34"/>
    </row>
    <row r="56" spans="1:5" x14ac:dyDescent="0.2">
      <c r="A56" s="80" t="s">
        <v>257</v>
      </c>
      <c r="B56" s="8">
        <v>356</v>
      </c>
      <c r="C56" s="8">
        <v>179</v>
      </c>
      <c r="D56" s="8">
        <f t="shared" si="8"/>
        <v>535</v>
      </c>
      <c r="E56" s="34"/>
    </row>
    <row r="57" spans="1:5" x14ac:dyDescent="0.2">
      <c r="A57" s="80" t="s">
        <v>258</v>
      </c>
      <c r="B57" s="8">
        <v>670</v>
      </c>
      <c r="C57" s="8">
        <v>518</v>
      </c>
      <c r="D57" s="8">
        <f t="shared" si="8"/>
        <v>1188</v>
      </c>
      <c r="E57" s="34"/>
    </row>
    <row r="58" spans="1:5" x14ac:dyDescent="0.2">
      <c r="A58" s="9" t="s">
        <v>4</v>
      </c>
      <c r="B58" s="10">
        <f>SUM(B42:B57)</f>
        <v>160580</v>
      </c>
      <c r="C58" s="10">
        <f t="shared" ref="C58:D58" si="9">SUM(C42:C57)</f>
        <v>115734</v>
      </c>
      <c r="D58" s="10">
        <f t="shared" si="9"/>
        <v>276314</v>
      </c>
      <c r="E58" s="34"/>
    </row>
    <row r="59" spans="1:5" x14ac:dyDescent="0.2">
      <c r="A59" s="34"/>
      <c r="B59" s="34"/>
      <c r="C59" s="34"/>
      <c r="D59" s="34"/>
      <c r="E59" s="60"/>
    </row>
    <row r="60" spans="1:5" ht="15.75" x14ac:dyDescent="0.2">
      <c r="A60" s="23" t="s">
        <v>368</v>
      </c>
      <c r="B60" s="34"/>
      <c r="C60" s="34"/>
      <c r="D60" s="34"/>
      <c r="E60" s="34"/>
    </row>
    <row r="61" spans="1:5" x14ac:dyDescent="0.2">
      <c r="A61" s="78" t="s">
        <v>10</v>
      </c>
      <c r="B61" s="6" t="s">
        <v>206</v>
      </c>
      <c r="C61" s="6" t="s">
        <v>207</v>
      </c>
      <c r="D61" s="6" t="s">
        <v>8</v>
      </c>
      <c r="E61" s="34"/>
    </row>
    <row r="62" spans="1:5" x14ac:dyDescent="0.2">
      <c r="A62" s="7" t="s">
        <v>11</v>
      </c>
      <c r="B62" s="87">
        <v>38755</v>
      </c>
      <c r="C62" s="87">
        <v>28838</v>
      </c>
      <c r="D62" s="87">
        <f>SUM(B62:C62)</f>
        <v>67593</v>
      </c>
      <c r="E62" s="59"/>
    </row>
    <row r="63" spans="1:5" x14ac:dyDescent="0.2">
      <c r="A63" s="7" t="s">
        <v>12</v>
      </c>
      <c r="B63" s="87">
        <v>2872</v>
      </c>
      <c r="C63" s="87">
        <v>2437</v>
      </c>
      <c r="D63" s="87">
        <f t="shared" ref="D63:D71" si="10">SUM(B63:C63)</f>
        <v>5309</v>
      </c>
      <c r="E63" s="59"/>
    </row>
    <row r="64" spans="1:5" x14ac:dyDescent="0.2">
      <c r="A64" s="7" t="s">
        <v>13</v>
      </c>
      <c r="B64" s="87">
        <v>5471</v>
      </c>
      <c r="C64" s="87">
        <v>3778</v>
      </c>
      <c r="D64" s="87">
        <f t="shared" si="10"/>
        <v>9249</v>
      </c>
      <c r="E64" s="59"/>
    </row>
    <row r="65" spans="1:5" x14ac:dyDescent="0.2">
      <c r="A65" s="7" t="s">
        <v>14</v>
      </c>
      <c r="B65" s="87">
        <v>1322</v>
      </c>
      <c r="C65" s="87">
        <v>2092</v>
      </c>
      <c r="D65" s="87">
        <f t="shared" si="10"/>
        <v>3414</v>
      </c>
      <c r="E65" s="59"/>
    </row>
    <row r="66" spans="1:5" x14ac:dyDescent="0.2">
      <c r="A66" s="7" t="s">
        <v>15</v>
      </c>
      <c r="B66" s="87">
        <v>20826</v>
      </c>
      <c r="C66" s="87">
        <v>8592</v>
      </c>
      <c r="D66" s="87">
        <f t="shared" si="10"/>
        <v>29418</v>
      </c>
      <c r="E66" s="59"/>
    </row>
    <row r="67" spans="1:5" x14ac:dyDescent="0.2">
      <c r="A67" s="7" t="s">
        <v>16</v>
      </c>
      <c r="B67" s="87">
        <v>3995</v>
      </c>
      <c r="C67" s="87">
        <v>3559</v>
      </c>
      <c r="D67" s="87">
        <f t="shared" si="10"/>
        <v>7554</v>
      </c>
      <c r="E67" s="59"/>
    </row>
    <row r="68" spans="1:5" x14ac:dyDescent="0.2">
      <c r="A68" s="7" t="s">
        <v>17</v>
      </c>
      <c r="B68" s="87">
        <v>34726</v>
      </c>
      <c r="C68" s="87">
        <v>8634</v>
      </c>
      <c r="D68" s="87">
        <f t="shared" si="10"/>
        <v>43360</v>
      </c>
      <c r="E68" s="59"/>
    </row>
    <row r="69" spans="1:5" x14ac:dyDescent="0.2">
      <c r="A69" s="7" t="s">
        <v>18</v>
      </c>
      <c r="B69" s="87">
        <v>1218</v>
      </c>
      <c r="C69" s="87">
        <v>812</v>
      </c>
      <c r="D69" s="87">
        <f t="shared" si="10"/>
        <v>2030</v>
      </c>
      <c r="E69" s="59"/>
    </row>
    <row r="70" spans="1:5" x14ac:dyDescent="0.2">
      <c r="A70" s="7" t="s">
        <v>19</v>
      </c>
      <c r="B70" s="87">
        <v>40332</v>
      </c>
      <c r="C70" s="87">
        <v>11762</v>
      </c>
      <c r="D70" s="87">
        <f t="shared" si="10"/>
        <v>52094</v>
      </c>
      <c r="E70" s="59"/>
    </row>
    <row r="71" spans="1:5" x14ac:dyDescent="0.2">
      <c r="A71" s="7" t="s">
        <v>20</v>
      </c>
      <c r="B71" s="87">
        <v>11063</v>
      </c>
      <c r="C71" s="87">
        <v>45230</v>
      </c>
      <c r="D71" s="87">
        <f t="shared" si="10"/>
        <v>56293</v>
      </c>
      <c r="E71" s="59"/>
    </row>
    <row r="72" spans="1:5" x14ac:dyDescent="0.2">
      <c r="A72" s="9" t="s">
        <v>4</v>
      </c>
      <c r="B72" s="88">
        <f>SUM(B62:B71)</f>
        <v>160580</v>
      </c>
      <c r="C72" s="88">
        <f t="shared" ref="C72:D72" si="11">SUM(C62:C71)</f>
        <v>115734</v>
      </c>
      <c r="D72" s="88">
        <f t="shared" si="11"/>
        <v>276314</v>
      </c>
      <c r="E72" s="59"/>
    </row>
    <row r="73" spans="1:5" x14ac:dyDescent="0.2">
      <c r="A73" s="34"/>
      <c r="B73" s="34"/>
      <c r="C73" s="34"/>
      <c r="D73" s="34"/>
      <c r="E73" s="34"/>
    </row>
    <row r="74" spans="1:5" x14ac:dyDescent="0.2">
      <c r="A74" s="34"/>
      <c r="B74" s="34"/>
      <c r="C74" s="34"/>
      <c r="D74" s="34"/>
      <c r="E74" s="34"/>
    </row>
    <row r="75" spans="1:5" x14ac:dyDescent="0.2">
      <c r="A75" s="61" t="s">
        <v>238</v>
      </c>
      <c r="B75" s="34"/>
      <c r="C75" s="34"/>
      <c r="D75" s="34"/>
      <c r="E75" s="34"/>
    </row>
    <row r="76" spans="1:5" x14ac:dyDescent="0.2">
      <c r="A76" s="34"/>
      <c r="B76" s="34"/>
      <c r="C76" s="34"/>
      <c r="D76" s="34"/>
      <c r="E76" s="34"/>
    </row>
    <row r="77" spans="1:5" x14ac:dyDescent="0.2">
      <c r="A77" s="62" t="s">
        <v>21</v>
      </c>
      <c r="B77" s="34"/>
      <c r="C77" s="34"/>
      <c r="D77" s="34"/>
      <c r="E77" s="34"/>
    </row>
    <row r="78" spans="1:5" x14ac:dyDescent="0.2">
      <c r="A78" s="34"/>
      <c r="B78" s="34"/>
      <c r="C78" s="34"/>
      <c r="D78" s="34"/>
      <c r="E78" s="34"/>
    </row>
  </sheetData>
  <conditionalFormatting sqref="E62:E7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{3752770A-D42D-4B5B-969E-ABBA84E8E5A5}</x14:id>
        </ext>
      </extLst>
    </cfRule>
  </conditionalFormatting>
  <hyperlinks>
    <hyperlink ref="A77" location="Indice!A5" display="Volver al índice"/>
  </hyperlink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52770A-D42D-4B5B-969E-ABBA84E8E5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E62:E71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26.42578125" style="1" customWidth="1"/>
    <col min="2" max="16" width="9.7109375" style="1" customWidth="1"/>
    <col min="17" max="17" width="12.5703125" style="1" customWidth="1"/>
    <col min="18" max="18" width="12.85546875" style="1" customWidth="1"/>
    <col min="19" max="19" width="11.85546875" style="1" customWidth="1"/>
    <col min="20" max="20" width="14.5703125" style="1" customWidth="1"/>
    <col min="21" max="16384" width="10.85546875" style="1"/>
  </cols>
  <sheetData>
    <row r="1" spans="1:20" ht="21" x14ac:dyDescent="0.2">
      <c r="A1" s="58" t="s">
        <v>369</v>
      </c>
      <c r="B1" s="58"/>
      <c r="C1" s="58"/>
      <c r="D1" s="58"/>
      <c r="E1" s="58"/>
      <c r="F1" s="58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26.2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x14ac:dyDescent="0.2">
      <c r="A3" s="63"/>
      <c r="B3" s="63"/>
      <c r="C3" s="63"/>
      <c r="D3" s="63"/>
      <c r="E3" s="63"/>
      <c r="F3" s="63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20" ht="15.75" x14ac:dyDescent="0.2">
      <c r="A4" s="23" t="s">
        <v>215</v>
      </c>
      <c r="B4" s="23"/>
      <c r="C4" s="23"/>
      <c r="D4" s="23"/>
      <c r="E4" s="23"/>
      <c r="F4" s="23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ht="28.5" customHeight="1" x14ac:dyDescent="0.2">
      <c r="A5" s="78" t="s">
        <v>226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12" t="s">
        <v>370</v>
      </c>
      <c r="R5" s="12" t="s">
        <v>371</v>
      </c>
      <c r="S5" s="12" t="s">
        <v>372</v>
      </c>
      <c r="T5" s="12" t="s">
        <v>373</v>
      </c>
    </row>
    <row r="6" spans="1:20" x14ac:dyDescent="0.2">
      <c r="A6" s="4" t="s">
        <v>1</v>
      </c>
      <c r="B6" s="4">
        <v>84800</v>
      </c>
      <c r="C6" s="4">
        <v>96406</v>
      </c>
      <c r="D6" s="4">
        <v>105514</v>
      </c>
      <c r="E6" s="4">
        <v>101649</v>
      </c>
      <c r="F6" s="4">
        <v>117839</v>
      </c>
      <c r="G6" s="4">
        <v>135145</v>
      </c>
      <c r="H6" s="4">
        <v>156236</v>
      </c>
      <c r="I6" s="4">
        <v>170654</v>
      </c>
      <c r="J6" s="4">
        <v>187766</v>
      </c>
      <c r="K6" s="4">
        <v>195964</v>
      </c>
      <c r="L6" s="4">
        <v>204367</v>
      </c>
      <c r="M6" s="4">
        <v>207962</v>
      </c>
      <c r="N6" s="4">
        <v>199863</v>
      </c>
      <c r="O6" s="4">
        <v>159147</v>
      </c>
      <c r="P6" s="4">
        <v>223835</v>
      </c>
      <c r="Q6" s="89">
        <f>(P6-G6)/G6</f>
        <v>0.65625809315919936</v>
      </c>
      <c r="R6" s="96">
        <f>(P6-L6)/L6</f>
        <v>9.5259997944873678E-2</v>
      </c>
      <c r="S6" s="96">
        <f>(P6-O6)/O6</f>
        <v>0.40646697707151253</v>
      </c>
      <c r="T6" s="98">
        <f>P6/P$9</f>
        <v>0.8100747700080343</v>
      </c>
    </row>
    <row r="7" spans="1:20" x14ac:dyDescent="0.2">
      <c r="A7" s="4" t="s">
        <v>2</v>
      </c>
      <c r="B7" s="4">
        <v>5481</v>
      </c>
      <c r="C7" s="4">
        <v>6239</v>
      </c>
      <c r="D7" s="4">
        <v>8606</v>
      </c>
      <c r="E7" s="4">
        <v>8088</v>
      </c>
      <c r="F7" s="4">
        <v>10011</v>
      </c>
      <c r="G7" s="4">
        <v>10589</v>
      </c>
      <c r="H7" s="4">
        <v>12609</v>
      </c>
      <c r="I7" s="4">
        <v>13002</v>
      </c>
      <c r="J7" s="4">
        <v>13984</v>
      </c>
      <c r="K7" s="4">
        <v>13977</v>
      </c>
      <c r="L7" s="4">
        <v>14810</v>
      </c>
      <c r="M7" s="4">
        <v>16328</v>
      </c>
      <c r="N7" s="4">
        <v>16184</v>
      </c>
      <c r="O7" s="4">
        <v>15240</v>
      </c>
      <c r="P7" s="4">
        <v>19210</v>
      </c>
      <c r="Q7" s="89">
        <f>(P7-G7)/G7</f>
        <v>0.81414675606761733</v>
      </c>
      <c r="R7" s="96">
        <f>(P7-L7)/L7</f>
        <v>0.29709655638082377</v>
      </c>
      <c r="S7" s="96">
        <f>(P7-O7)/O7</f>
        <v>0.26049868766404199</v>
      </c>
      <c r="T7" s="98">
        <f>P7/P$9</f>
        <v>6.9522355001918112E-2</v>
      </c>
    </row>
    <row r="8" spans="1:20" x14ac:dyDescent="0.2">
      <c r="A8" s="4" t="s">
        <v>3</v>
      </c>
      <c r="B8" s="4">
        <v>5016</v>
      </c>
      <c r="C8" s="4">
        <v>7654</v>
      </c>
      <c r="D8" s="4">
        <v>8783</v>
      </c>
      <c r="E8" s="4">
        <v>8853</v>
      </c>
      <c r="F8" s="4">
        <v>8730</v>
      </c>
      <c r="G8" s="4">
        <v>9690</v>
      </c>
      <c r="H8" s="4">
        <v>12575</v>
      </c>
      <c r="I8" s="4">
        <v>12895</v>
      </c>
      <c r="J8" s="4">
        <v>13515</v>
      </c>
      <c r="K8" s="4">
        <v>18951</v>
      </c>
      <c r="L8" s="4">
        <v>22610</v>
      </c>
      <c r="M8" s="4">
        <v>24935</v>
      </c>
      <c r="N8" s="4">
        <v>29223</v>
      </c>
      <c r="O8" s="4">
        <v>27336</v>
      </c>
      <c r="P8" s="4">
        <v>33269</v>
      </c>
      <c r="Q8" s="89">
        <f>(P8-G8)/G8</f>
        <v>2.4333333333333331</v>
      </c>
      <c r="R8" s="96">
        <f>(P8-L8)/L8</f>
        <v>0.47142857142857142</v>
      </c>
      <c r="S8" s="96">
        <f>(P8-O8)/O8</f>
        <v>0.21703980099502487</v>
      </c>
      <c r="T8" s="98">
        <f>P8/P$9</f>
        <v>0.12040287499004755</v>
      </c>
    </row>
    <row r="9" spans="1:20" x14ac:dyDescent="0.2">
      <c r="A9" s="5" t="s">
        <v>4</v>
      </c>
      <c r="B9" s="5">
        <v>95297</v>
      </c>
      <c r="C9" s="5">
        <v>110299</v>
      </c>
      <c r="D9" s="5">
        <v>122903</v>
      </c>
      <c r="E9" s="5">
        <v>118590</v>
      </c>
      <c r="F9" s="5">
        <v>136580</v>
      </c>
      <c r="G9" s="5">
        <v>155424</v>
      </c>
      <c r="H9" s="5">
        <v>181420</v>
      </c>
      <c r="I9" s="5">
        <v>196551</v>
      </c>
      <c r="J9" s="5">
        <v>215265</v>
      </c>
      <c r="K9" s="5">
        <v>228892</v>
      </c>
      <c r="L9" s="5">
        <v>241787</v>
      </c>
      <c r="M9" s="5">
        <v>249225</v>
      </c>
      <c r="N9" s="5">
        <v>245270</v>
      </c>
      <c r="O9" s="5">
        <v>201723</v>
      </c>
      <c r="P9" s="5">
        <v>276314</v>
      </c>
      <c r="Q9" s="73">
        <v>0.77780780317068154</v>
      </c>
      <c r="R9" s="97">
        <f>(P9-L9)/L9</f>
        <v>0.14279924065396402</v>
      </c>
      <c r="S9" s="97">
        <f>(P9-O9)/O9</f>
        <v>0.36976943630622189</v>
      </c>
      <c r="T9" s="99">
        <f>P9/P$9</f>
        <v>1</v>
      </c>
    </row>
    <row r="10" spans="1:20" x14ac:dyDescent="0.2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93"/>
    </row>
    <row r="11" spans="1:20" ht="15.75" x14ac:dyDescent="0.2">
      <c r="A11" s="23" t="s">
        <v>22</v>
      </c>
      <c r="B11" s="23"/>
      <c r="C11" s="23"/>
      <c r="D11" s="23"/>
      <c r="E11" s="23"/>
      <c r="F11" s="2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0" ht="25.5" x14ac:dyDescent="0.2">
      <c r="A12" s="78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12" t="s">
        <v>370</v>
      </c>
      <c r="R12" s="12" t="s">
        <v>371</v>
      </c>
      <c r="S12" s="12" t="s">
        <v>372</v>
      </c>
      <c r="T12" s="12" t="s">
        <v>373</v>
      </c>
    </row>
    <row r="13" spans="1:20" x14ac:dyDescent="0.2">
      <c r="A13" s="4" t="s">
        <v>5</v>
      </c>
      <c r="B13" s="4">
        <v>12658</v>
      </c>
      <c r="C13" s="4">
        <v>19204</v>
      </c>
      <c r="D13" s="4">
        <v>16557</v>
      </c>
      <c r="E13" s="4">
        <v>14055</v>
      </c>
      <c r="F13" s="4">
        <v>22326</v>
      </c>
      <c r="G13" s="4">
        <v>25501</v>
      </c>
      <c r="H13" s="4">
        <v>28193</v>
      </c>
      <c r="I13" s="4">
        <v>27675</v>
      </c>
      <c r="J13" s="4">
        <v>30556</v>
      </c>
      <c r="K13" s="4">
        <v>33786</v>
      </c>
      <c r="L13" s="4">
        <v>32665</v>
      </c>
      <c r="M13" s="4">
        <v>35133</v>
      </c>
      <c r="N13" s="4">
        <v>33447</v>
      </c>
      <c r="O13" s="4">
        <v>23480</v>
      </c>
      <c r="P13" s="4">
        <v>35407</v>
      </c>
      <c r="Q13" s="89">
        <f>(P13-G13)/G13</f>
        <v>0.38845535469197284</v>
      </c>
      <c r="R13" s="96">
        <f>(P13-L13)/L13</f>
        <v>8.3943058319302002E-2</v>
      </c>
      <c r="S13" s="96">
        <f>(P13-O13)/O13</f>
        <v>0.5079642248722317</v>
      </c>
      <c r="T13" s="98">
        <f>P13/P$9</f>
        <v>0.12814044890957388</v>
      </c>
    </row>
    <row r="14" spans="1:20" x14ac:dyDescent="0.2">
      <c r="A14" s="4" t="s">
        <v>6</v>
      </c>
      <c r="B14" s="4">
        <v>17186</v>
      </c>
      <c r="C14" s="4">
        <v>18675</v>
      </c>
      <c r="D14" s="4">
        <v>23665</v>
      </c>
      <c r="E14" s="4">
        <v>23669</v>
      </c>
      <c r="F14" s="4">
        <v>30689</v>
      </c>
      <c r="G14" s="4">
        <v>37944</v>
      </c>
      <c r="H14" s="4">
        <v>47078</v>
      </c>
      <c r="I14" s="4">
        <v>55846</v>
      </c>
      <c r="J14" s="4">
        <v>67565</v>
      </c>
      <c r="K14" s="4">
        <v>75462</v>
      </c>
      <c r="L14" s="4">
        <v>79301</v>
      </c>
      <c r="M14" s="4">
        <v>79968</v>
      </c>
      <c r="N14" s="4">
        <v>75548</v>
      </c>
      <c r="O14" s="4">
        <v>64211</v>
      </c>
      <c r="P14" s="4">
        <v>81992</v>
      </c>
      <c r="Q14" s="89">
        <f>(P14-G14)/G14</f>
        <v>1.1608686485346826</v>
      </c>
      <c r="R14" s="96">
        <f>(P14-L14)/L14</f>
        <v>3.3933998310235684E-2</v>
      </c>
      <c r="S14" s="96">
        <f>(P14-O14)/O14</f>
        <v>0.27691517029792401</v>
      </c>
      <c r="T14" s="98">
        <f>P14/P$9</f>
        <v>0.29673487409251792</v>
      </c>
    </row>
    <row r="15" spans="1:20" x14ac:dyDescent="0.2">
      <c r="A15" s="4" t="s">
        <v>7</v>
      </c>
      <c r="B15" s="4">
        <v>65453</v>
      </c>
      <c r="C15" s="4">
        <v>72420</v>
      </c>
      <c r="D15" s="4">
        <v>82681</v>
      </c>
      <c r="E15" s="4">
        <v>80866</v>
      </c>
      <c r="F15" s="4">
        <v>83565</v>
      </c>
      <c r="G15" s="4">
        <v>91979</v>
      </c>
      <c r="H15" s="4">
        <v>106149</v>
      </c>
      <c r="I15" s="4">
        <v>113030</v>
      </c>
      <c r="J15" s="4">
        <v>117144</v>
      </c>
      <c r="K15" s="4">
        <v>119644</v>
      </c>
      <c r="L15" s="4">
        <v>129821</v>
      </c>
      <c r="M15" s="4">
        <v>134124</v>
      </c>
      <c r="N15" s="4">
        <v>136275</v>
      </c>
      <c r="O15" s="4">
        <v>114032</v>
      </c>
      <c r="P15" s="4">
        <v>158915</v>
      </c>
      <c r="Q15" s="89">
        <f>(P15-G15)/G15</f>
        <v>0.7277313299774949</v>
      </c>
      <c r="R15" s="96">
        <f>(P15-L15)/L15</f>
        <v>0.22410858027591837</v>
      </c>
      <c r="S15" s="96">
        <f>(P15-O15)/O15</f>
        <v>0.39360004209344746</v>
      </c>
      <c r="T15" s="98">
        <f>P15/P$9</f>
        <v>0.57512467699790815</v>
      </c>
    </row>
    <row r="16" spans="1:20" x14ac:dyDescent="0.2">
      <c r="A16" s="5" t="s">
        <v>4</v>
      </c>
      <c r="B16" s="5">
        <v>95297</v>
      </c>
      <c r="C16" s="5">
        <v>110299</v>
      </c>
      <c r="D16" s="5">
        <v>122903</v>
      </c>
      <c r="E16" s="5">
        <v>118590</v>
      </c>
      <c r="F16" s="5">
        <v>136580</v>
      </c>
      <c r="G16" s="5">
        <v>155424</v>
      </c>
      <c r="H16" s="5">
        <v>181420</v>
      </c>
      <c r="I16" s="5">
        <v>196551</v>
      </c>
      <c r="J16" s="5">
        <v>215265</v>
      </c>
      <c r="K16" s="5">
        <v>228892</v>
      </c>
      <c r="L16" s="5">
        <v>241787</v>
      </c>
      <c r="M16" s="5">
        <v>249225</v>
      </c>
      <c r="N16" s="5">
        <v>245270</v>
      </c>
      <c r="O16" s="5">
        <v>201723</v>
      </c>
      <c r="P16" s="5">
        <v>276314</v>
      </c>
      <c r="Q16" s="73">
        <f>(P16-G16)/G16</f>
        <v>0.77780780317068154</v>
      </c>
      <c r="R16" s="97">
        <f>(P16-L16)/L16</f>
        <v>0.14279924065396402</v>
      </c>
      <c r="S16" s="97">
        <f>(P16-O16)/O16</f>
        <v>0.36976943630622189</v>
      </c>
      <c r="T16" s="99">
        <f>P16/P$9</f>
        <v>1</v>
      </c>
    </row>
    <row r="17" spans="1:20" x14ac:dyDescent="0.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ht="15.75" x14ac:dyDescent="0.2">
      <c r="A18" s="23" t="s">
        <v>216</v>
      </c>
      <c r="B18" s="23"/>
      <c r="C18" s="23"/>
      <c r="D18" s="23"/>
      <c r="E18" s="23"/>
      <c r="F18" s="23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 ht="25.5" x14ac:dyDescent="0.2">
      <c r="A19" s="78" t="s">
        <v>299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12" t="s">
        <v>370</v>
      </c>
      <c r="R19" s="12" t="s">
        <v>371</v>
      </c>
      <c r="S19" s="12" t="s">
        <v>372</v>
      </c>
      <c r="T19" s="12" t="s">
        <v>373</v>
      </c>
    </row>
    <row r="20" spans="1:20" x14ac:dyDescent="0.2">
      <c r="A20" s="5" t="s">
        <v>5</v>
      </c>
      <c r="B20" s="5">
        <v>12658</v>
      </c>
      <c r="C20" s="5">
        <v>19204</v>
      </c>
      <c r="D20" s="5">
        <v>16557</v>
      </c>
      <c r="E20" s="5">
        <v>14055</v>
      </c>
      <c r="F20" s="5">
        <v>22326</v>
      </c>
      <c r="G20" s="21">
        <v>25501</v>
      </c>
      <c r="H20" s="21">
        <v>28193</v>
      </c>
      <c r="I20" s="21">
        <v>27675</v>
      </c>
      <c r="J20" s="21">
        <v>30556</v>
      </c>
      <c r="K20" s="21">
        <v>33786</v>
      </c>
      <c r="L20" s="21">
        <v>32665</v>
      </c>
      <c r="M20" s="21">
        <v>35133</v>
      </c>
      <c r="N20" s="21">
        <v>33447</v>
      </c>
      <c r="O20" s="21">
        <v>23480</v>
      </c>
      <c r="P20" s="21">
        <v>35407</v>
      </c>
      <c r="Q20" s="89">
        <f t="shared" ref="Q20:Q30" si="0">(P20-G20)/G20</f>
        <v>0.38845535469197284</v>
      </c>
      <c r="R20" s="96">
        <f t="shared" ref="R20:R30" si="1">(P20-L20)/L20</f>
        <v>8.3943058319302002E-2</v>
      </c>
      <c r="S20" s="96">
        <f t="shared" ref="S20:S30" si="2">(P20-O20)/O20</f>
        <v>0.5079642248722317</v>
      </c>
      <c r="T20" s="98">
        <f t="shared" ref="T20:T30" si="3">P20/P$9</f>
        <v>0.12814044890957388</v>
      </c>
    </row>
    <row r="21" spans="1:20" x14ac:dyDescent="0.2">
      <c r="A21" s="75" t="s">
        <v>1</v>
      </c>
      <c r="B21" s="75">
        <v>12658</v>
      </c>
      <c r="C21" s="75">
        <v>19204</v>
      </c>
      <c r="D21" s="75">
        <v>16547</v>
      </c>
      <c r="E21" s="75">
        <v>14044</v>
      </c>
      <c r="F21" s="75">
        <v>22313</v>
      </c>
      <c r="G21" s="4">
        <v>25493</v>
      </c>
      <c r="H21" s="4">
        <v>28183</v>
      </c>
      <c r="I21" s="4">
        <v>27675</v>
      </c>
      <c r="J21" s="4">
        <v>30556</v>
      </c>
      <c r="K21" s="4">
        <v>33777</v>
      </c>
      <c r="L21" s="4">
        <v>32655</v>
      </c>
      <c r="M21" s="4">
        <v>35128</v>
      </c>
      <c r="N21" s="4">
        <v>33444</v>
      </c>
      <c r="O21" s="4">
        <v>23477</v>
      </c>
      <c r="P21" s="4">
        <v>35400</v>
      </c>
      <c r="Q21" s="89">
        <f t="shared" si="0"/>
        <v>0.38861648295610562</v>
      </c>
      <c r="R21" s="96">
        <f t="shared" si="1"/>
        <v>8.4060633899862194E-2</v>
      </c>
      <c r="S21" s="96">
        <f t="shared" si="2"/>
        <v>0.50785875537760361</v>
      </c>
      <c r="T21" s="98">
        <f t="shared" si="3"/>
        <v>0.12811511541217599</v>
      </c>
    </row>
    <row r="22" spans="1:20" x14ac:dyDescent="0.2">
      <c r="A22" s="75" t="s">
        <v>3</v>
      </c>
      <c r="B22" s="75">
        <v>0</v>
      </c>
      <c r="C22" s="75">
        <v>0</v>
      </c>
      <c r="D22" s="75">
        <v>10</v>
      </c>
      <c r="E22" s="75">
        <v>11</v>
      </c>
      <c r="F22" s="75">
        <v>13</v>
      </c>
      <c r="G22" s="4">
        <v>8</v>
      </c>
      <c r="H22" s="4">
        <v>10</v>
      </c>
      <c r="I22" s="4">
        <v>0</v>
      </c>
      <c r="J22" s="4">
        <v>0</v>
      </c>
      <c r="K22" s="4">
        <v>9</v>
      </c>
      <c r="L22" s="4">
        <v>10</v>
      </c>
      <c r="M22" s="4">
        <v>5</v>
      </c>
      <c r="N22" s="4">
        <v>3</v>
      </c>
      <c r="O22" s="4">
        <v>3</v>
      </c>
      <c r="P22" s="4">
        <v>7</v>
      </c>
      <c r="Q22" s="89">
        <f t="shared" si="0"/>
        <v>-0.125</v>
      </c>
      <c r="R22" s="96">
        <f t="shared" si="1"/>
        <v>-0.3</v>
      </c>
      <c r="S22" s="96">
        <f t="shared" si="2"/>
        <v>1.3333333333333333</v>
      </c>
      <c r="T22" s="98">
        <f t="shared" si="3"/>
        <v>2.5333497397887909E-5</v>
      </c>
    </row>
    <row r="23" spans="1:20" x14ac:dyDescent="0.2">
      <c r="A23" s="5" t="s">
        <v>6</v>
      </c>
      <c r="B23" s="5">
        <v>17186</v>
      </c>
      <c r="C23" s="5">
        <v>18675</v>
      </c>
      <c r="D23" s="5">
        <v>23665</v>
      </c>
      <c r="E23" s="5">
        <v>23669</v>
      </c>
      <c r="F23" s="5">
        <v>30689</v>
      </c>
      <c r="G23" s="21">
        <v>37944</v>
      </c>
      <c r="H23" s="21">
        <v>47078</v>
      </c>
      <c r="I23" s="21">
        <v>55846</v>
      </c>
      <c r="J23" s="21">
        <v>67565</v>
      </c>
      <c r="K23" s="21">
        <v>75462</v>
      </c>
      <c r="L23" s="21">
        <v>79301</v>
      </c>
      <c r="M23" s="21">
        <v>79968</v>
      </c>
      <c r="N23" s="21">
        <v>75548</v>
      </c>
      <c r="O23" s="21">
        <v>64211</v>
      </c>
      <c r="P23" s="21">
        <v>81992</v>
      </c>
      <c r="Q23" s="89">
        <f t="shared" si="0"/>
        <v>1.1608686485346826</v>
      </c>
      <c r="R23" s="96">
        <f t="shared" si="1"/>
        <v>3.3933998310235684E-2</v>
      </c>
      <c r="S23" s="96">
        <f t="shared" si="2"/>
        <v>0.27691517029792401</v>
      </c>
      <c r="T23" s="98">
        <f t="shared" si="3"/>
        <v>0.29673487409251792</v>
      </c>
    </row>
    <row r="24" spans="1:20" x14ac:dyDescent="0.2">
      <c r="A24" s="75" t="s">
        <v>1</v>
      </c>
      <c r="B24" s="75">
        <v>17186</v>
      </c>
      <c r="C24" s="75">
        <v>18675</v>
      </c>
      <c r="D24" s="75">
        <v>23637</v>
      </c>
      <c r="E24" s="75">
        <v>23669</v>
      </c>
      <c r="F24" s="75">
        <v>30689</v>
      </c>
      <c r="G24" s="4">
        <v>37944</v>
      </c>
      <c r="H24" s="4">
        <v>47073</v>
      </c>
      <c r="I24" s="4">
        <v>55825</v>
      </c>
      <c r="J24" s="4">
        <v>67309</v>
      </c>
      <c r="K24" s="4">
        <v>72821</v>
      </c>
      <c r="L24" s="4">
        <v>78139</v>
      </c>
      <c r="M24" s="4">
        <v>79092</v>
      </c>
      <c r="N24" s="4">
        <v>74140</v>
      </c>
      <c r="O24" s="4">
        <v>63146</v>
      </c>
      <c r="P24" s="4">
        <v>80875</v>
      </c>
      <c r="Q24" s="89">
        <f t="shared" si="0"/>
        <v>1.1314305292009277</v>
      </c>
      <c r="R24" s="96">
        <f t="shared" si="1"/>
        <v>3.501452539704885E-2</v>
      </c>
      <c r="S24" s="96">
        <f t="shared" si="2"/>
        <v>0.28076204351819595</v>
      </c>
      <c r="T24" s="98">
        <f t="shared" si="3"/>
        <v>0.29269237172202639</v>
      </c>
    </row>
    <row r="25" spans="1:20" x14ac:dyDescent="0.2">
      <c r="A25" s="75" t="s">
        <v>3</v>
      </c>
      <c r="B25" s="75">
        <v>0</v>
      </c>
      <c r="C25" s="75">
        <v>0</v>
      </c>
      <c r="D25" s="75">
        <v>28</v>
      </c>
      <c r="E25" s="75">
        <v>0</v>
      </c>
      <c r="F25" s="75">
        <v>0</v>
      </c>
      <c r="G25" s="4">
        <v>0</v>
      </c>
      <c r="H25" s="4">
        <v>5</v>
      </c>
      <c r="I25" s="4">
        <v>21</v>
      </c>
      <c r="J25" s="4">
        <v>256</v>
      </c>
      <c r="K25" s="4">
        <v>2641</v>
      </c>
      <c r="L25" s="4">
        <v>1162</v>
      </c>
      <c r="M25" s="4">
        <v>876</v>
      </c>
      <c r="N25" s="4">
        <v>1408</v>
      </c>
      <c r="O25" s="4">
        <v>1065</v>
      </c>
      <c r="P25" s="4">
        <v>1117</v>
      </c>
      <c r="Q25" s="89" t="s">
        <v>24</v>
      </c>
      <c r="R25" s="96">
        <f t="shared" si="1"/>
        <v>-3.8726333907056799E-2</v>
      </c>
      <c r="S25" s="96">
        <f t="shared" si="2"/>
        <v>4.8826291079812206E-2</v>
      </c>
      <c r="T25" s="98">
        <f t="shared" si="3"/>
        <v>4.0425023704915419E-3</v>
      </c>
    </row>
    <row r="26" spans="1:20" x14ac:dyDescent="0.2">
      <c r="A26" s="5" t="s">
        <v>7</v>
      </c>
      <c r="B26" s="5">
        <v>65453</v>
      </c>
      <c r="C26" s="5">
        <v>72420</v>
      </c>
      <c r="D26" s="5">
        <v>82681</v>
      </c>
      <c r="E26" s="5">
        <v>80866</v>
      </c>
      <c r="F26" s="5">
        <v>83565</v>
      </c>
      <c r="G26" s="21">
        <v>91979</v>
      </c>
      <c r="H26" s="21">
        <v>106149</v>
      </c>
      <c r="I26" s="21">
        <v>113030</v>
      </c>
      <c r="J26" s="21">
        <v>117144</v>
      </c>
      <c r="K26" s="21">
        <v>119644</v>
      </c>
      <c r="L26" s="21">
        <v>129821</v>
      </c>
      <c r="M26" s="21">
        <v>134124</v>
      </c>
      <c r="N26" s="21">
        <v>136275</v>
      </c>
      <c r="O26" s="21">
        <v>114032</v>
      </c>
      <c r="P26" s="21">
        <v>158914</v>
      </c>
      <c r="Q26" s="89">
        <f t="shared" si="0"/>
        <v>0.72772045793061457</v>
      </c>
      <c r="R26" s="96">
        <f t="shared" si="1"/>
        <v>0.22410087736190601</v>
      </c>
      <c r="S26" s="96">
        <f t="shared" si="2"/>
        <v>0.39359127262522803</v>
      </c>
      <c r="T26" s="98">
        <f t="shared" si="3"/>
        <v>0.57512105792685131</v>
      </c>
    </row>
    <row r="27" spans="1:20" x14ac:dyDescent="0.2">
      <c r="A27" s="75" t="s">
        <v>1</v>
      </c>
      <c r="B27" s="75">
        <v>54956</v>
      </c>
      <c r="C27" s="75">
        <v>58527</v>
      </c>
      <c r="D27" s="75">
        <v>65330</v>
      </c>
      <c r="E27" s="75">
        <v>63936</v>
      </c>
      <c r="F27" s="75">
        <v>64837</v>
      </c>
      <c r="G27" s="4">
        <v>71708</v>
      </c>
      <c r="H27" s="4">
        <v>80980</v>
      </c>
      <c r="I27" s="4">
        <v>87154</v>
      </c>
      <c r="J27" s="4">
        <v>89901</v>
      </c>
      <c r="K27" s="4">
        <v>89366</v>
      </c>
      <c r="L27" s="4">
        <v>93573</v>
      </c>
      <c r="M27" s="4">
        <v>93742</v>
      </c>
      <c r="N27" s="4">
        <v>92279</v>
      </c>
      <c r="O27" s="4">
        <v>72524</v>
      </c>
      <c r="P27" s="4">
        <v>107560</v>
      </c>
      <c r="Q27" s="89">
        <f t="shared" si="0"/>
        <v>0.49997210910916495</v>
      </c>
      <c r="R27" s="96">
        <f t="shared" si="1"/>
        <v>0.14947687901424556</v>
      </c>
      <c r="S27" s="96">
        <f t="shared" si="2"/>
        <v>0.48309525122717994</v>
      </c>
      <c r="T27" s="98">
        <f t="shared" si="3"/>
        <v>0.38926728287383194</v>
      </c>
    </row>
    <row r="28" spans="1:20" x14ac:dyDescent="0.2">
      <c r="A28" s="125" t="s">
        <v>2</v>
      </c>
      <c r="B28" s="75">
        <v>5481</v>
      </c>
      <c r="C28" s="75">
        <v>6239</v>
      </c>
      <c r="D28" s="75">
        <v>8606</v>
      </c>
      <c r="E28" s="75">
        <v>8088</v>
      </c>
      <c r="F28" s="75">
        <v>10011</v>
      </c>
      <c r="G28" s="4">
        <v>10589</v>
      </c>
      <c r="H28" s="4">
        <v>12609</v>
      </c>
      <c r="I28" s="4">
        <v>13002</v>
      </c>
      <c r="J28" s="4">
        <v>13984</v>
      </c>
      <c r="K28" s="4">
        <v>13977</v>
      </c>
      <c r="L28" s="4">
        <v>14810</v>
      </c>
      <c r="M28" s="4">
        <v>16328</v>
      </c>
      <c r="N28" s="4">
        <v>16184</v>
      </c>
      <c r="O28" s="4">
        <v>15240</v>
      </c>
      <c r="P28" s="4">
        <v>19210</v>
      </c>
      <c r="Q28" s="89">
        <f t="shared" si="0"/>
        <v>0.81414675606761733</v>
      </c>
      <c r="R28" s="96">
        <f t="shared" si="1"/>
        <v>0.29709655638082377</v>
      </c>
      <c r="S28" s="96">
        <f t="shared" si="2"/>
        <v>0.26049868766404199</v>
      </c>
      <c r="T28" s="98">
        <f t="shared" si="3"/>
        <v>6.9522355001918112E-2</v>
      </c>
    </row>
    <row r="29" spans="1:20" x14ac:dyDescent="0.2">
      <c r="A29" s="75" t="s">
        <v>3</v>
      </c>
      <c r="B29" s="75">
        <v>5016</v>
      </c>
      <c r="C29" s="75">
        <v>7654</v>
      </c>
      <c r="D29" s="75">
        <v>8745</v>
      </c>
      <c r="E29" s="75">
        <v>8842</v>
      </c>
      <c r="F29" s="75">
        <v>8717</v>
      </c>
      <c r="G29" s="4">
        <v>9682</v>
      </c>
      <c r="H29" s="4">
        <v>12560</v>
      </c>
      <c r="I29" s="4">
        <v>12874</v>
      </c>
      <c r="J29" s="4">
        <v>13259</v>
      </c>
      <c r="K29" s="4">
        <v>16301</v>
      </c>
      <c r="L29" s="4">
        <v>21438</v>
      </c>
      <c r="M29" s="4">
        <v>24054</v>
      </c>
      <c r="N29" s="4">
        <v>27812</v>
      </c>
      <c r="O29" s="4">
        <v>26268</v>
      </c>
      <c r="P29" s="4">
        <v>32145</v>
      </c>
      <c r="Q29" s="89">
        <f t="shared" si="0"/>
        <v>2.3200784961784757</v>
      </c>
      <c r="R29" s="96">
        <f t="shared" si="1"/>
        <v>0.4994402462916317</v>
      </c>
      <c r="S29" s="96">
        <f t="shared" si="2"/>
        <v>0.22373229785290086</v>
      </c>
      <c r="T29" s="98">
        <f t="shared" si="3"/>
        <v>0.11633503912215812</v>
      </c>
    </row>
    <row r="30" spans="1:20" x14ac:dyDescent="0.2">
      <c r="A30" s="5" t="s">
        <v>4</v>
      </c>
      <c r="B30" s="5">
        <v>95297</v>
      </c>
      <c r="C30" s="5">
        <v>110299</v>
      </c>
      <c r="D30" s="5">
        <v>122903</v>
      </c>
      <c r="E30" s="5">
        <v>118590</v>
      </c>
      <c r="F30" s="5">
        <v>136580</v>
      </c>
      <c r="G30" s="5">
        <v>155424</v>
      </c>
      <c r="H30" s="5">
        <v>181420</v>
      </c>
      <c r="I30" s="5">
        <v>196551</v>
      </c>
      <c r="J30" s="5">
        <v>215265</v>
      </c>
      <c r="K30" s="5">
        <v>228892</v>
      </c>
      <c r="L30" s="5">
        <v>241787</v>
      </c>
      <c r="M30" s="5">
        <v>249225</v>
      </c>
      <c r="N30" s="5">
        <v>245270</v>
      </c>
      <c r="O30" s="5">
        <v>201723</v>
      </c>
      <c r="P30" s="5">
        <v>276314</v>
      </c>
      <c r="Q30" s="73">
        <f t="shared" si="0"/>
        <v>0.77780780317068154</v>
      </c>
      <c r="R30" s="97">
        <f t="shared" si="1"/>
        <v>0.14279924065396402</v>
      </c>
      <c r="S30" s="97">
        <f t="shared" si="2"/>
        <v>0.36976943630622189</v>
      </c>
      <c r="T30" s="99">
        <f t="shared" si="3"/>
        <v>1</v>
      </c>
    </row>
    <row r="31" spans="1:20" x14ac:dyDescent="0.2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</row>
    <row r="32" spans="1:20" ht="15.75" x14ac:dyDescent="0.2">
      <c r="A32" s="23" t="s">
        <v>209</v>
      </c>
      <c r="B32" s="23"/>
      <c r="C32" s="23"/>
      <c r="D32" s="23"/>
      <c r="E32" s="23"/>
      <c r="F32" s="23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</row>
    <row r="33" spans="1:20" ht="25.5" x14ac:dyDescent="0.2">
      <c r="A33" s="78" t="s">
        <v>0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3">
        <v>2020</v>
      </c>
      <c r="P33" s="3">
        <v>2021</v>
      </c>
      <c r="Q33" s="12" t="s">
        <v>370</v>
      </c>
      <c r="R33" s="12" t="s">
        <v>371</v>
      </c>
      <c r="S33" s="12" t="s">
        <v>372</v>
      </c>
      <c r="T33" s="12" t="s">
        <v>373</v>
      </c>
    </row>
    <row r="34" spans="1:20" x14ac:dyDescent="0.2">
      <c r="A34" s="4" t="s">
        <v>283</v>
      </c>
      <c r="B34" s="4">
        <v>12658</v>
      </c>
      <c r="C34" s="4">
        <v>19204</v>
      </c>
      <c r="D34" s="4">
        <v>16557</v>
      </c>
      <c r="E34" s="4">
        <v>14055</v>
      </c>
      <c r="F34" s="4">
        <v>22326</v>
      </c>
      <c r="G34" s="4">
        <v>25501</v>
      </c>
      <c r="H34" s="4">
        <v>28193</v>
      </c>
      <c r="I34" s="4">
        <v>27675</v>
      </c>
      <c r="J34" s="4">
        <v>30556</v>
      </c>
      <c r="K34" s="4">
        <v>33786</v>
      </c>
      <c r="L34" s="4">
        <v>32665</v>
      </c>
      <c r="M34" s="4">
        <v>35133</v>
      </c>
      <c r="N34" s="4">
        <v>33430</v>
      </c>
      <c r="O34" s="4">
        <v>23398</v>
      </c>
      <c r="P34" s="4">
        <v>34382</v>
      </c>
      <c r="Q34" s="89">
        <f t="shared" ref="Q34:Q40" si="4">(P34-G34)/G34</f>
        <v>0.34826085251558764</v>
      </c>
      <c r="R34" s="96">
        <f t="shared" ref="R34:R40" si="5">(P34-L34)/L34</f>
        <v>5.2563906321751112E-2</v>
      </c>
      <c r="S34" s="96">
        <f t="shared" ref="S34:S40" si="6">(P34-O34)/O34</f>
        <v>0.46944183263526795</v>
      </c>
      <c r="T34" s="98">
        <f t="shared" ref="T34:T40" si="7">P34/P$9</f>
        <v>0.12443090107631173</v>
      </c>
    </row>
    <row r="35" spans="1:20" x14ac:dyDescent="0.2">
      <c r="A35" s="4" t="s">
        <v>284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17</v>
      </c>
      <c r="O35" s="4">
        <v>82</v>
      </c>
      <c r="P35" s="4">
        <v>1025</v>
      </c>
      <c r="Q35" s="89" t="s">
        <v>24</v>
      </c>
      <c r="R35" s="89" t="s">
        <v>24</v>
      </c>
      <c r="S35" s="96">
        <f t="shared" si="6"/>
        <v>11.5</v>
      </c>
      <c r="T35" s="98">
        <f t="shared" si="7"/>
        <v>3.7095478332621582E-3</v>
      </c>
    </row>
    <row r="36" spans="1:20" x14ac:dyDescent="0.2">
      <c r="A36" s="4" t="s">
        <v>6</v>
      </c>
      <c r="B36" s="4">
        <v>17186</v>
      </c>
      <c r="C36" s="4">
        <v>18675</v>
      </c>
      <c r="D36" s="4">
        <v>23665</v>
      </c>
      <c r="E36" s="4">
        <v>23669</v>
      </c>
      <c r="F36" s="4">
        <v>30689</v>
      </c>
      <c r="G36" s="4">
        <v>37944</v>
      </c>
      <c r="H36" s="4">
        <v>47078</v>
      </c>
      <c r="I36" s="4">
        <v>55846</v>
      </c>
      <c r="J36" s="4">
        <v>67565</v>
      </c>
      <c r="K36" s="4">
        <v>75462</v>
      </c>
      <c r="L36" s="4">
        <v>79301</v>
      </c>
      <c r="M36" s="4">
        <v>79968</v>
      </c>
      <c r="N36" s="4">
        <v>75548</v>
      </c>
      <c r="O36" s="4">
        <v>64211</v>
      </c>
      <c r="P36" s="4">
        <v>81992</v>
      </c>
      <c r="Q36" s="89">
        <f t="shared" si="4"/>
        <v>1.1608686485346826</v>
      </c>
      <c r="R36" s="96">
        <f t="shared" si="5"/>
        <v>3.3933998310235684E-2</v>
      </c>
      <c r="S36" s="96">
        <f t="shared" si="6"/>
        <v>0.27691517029792401</v>
      </c>
      <c r="T36" s="98">
        <f t="shared" si="7"/>
        <v>0.29673487409251792</v>
      </c>
    </row>
    <row r="37" spans="1:20" x14ac:dyDescent="0.2">
      <c r="A37" s="30" t="s">
        <v>235</v>
      </c>
      <c r="B37" s="30">
        <v>23857</v>
      </c>
      <c r="C37" s="30">
        <v>24349</v>
      </c>
      <c r="D37" s="30">
        <v>27333</v>
      </c>
      <c r="E37" s="30">
        <v>27401</v>
      </c>
      <c r="F37" s="30">
        <v>25957</v>
      </c>
      <c r="G37" s="4">
        <v>26574</v>
      </c>
      <c r="H37" s="4">
        <v>27591</v>
      </c>
      <c r="I37" s="4">
        <v>28231</v>
      </c>
      <c r="J37" s="4">
        <v>29199</v>
      </c>
      <c r="K37" s="4">
        <v>28429</v>
      </c>
      <c r="L37" s="4">
        <v>30235</v>
      </c>
      <c r="M37" s="4">
        <v>29724</v>
      </c>
      <c r="N37" s="4">
        <v>29804</v>
      </c>
      <c r="O37" s="4">
        <v>23827</v>
      </c>
      <c r="P37" s="4">
        <v>33925</v>
      </c>
      <c r="Q37" s="89">
        <f t="shared" si="4"/>
        <v>0.27662376759238355</v>
      </c>
      <c r="R37" s="96">
        <f t="shared" si="5"/>
        <v>0.12204398875475442</v>
      </c>
      <c r="S37" s="96">
        <f t="shared" si="6"/>
        <v>0.42380492718344737</v>
      </c>
      <c r="T37" s="98">
        <f t="shared" si="7"/>
        <v>0.12277698560333533</v>
      </c>
    </row>
    <row r="38" spans="1:20" x14ac:dyDescent="0.2">
      <c r="A38" s="30" t="s">
        <v>236</v>
      </c>
      <c r="B38" s="30">
        <v>14220</v>
      </c>
      <c r="C38" s="30">
        <v>15140</v>
      </c>
      <c r="D38" s="30">
        <v>17517</v>
      </c>
      <c r="E38" s="30">
        <v>17191</v>
      </c>
      <c r="F38" s="30">
        <v>17394</v>
      </c>
      <c r="G38" s="4">
        <v>18934</v>
      </c>
      <c r="H38" s="4">
        <v>20599</v>
      </c>
      <c r="I38" s="4">
        <v>21722</v>
      </c>
      <c r="J38" s="4">
        <v>22652</v>
      </c>
      <c r="K38" s="4">
        <v>22397</v>
      </c>
      <c r="L38" s="4">
        <v>30246</v>
      </c>
      <c r="M38" s="4">
        <v>29316</v>
      </c>
      <c r="N38" s="4">
        <v>33524</v>
      </c>
      <c r="O38" s="4">
        <v>31808</v>
      </c>
      <c r="P38" s="4">
        <v>39991</v>
      </c>
      <c r="Q38" s="89">
        <f t="shared" si="4"/>
        <v>1.1121263335798035</v>
      </c>
      <c r="R38" s="96">
        <f t="shared" si="5"/>
        <v>0.32219136414732524</v>
      </c>
      <c r="S38" s="96">
        <f t="shared" si="6"/>
        <v>0.257262323943662</v>
      </c>
      <c r="T38" s="98">
        <f t="shared" si="7"/>
        <v>0.14473027063413363</v>
      </c>
    </row>
    <row r="39" spans="1:20" x14ac:dyDescent="0.2">
      <c r="A39" s="30" t="s">
        <v>237</v>
      </c>
      <c r="B39" s="30">
        <v>27376</v>
      </c>
      <c r="C39" s="30">
        <v>32931</v>
      </c>
      <c r="D39" s="30">
        <v>37831</v>
      </c>
      <c r="E39" s="30">
        <v>36274</v>
      </c>
      <c r="F39" s="30">
        <v>40214</v>
      </c>
      <c r="G39" s="4">
        <v>46471</v>
      </c>
      <c r="H39" s="4">
        <v>57959</v>
      </c>
      <c r="I39" s="4">
        <v>63077</v>
      </c>
      <c r="J39" s="4">
        <v>65293</v>
      </c>
      <c r="K39" s="4">
        <v>68818</v>
      </c>
      <c r="L39" s="4">
        <v>69340</v>
      </c>
      <c r="M39" s="4">
        <v>75084</v>
      </c>
      <c r="N39" s="4">
        <v>72947</v>
      </c>
      <c r="O39" s="4">
        <v>58397</v>
      </c>
      <c r="P39" s="4">
        <v>84999</v>
      </c>
      <c r="Q39" s="89">
        <f t="shared" si="4"/>
        <v>0.82907619805900457</v>
      </c>
      <c r="R39" s="96">
        <f t="shared" si="5"/>
        <v>0.22582924718777039</v>
      </c>
      <c r="S39" s="96">
        <f t="shared" si="6"/>
        <v>0.45553709950853638</v>
      </c>
      <c r="T39" s="98">
        <f t="shared" si="7"/>
        <v>0.30761742076043919</v>
      </c>
    </row>
    <row r="40" spans="1:20" x14ac:dyDescent="0.2">
      <c r="A40" s="5" t="s">
        <v>4</v>
      </c>
      <c r="B40" s="5">
        <v>95297</v>
      </c>
      <c r="C40" s="5">
        <v>110299</v>
      </c>
      <c r="D40" s="5">
        <v>122903</v>
      </c>
      <c r="E40" s="5">
        <v>118590</v>
      </c>
      <c r="F40" s="5">
        <v>136580</v>
      </c>
      <c r="G40" s="5">
        <v>155424</v>
      </c>
      <c r="H40" s="5">
        <v>181420</v>
      </c>
      <c r="I40" s="5">
        <v>196551</v>
      </c>
      <c r="J40" s="5">
        <v>215265</v>
      </c>
      <c r="K40" s="5">
        <v>228892</v>
      </c>
      <c r="L40" s="5">
        <v>241787</v>
      </c>
      <c r="M40" s="5">
        <v>249225</v>
      </c>
      <c r="N40" s="5">
        <v>245270</v>
      </c>
      <c r="O40" s="5">
        <v>201723</v>
      </c>
      <c r="P40" s="5">
        <v>276314</v>
      </c>
      <c r="Q40" s="73">
        <f t="shared" si="4"/>
        <v>0.77780780317068154</v>
      </c>
      <c r="R40" s="97">
        <f t="shared" si="5"/>
        <v>0.14279924065396402</v>
      </c>
      <c r="S40" s="97">
        <f t="shared" si="6"/>
        <v>0.36976943630622189</v>
      </c>
      <c r="T40" s="99">
        <f t="shared" si="7"/>
        <v>1</v>
      </c>
    </row>
    <row r="41" spans="1:20" x14ac:dyDescent="0.2">
      <c r="A41" s="124" t="s">
        <v>297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</row>
    <row r="42" spans="1:20" x14ac:dyDescent="0.2">
      <c r="A42" s="106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</row>
    <row r="43" spans="1:20" ht="15.75" x14ac:dyDescent="0.2">
      <c r="A43" s="23" t="s">
        <v>217</v>
      </c>
      <c r="B43" s="23"/>
      <c r="C43" s="23"/>
      <c r="D43" s="23"/>
      <c r="E43" s="23"/>
      <c r="F43" s="23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</row>
    <row r="44" spans="1:20" ht="25.5" x14ac:dyDescent="0.2">
      <c r="A44" s="78" t="s">
        <v>23</v>
      </c>
      <c r="B44" s="3">
        <v>2007</v>
      </c>
      <c r="C44" s="3">
        <v>2008</v>
      </c>
      <c r="D44" s="3">
        <v>2009</v>
      </c>
      <c r="E44" s="3">
        <v>2010</v>
      </c>
      <c r="F44" s="3">
        <v>2011</v>
      </c>
      <c r="G44" s="3">
        <v>2012</v>
      </c>
      <c r="H44" s="3">
        <v>2013</v>
      </c>
      <c r="I44" s="3">
        <v>2014</v>
      </c>
      <c r="J44" s="3">
        <v>2015</v>
      </c>
      <c r="K44" s="3">
        <v>2016</v>
      </c>
      <c r="L44" s="3">
        <v>2017</v>
      </c>
      <c r="M44" s="3">
        <v>2018</v>
      </c>
      <c r="N44" s="3">
        <v>2019</v>
      </c>
      <c r="O44" s="3">
        <v>2020</v>
      </c>
      <c r="P44" s="3">
        <v>2021</v>
      </c>
      <c r="Q44" s="12" t="s">
        <v>370</v>
      </c>
      <c r="R44" s="12" t="s">
        <v>371</v>
      </c>
      <c r="S44" s="12" t="s">
        <v>372</v>
      </c>
      <c r="T44" s="12" t="s">
        <v>373</v>
      </c>
    </row>
    <row r="45" spans="1:20" x14ac:dyDescent="0.2">
      <c r="A45" s="5" t="s">
        <v>283</v>
      </c>
      <c r="B45" s="5">
        <v>12658</v>
      </c>
      <c r="C45" s="5">
        <v>19204</v>
      </c>
      <c r="D45" s="5">
        <v>16557</v>
      </c>
      <c r="E45" s="5">
        <v>14055</v>
      </c>
      <c r="F45" s="5">
        <v>22326</v>
      </c>
      <c r="G45" s="21">
        <v>25501</v>
      </c>
      <c r="H45" s="21">
        <v>28193</v>
      </c>
      <c r="I45" s="21">
        <v>27675</v>
      </c>
      <c r="J45" s="21">
        <v>30556</v>
      </c>
      <c r="K45" s="21">
        <v>33786</v>
      </c>
      <c r="L45" s="21">
        <v>32665</v>
      </c>
      <c r="M45" s="21">
        <v>35133</v>
      </c>
      <c r="N45" s="21">
        <v>33430</v>
      </c>
      <c r="O45" s="21">
        <v>23398</v>
      </c>
      <c r="P45" s="21">
        <v>34382</v>
      </c>
      <c r="Q45" s="73">
        <f t="shared" ref="Q45:Q65" si="8">(P45-G45)/G45</f>
        <v>0.34826085251558764</v>
      </c>
      <c r="R45" s="97">
        <f t="shared" ref="R45:R65" si="9">(P45-L45)/L45</f>
        <v>5.2563906321751112E-2</v>
      </c>
      <c r="S45" s="97">
        <f t="shared" ref="S45:S65" si="10">(P45-O45)/O45</f>
        <v>0.46944183263526795</v>
      </c>
      <c r="T45" s="99">
        <f t="shared" ref="T45:T65" si="11">P45/P$9</f>
        <v>0.12443090107631173</v>
      </c>
    </row>
    <row r="46" spans="1:20" x14ac:dyDescent="0.2">
      <c r="A46" s="75" t="s">
        <v>1</v>
      </c>
      <c r="B46" s="75">
        <v>12658</v>
      </c>
      <c r="C46" s="75">
        <v>19204</v>
      </c>
      <c r="D46" s="75">
        <v>16547</v>
      </c>
      <c r="E46" s="75">
        <v>14044</v>
      </c>
      <c r="F46" s="75">
        <v>22313</v>
      </c>
      <c r="G46" s="4">
        <v>25493</v>
      </c>
      <c r="H46" s="4">
        <v>28183</v>
      </c>
      <c r="I46" s="4">
        <v>27675</v>
      </c>
      <c r="J46" s="4">
        <v>30556</v>
      </c>
      <c r="K46" s="4">
        <v>33777</v>
      </c>
      <c r="L46" s="4">
        <v>32655</v>
      </c>
      <c r="M46" s="4">
        <v>35128</v>
      </c>
      <c r="N46" s="4">
        <v>33427</v>
      </c>
      <c r="O46" s="4">
        <v>23395</v>
      </c>
      <c r="P46" s="4">
        <v>34375</v>
      </c>
      <c r="Q46" s="89">
        <f t="shared" si="8"/>
        <v>0.34840936727729183</v>
      </c>
      <c r="R46" s="96">
        <f t="shared" si="9"/>
        <v>5.2671872607563924E-2</v>
      </c>
      <c r="S46" s="96">
        <f t="shared" si="10"/>
        <v>0.46933105364394101</v>
      </c>
      <c r="T46" s="98">
        <f t="shared" si="11"/>
        <v>0.12440556757891384</v>
      </c>
    </row>
    <row r="47" spans="1:20" x14ac:dyDescent="0.2">
      <c r="A47" s="75" t="s">
        <v>3</v>
      </c>
      <c r="B47" s="75">
        <v>0</v>
      </c>
      <c r="C47" s="75">
        <v>0</v>
      </c>
      <c r="D47" s="75">
        <v>10</v>
      </c>
      <c r="E47" s="75">
        <v>11</v>
      </c>
      <c r="F47" s="75">
        <v>13</v>
      </c>
      <c r="G47" s="4">
        <v>8</v>
      </c>
      <c r="H47" s="4">
        <v>10</v>
      </c>
      <c r="I47" s="4">
        <v>0</v>
      </c>
      <c r="J47" s="4">
        <v>0</v>
      </c>
      <c r="K47" s="4">
        <v>9</v>
      </c>
      <c r="L47" s="4">
        <v>10</v>
      </c>
      <c r="M47" s="4">
        <v>5</v>
      </c>
      <c r="N47" s="4">
        <v>3</v>
      </c>
      <c r="O47" s="4">
        <v>3</v>
      </c>
      <c r="P47" s="4">
        <v>7</v>
      </c>
      <c r="Q47" s="89">
        <f t="shared" si="8"/>
        <v>-0.125</v>
      </c>
      <c r="R47" s="96">
        <f t="shared" si="9"/>
        <v>-0.3</v>
      </c>
      <c r="S47" s="96">
        <f t="shared" si="10"/>
        <v>1.3333333333333333</v>
      </c>
      <c r="T47" s="98">
        <f t="shared" si="11"/>
        <v>2.5333497397887909E-5</v>
      </c>
    </row>
    <row r="48" spans="1:20" x14ac:dyDescent="0.2">
      <c r="A48" s="5" t="s">
        <v>284</v>
      </c>
      <c r="B48" s="75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4">
        <v>17</v>
      </c>
      <c r="O48" s="4">
        <v>82</v>
      </c>
      <c r="P48" s="4">
        <v>1025</v>
      </c>
      <c r="Q48" s="73" t="s">
        <v>24</v>
      </c>
      <c r="R48" s="97" t="s">
        <v>24</v>
      </c>
      <c r="S48" s="97">
        <f t="shared" si="10"/>
        <v>11.5</v>
      </c>
      <c r="T48" s="99">
        <f t="shared" si="11"/>
        <v>3.7095478332621582E-3</v>
      </c>
    </row>
    <row r="49" spans="1:20" x14ac:dyDescent="0.2">
      <c r="A49" s="75" t="s">
        <v>1</v>
      </c>
      <c r="B49" s="75">
        <v>0</v>
      </c>
      <c r="C49" s="75">
        <v>0</v>
      </c>
      <c r="D49" s="75">
        <v>0</v>
      </c>
      <c r="E49" s="75">
        <v>0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4">
        <v>17</v>
      </c>
      <c r="O49" s="4">
        <v>82</v>
      </c>
      <c r="P49" s="4">
        <v>1025</v>
      </c>
      <c r="Q49" s="89" t="s">
        <v>24</v>
      </c>
      <c r="R49" s="96" t="s">
        <v>24</v>
      </c>
      <c r="S49" s="96">
        <f t="shared" si="10"/>
        <v>11.5</v>
      </c>
      <c r="T49" s="98">
        <f t="shared" si="11"/>
        <v>3.7095478332621582E-3</v>
      </c>
    </row>
    <row r="50" spans="1:20" x14ac:dyDescent="0.2">
      <c r="A50" s="5" t="s">
        <v>6</v>
      </c>
      <c r="B50" s="5">
        <v>17186</v>
      </c>
      <c r="C50" s="5">
        <v>18675</v>
      </c>
      <c r="D50" s="5">
        <v>23665</v>
      </c>
      <c r="E50" s="5">
        <v>23669</v>
      </c>
      <c r="F50" s="5">
        <v>30689</v>
      </c>
      <c r="G50" s="21">
        <v>37944</v>
      </c>
      <c r="H50" s="21">
        <v>47078</v>
      </c>
      <c r="I50" s="21">
        <v>55846</v>
      </c>
      <c r="J50" s="21">
        <v>67565</v>
      </c>
      <c r="K50" s="21">
        <v>75462</v>
      </c>
      <c r="L50" s="21">
        <v>79301</v>
      </c>
      <c r="M50" s="21">
        <v>79968</v>
      </c>
      <c r="N50" s="21">
        <v>75548</v>
      </c>
      <c r="O50" s="21">
        <v>64211</v>
      </c>
      <c r="P50" s="21">
        <v>81992</v>
      </c>
      <c r="Q50" s="73">
        <f t="shared" si="8"/>
        <v>1.1608686485346826</v>
      </c>
      <c r="R50" s="97">
        <f t="shared" si="9"/>
        <v>3.3933998310235684E-2</v>
      </c>
      <c r="S50" s="97">
        <f t="shared" si="10"/>
        <v>0.27691517029792401</v>
      </c>
      <c r="T50" s="99">
        <f t="shared" si="11"/>
        <v>0.29673487409251792</v>
      </c>
    </row>
    <row r="51" spans="1:20" x14ac:dyDescent="0.2">
      <c r="A51" s="75" t="s">
        <v>1</v>
      </c>
      <c r="B51" s="75">
        <v>17186</v>
      </c>
      <c r="C51" s="75">
        <v>18675</v>
      </c>
      <c r="D51" s="75">
        <v>23637</v>
      </c>
      <c r="E51" s="75">
        <v>23669</v>
      </c>
      <c r="F51" s="75">
        <v>30689</v>
      </c>
      <c r="G51" s="4">
        <v>37944</v>
      </c>
      <c r="H51" s="4">
        <v>47073</v>
      </c>
      <c r="I51" s="4">
        <v>55825</v>
      </c>
      <c r="J51" s="4">
        <v>67309</v>
      </c>
      <c r="K51" s="4">
        <v>72821</v>
      </c>
      <c r="L51" s="4">
        <v>78139</v>
      </c>
      <c r="M51" s="4">
        <v>79092</v>
      </c>
      <c r="N51" s="4">
        <v>74140</v>
      </c>
      <c r="O51" s="4">
        <v>63146</v>
      </c>
      <c r="P51" s="4">
        <v>80875</v>
      </c>
      <c r="Q51" s="89">
        <f t="shared" si="8"/>
        <v>1.1314305292009277</v>
      </c>
      <c r="R51" s="96">
        <f t="shared" si="9"/>
        <v>3.501452539704885E-2</v>
      </c>
      <c r="S51" s="96">
        <f t="shared" si="10"/>
        <v>0.28076204351819595</v>
      </c>
      <c r="T51" s="98">
        <f t="shared" si="11"/>
        <v>0.29269237172202639</v>
      </c>
    </row>
    <row r="52" spans="1:20" x14ac:dyDescent="0.2">
      <c r="A52" s="75" t="s">
        <v>3</v>
      </c>
      <c r="B52" s="75">
        <v>0</v>
      </c>
      <c r="C52" s="75">
        <v>0</v>
      </c>
      <c r="D52" s="75">
        <v>28</v>
      </c>
      <c r="E52" s="75">
        <v>0</v>
      </c>
      <c r="F52" s="75">
        <v>0</v>
      </c>
      <c r="G52" s="4">
        <v>0</v>
      </c>
      <c r="H52" s="4">
        <v>5</v>
      </c>
      <c r="I52" s="4">
        <v>21</v>
      </c>
      <c r="J52" s="4">
        <v>256</v>
      </c>
      <c r="K52" s="4">
        <v>2641</v>
      </c>
      <c r="L52" s="4">
        <v>1162</v>
      </c>
      <c r="M52" s="4">
        <v>876</v>
      </c>
      <c r="N52" s="4">
        <v>1408</v>
      </c>
      <c r="O52" s="4">
        <v>1065</v>
      </c>
      <c r="P52" s="4">
        <v>1117</v>
      </c>
      <c r="Q52" s="89" t="s">
        <v>24</v>
      </c>
      <c r="R52" s="96">
        <f t="shared" si="9"/>
        <v>-3.8726333907056799E-2</v>
      </c>
      <c r="S52" s="96">
        <f t="shared" si="10"/>
        <v>4.8826291079812206E-2</v>
      </c>
      <c r="T52" s="98">
        <f t="shared" si="11"/>
        <v>4.0425023704915419E-3</v>
      </c>
    </row>
    <row r="53" spans="1:20" x14ac:dyDescent="0.2">
      <c r="A53" s="5" t="s">
        <v>239</v>
      </c>
      <c r="B53" s="5">
        <v>23857</v>
      </c>
      <c r="C53" s="5">
        <v>24349</v>
      </c>
      <c r="D53" s="5">
        <v>27333</v>
      </c>
      <c r="E53" s="5">
        <v>27401</v>
      </c>
      <c r="F53" s="5">
        <v>25957</v>
      </c>
      <c r="G53" s="21">
        <v>26574</v>
      </c>
      <c r="H53" s="21">
        <v>27591</v>
      </c>
      <c r="I53" s="21">
        <v>28231</v>
      </c>
      <c r="J53" s="21">
        <v>29199</v>
      </c>
      <c r="K53" s="21">
        <v>28429</v>
      </c>
      <c r="L53" s="21">
        <v>30235</v>
      </c>
      <c r="M53" s="21">
        <v>29724</v>
      </c>
      <c r="N53" s="21">
        <v>29804</v>
      </c>
      <c r="O53" s="21">
        <v>23827</v>
      </c>
      <c r="P53" s="21">
        <v>33925</v>
      </c>
      <c r="Q53" s="73">
        <f t="shared" si="8"/>
        <v>0.27662376759238355</v>
      </c>
      <c r="R53" s="97">
        <f t="shared" si="9"/>
        <v>0.12204398875475442</v>
      </c>
      <c r="S53" s="97">
        <f t="shared" si="10"/>
        <v>0.42380492718344737</v>
      </c>
      <c r="T53" s="99">
        <f t="shared" si="11"/>
        <v>0.12277698560333533</v>
      </c>
    </row>
    <row r="54" spans="1:20" x14ac:dyDescent="0.2">
      <c r="A54" s="75" t="s">
        <v>1</v>
      </c>
      <c r="B54" s="75">
        <v>20835</v>
      </c>
      <c r="C54" s="75">
        <v>20848</v>
      </c>
      <c r="D54" s="75">
        <v>23500</v>
      </c>
      <c r="E54" s="75">
        <v>23147</v>
      </c>
      <c r="F54" s="75">
        <v>21624</v>
      </c>
      <c r="G54" s="4">
        <v>21617</v>
      </c>
      <c r="H54" s="4">
        <v>21806</v>
      </c>
      <c r="I54" s="4">
        <v>22310</v>
      </c>
      <c r="J54" s="4">
        <v>23261</v>
      </c>
      <c r="K54" s="4">
        <v>22450</v>
      </c>
      <c r="L54" s="4">
        <v>24274</v>
      </c>
      <c r="M54" s="4">
        <v>23355</v>
      </c>
      <c r="N54" s="4">
        <v>23595</v>
      </c>
      <c r="O54" s="4">
        <v>19462</v>
      </c>
      <c r="P54" s="4">
        <v>26626</v>
      </c>
      <c r="Q54" s="89">
        <f t="shared" si="8"/>
        <v>0.23171577924781422</v>
      </c>
      <c r="R54" s="96">
        <f t="shared" si="9"/>
        <v>9.6893795830930218E-2</v>
      </c>
      <c r="S54" s="96">
        <f t="shared" si="10"/>
        <v>0.36810194224642895</v>
      </c>
      <c r="T54" s="98">
        <f t="shared" si="11"/>
        <v>9.6361385959451928E-2</v>
      </c>
    </row>
    <row r="55" spans="1:20" x14ac:dyDescent="0.2">
      <c r="A55" s="125" t="s">
        <v>2</v>
      </c>
      <c r="B55" s="75">
        <v>1648</v>
      </c>
      <c r="C55" s="75">
        <v>1920</v>
      </c>
      <c r="D55" s="75">
        <v>2327</v>
      </c>
      <c r="E55" s="75">
        <v>2421</v>
      </c>
      <c r="F55" s="75">
        <v>2696</v>
      </c>
      <c r="G55" s="4">
        <v>2990</v>
      </c>
      <c r="H55" s="4">
        <v>3331</v>
      </c>
      <c r="I55" s="4">
        <v>3547</v>
      </c>
      <c r="J55" s="4">
        <v>3710</v>
      </c>
      <c r="K55" s="4">
        <v>3532</v>
      </c>
      <c r="L55" s="4">
        <v>4053</v>
      </c>
      <c r="M55" s="4">
        <v>4198</v>
      </c>
      <c r="N55" s="4">
        <v>3991</v>
      </c>
      <c r="O55" s="4">
        <v>2882</v>
      </c>
      <c r="P55" s="4">
        <v>4367</v>
      </c>
      <c r="Q55" s="89">
        <f t="shared" si="8"/>
        <v>0.46053511705685618</v>
      </c>
      <c r="R55" s="96">
        <f t="shared" si="9"/>
        <v>7.7473476437207006E-2</v>
      </c>
      <c r="S55" s="96">
        <f t="shared" si="10"/>
        <v>0.51526717557251911</v>
      </c>
      <c r="T55" s="98">
        <f t="shared" si="11"/>
        <v>1.5804483305225214E-2</v>
      </c>
    </row>
    <row r="56" spans="1:20" x14ac:dyDescent="0.2">
      <c r="A56" s="75" t="s">
        <v>3</v>
      </c>
      <c r="B56" s="75">
        <v>1374</v>
      </c>
      <c r="C56" s="75">
        <v>1581</v>
      </c>
      <c r="D56" s="75">
        <v>1506</v>
      </c>
      <c r="E56" s="75">
        <v>1833</v>
      </c>
      <c r="F56" s="75">
        <v>1637</v>
      </c>
      <c r="G56" s="4">
        <v>1967</v>
      </c>
      <c r="H56" s="4">
        <v>2454</v>
      </c>
      <c r="I56" s="4">
        <v>2374</v>
      </c>
      <c r="J56" s="4">
        <v>2228</v>
      </c>
      <c r="K56" s="4">
        <v>2447</v>
      </c>
      <c r="L56" s="4">
        <v>1908</v>
      </c>
      <c r="M56" s="4">
        <v>2171</v>
      </c>
      <c r="N56" s="4">
        <v>2218</v>
      </c>
      <c r="O56" s="4">
        <v>1483</v>
      </c>
      <c r="P56" s="4">
        <v>2932</v>
      </c>
      <c r="Q56" s="89">
        <f t="shared" si="8"/>
        <v>0.49059481443823083</v>
      </c>
      <c r="R56" s="96">
        <f t="shared" si="9"/>
        <v>0.5366876310272537</v>
      </c>
      <c r="S56" s="96">
        <f t="shared" si="10"/>
        <v>0.97707349966284562</v>
      </c>
      <c r="T56" s="98">
        <f t="shared" si="11"/>
        <v>1.0611116338658194E-2</v>
      </c>
    </row>
    <row r="57" spans="1:20" x14ac:dyDescent="0.2">
      <c r="A57" s="5" t="s">
        <v>236</v>
      </c>
      <c r="B57" s="5">
        <v>14220</v>
      </c>
      <c r="C57" s="5">
        <v>15140</v>
      </c>
      <c r="D57" s="5">
        <v>17517</v>
      </c>
      <c r="E57" s="5">
        <v>17191</v>
      </c>
      <c r="F57" s="5">
        <v>17394</v>
      </c>
      <c r="G57" s="21">
        <v>18934</v>
      </c>
      <c r="H57" s="21">
        <v>20599</v>
      </c>
      <c r="I57" s="21">
        <v>21722</v>
      </c>
      <c r="J57" s="21">
        <v>22652</v>
      </c>
      <c r="K57" s="92">
        <v>22397</v>
      </c>
      <c r="L57" s="92">
        <v>30246</v>
      </c>
      <c r="M57" s="92">
        <v>29316</v>
      </c>
      <c r="N57" s="92">
        <v>33524</v>
      </c>
      <c r="O57" s="92">
        <v>31808</v>
      </c>
      <c r="P57" s="92">
        <v>39991</v>
      </c>
      <c r="Q57" s="73">
        <f t="shared" si="8"/>
        <v>1.1121263335798035</v>
      </c>
      <c r="R57" s="97">
        <f t="shared" si="9"/>
        <v>0.32219136414732524</v>
      </c>
      <c r="S57" s="97">
        <f t="shared" si="10"/>
        <v>0.257262323943662</v>
      </c>
      <c r="T57" s="99">
        <f t="shared" si="11"/>
        <v>0.14473027063413363</v>
      </c>
    </row>
    <row r="58" spans="1:20" x14ac:dyDescent="0.2">
      <c r="A58" s="75" t="s">
        <v>1</v>
      </c>
      <c r="B58" s="75">
        <v>11378</v>
      </c>
      <c r="C58" s="75">
        <v>11877</v>
      </c>
      <c r="D58" s="75">
        <v>13533</v>
      </c>
      <c r="E58" s="75">
        <v>13044</v>
      </c>
      <c r="F58" s="75">
        <v>12982</v>
      </c>
      <c r="G58" s="4">
        <v>14598</v>
      </c>
      <c r="H58" s="4">
        <v>15840</v>
      </c>
      <c r="I58" s="4">
        <v>16357</v>
      </c>
      <c r="J58" s="4">
        <v>16894</v>
      </c>
      <c r="K58" s="4">
        <v>16299</v>
      </c>
      <c r="L58" s="4">
        <v>18303</v>
      </c>
      <c r="M58" s="4">
        <v>17118</v>
      </c>
      <c r="N58" s="4">
        <v>19140</v>
      </c>
      <c r="O58" s="4">
        <v>17439</v>
      </c>
      <c r="P58" s="4">
        <v>25676</v>
      </c>
      <c r="Q58" s="89">
        <f t="shared" si="8"/>
        <v>0.75887107822989452</v>
      </c>
      <c r="R58" s="96">
        <f t="shared" si="9"/>
        <v>0.40283013713598864</v>
      </c>
      <c r="S58" s="96">
        <f t="shared" si="10"/>
        <v>0.47233212913584494</v>
      </c>
      <c r="T58" s="98">
        <f t="shared" si="11"/>
        <v>9.2923268455452859E-2</v>
      </c>
    </row>
    <row r="59" spans="1:20" x14ac:dyDescent="0.2">
      <c r="A59" s="125" t="s">
        <v>2</v>
      </c>
      <c r="B59" s="75">
        <v>1565</v>
      </c>
      <c r="C59" s="75">
        <v>1478</v>
      </c>
      <c r="D59" s="75">
        <v>1909</v>
      </c>
      <c r="E59" s="75">
        <v>1865</v>
      </c>
      <c r="F59" s="75">
        <v>2099</v>
      </c>
      <c r="G59" s="4">
        <v>2085</v>
      </c>
      <c r="H59" s="4">
        <v>2814</v>
      </c>
      <c r="I59" s="4">
        <v>3018</v>
      </c>
      <c r="J59" s="4">
        <v>2931</v>
      </c>
      <c r="K59" s="4">
        <v>3106</v>
      </c>
      <c r="L59" s="4">
        <v>3410</v>
      </c>
      <c r="M59" s="4">
        <v>3489</v>
      </c>
      <c r="N59" s="4">
        <v>3780</v>
      </c>
      <c r="O59" s="4">
        <v>3487</v>
      </c>
      <c r="P59" s="4">
        <v>4974</v>
      </c>
      <c r="Q59" s="89">
        <f t="shared" si="8"/>
        <v>1.3856115107913669</v>
      </c>
      <c r="R59" s="96">
        <f t="shared" si="9"/>
        <v>0.4586510263929619</v>
      </c>
      <c r="S59" s="96">
        <f t="shared" si="10"/>
        <v>0.42644106681961569</v>
      </c>
      <c r="T59" s="98">
        <f t="shared" si="11"/>
        <v>1.8001259436727781E-2</v>
      </c>
    </row>
    <row r="60" spans="1:20" x14ac:dyDescent="0.2">
      <c r="A60" s="75" t="s">
        <v>3</v>
      </c>
      <c r="B60" s="75">
        <v>1277</v>
      </c>
      <c r="C60" s="75">
        <v>1785</v>
      </c>
      <c r="D60" s="75">
        <v>2075</v>
      </c>
      <c r="E60" s="75">
        <v>2282</v>
      </c>
      <c r="F60" s="75">
        <v>2313</v>
      </c>
      <c r="G60" s="4">
        <v>2251</v>
      </c>
      <c r="H60" s="4">
        <v>1945</v>
      </c>
      <c r="I60" s="4">
        <v>2347</v>
      </c>
      <c r="J60" s="4">
        <v>2827</v>
      </c>
      <c r="K60" s="4">
        <v>2992</v>
      </c>
      <c r="L60" s="4">
        <v>8533</v>
      </c>
      <c r="M60" s="4">
        <v>8709</v>
      </c>
      <c r="N60" s="4">
        <v>10604</v>
      </c>
      <c r="O60" s="4">
        <v>10882</v>
      </c>
      <c r="P60" s="4">
        <v>9341</v>
      </c>
      <c r="Q60" s="89">
        <f t="shared" si="8"/>
        <v>3.1497112394491338</v>
      </c>
      <c r="R60" s="96">
        <f t="shared" si="9"/>
        <v>9.4691198874956056E-2</v>
      </c>
      <c r="S60" s="96">
        <f t="shared" si="10"/>
        <v>-0.14160999816210257</v>
      </c>
      <c r="T60" s="98">
        <f t="shared" si="11"/>
        <v>3.3805742741952999E-2</v>
      </c>
    </row>
    <row r="61" spans="1:20" x14ac:dyDescent="0.2">
      <c r="A61" s="5" t="s">
        <v>237</v>
      </c>
      <c r="B61" s="5">
        <v>27376</v>
      </c>
      <c r="C61" s="5">
        <v>32931</v>
      </c>
      <c r="D61" s="5">
        <v>37831</v>
      </c>
      <c r="E61" s="5">
        <v>36274</v>
      </c>
      <c r="F61" s="5">
        <v>40214</v>
      </c>
      <c r="G61" s="21">
        <v>46471</v>
      </c>
      <c r="H61" s="21">
        <v>57959</v>
      </c>
      <c r="I61" s="21">
        <v>63077</v>
      </c>
      <c r="J61" s="21">
        <v>65293</v>
      </c>
      <c r="K61" s="21">
        <v>68818</v>
      </c>
      <c r="L61" s="21">
        <v>69340</v>
      </c>
      <c r="M61" s="21">
        <v>75084</v>
      </c>
      <c r="N61" s="21">
        <v>72947</v>
      </c>
      <c r="O61" s="21">
        <v>58397</v>
      </c>
      <c r="P61" s="21">
        <v>84999</v>
      </c>
      <c r="Q61" s="73">
        <f t="shared" si="8"/>
        <v>0.82907619805900457</v>
      </c>
      <c r="R61" s="97">
        <f t="shared" si="9"/>
        <v>0.22582924718777039</v>
      </c>
      <c r="S61" s="97">
        <f t="shared" si="10"/>
        <v>0.45553709950853638</v>
      </c>
      <c r="T61" s="99">
        <f t="shared" si="11"/>
        <v>0.30761742076043919</v>
      </c>
    </row>
    <row r="62" spans="1:20" x14ac:dyDescent="0.2">
      <c r="A62" s="75" t="s">
        <v>1</v>
      </c>
      <c r="B62" s="75">
        <v>22743</v>
      </c>
      <c r="C62" s="75">
        <v>25802</v>
      </c>
      <c r="D62" s="75">
        <v>28297</v>
      </c>
      <c r="E62" s="75">
        <v>27745</v>
      </c>
      <c r="F62" s="75">
        <v>30231</v>
      </c>
      <c r="G62" s="4">
        <v>35493</v>
      </c>
      <c r="H62" s="4">
        <v>43334</v>
      </c>
      <c r="I62" s="4">
        <v>48487</v>
      </c>
      <c r="J62" s="4">
        <v>49746</v>
      </c>
      <c r="K62" s="4">
        <v>50617</v>
      </c>
      <c r="L62" s="4">
        <v>50996</v>
      </c>
      <c r="M62" s="4">
        <v>53269</v>
      </c>
      <c r="N62" s="4">
        <v>49544</v>
      </c>
      <c r="O62" s="4">
        <v>35623</v>
      </c>
      <c r="P62" s="4">
        <v>55258</v>
      </c>
      <c r="Q62" s="89">
        <f t="shared" si="8"/>
        <v>0.55687036880511653</v>
      </c>
      <c r="R62" s="96">
        <f t="shared" si="9"/>
        <v>8.3575182367244497E-2</v>
      </c>
      <c r="S62" s="96">
        <f t="shared" si="10"/>
        <v>0.5511888386716447</v>
      </c>
      <c r="T62" s="98">
        <f t="shared" si="11"/>
        <v>0.19998262845892717</v>
      </c>
    </row>
    <row r="63" spans="1:20" x14ac:dyDescent="0.2">
      <c r="A63" s="125" t="s">
        <v>2</v>
      </c>
      <c r="B63" s="75">
        <v>2268</v>
      </c>
      <c r="C63" s="75">
        <v>2841</v>
      </c>
      <c r="D63" s="75">
        <v>4370</v>
      </c>
      <c r="E63" s="75">
        <v>3802</v>
      </c>
      <c r="F63" s="75">
        <v>5216</v>
      </c>
      <c r="G63" s="4">
        <v>5514</v>
      </c>
      <c r="H63" s="4">
        <v>6464</v>
      </c>
      <c r="I63" s="4">
        <v>6437</v>
      </c>
      <c r="J63" s="4">
        <v>7343</v>
      </c>
      <c r="K63" s="4">
        <v>7339</v>
      </c>
      <c r="L63" s="4">
        <v>7347</v>
      </c>
      <c r="M63" s="4">
        <v>8641</v>
      </c>
      <c r="N63" s="4">
        <v>8413</v>
      </c>
      <c r="O63" s="4">
        <v>8871</v>
      </c>
      <c r="P63" s="4">
        <v>9869</v>
      </c>
      <c r="Q63" s="89">
        <f t="shared" si="8"/>
        <v>0.78980776206021042</v>
      </c>
      <c r="R63" s="96">
        <f t="shared" si="9"/>
        <v>0.34326936164420851</v>
      </c>
      <c r="S63" s="96">
        <f t="shared" si="10"/>
        <v>0.11250140908578514</v>
      </c>
      <c r="T63" s="98">
        <f t="shared" si="11"/>
        <v>3.5716612259965114E-2</v>
      </c>
    </row>
    <row r="64" spans="1:20" x14ac:dyDescent="0.2">
      <c r="A64" s="75" t="s">
        <v>3</v>
      </c>
      <c r="B64" s="75">
        <v>2365</v>
      </c>
      <c r="C64" s="75">
        <v>4288</v>
      </c>
      <c r="D64" s="75">
        <v>5164</v>
      </c>
      <c r="E64" s="75">
        <v>4727</v>
      </c>
      <c r="F64" s="75">
        <v>4767</v>
      </c>
      <c r="G64" s="4">
        <v>5464</v>
      </c>
      <c r="H64" s="4">
        <v>8161</v>
      </c>
      <c r="I64" s="4">
        <v>8153</v>
      </c>
      <c r="J64" s="4">
        <v>8204</v>
      </c>
      <c r="K64" s="4">
        <v>10862</v>
      </c>
      <c r="L64" s="4">
        <v>10997</v>
      </c>
      <c r="M64" s="4">
        <v>13174</v>
      </c>
      <c r="N64" s="4">
        <v>14990</v>
      </c>
      <c r="O64" s="4">
        <v>13903</v>
      </c>
      <c r="P64" s="4">
        <v>19872</v>
      </c>
      <c r="Q64" s="89">
        <f t="shared" si="8"/>
        <v>2.6368960468521232</v>
      </c>
      <c r="R64" s="96">
        <f t="shared" si="9"/>
        <v>0.80703828316813675</v>
      </c>
      <c r="S64" s="96">
        <f t="shared" si="10"/>
        <v>0.42933179889232542</v>
      </c>
      <c r="T64" s="98">
        <f t="shared" si="11"/>
        <v>7.1918180041546931E-2</v>
      </c>
    </row>
    <row r="65" spans="1:20" x14ac:dyDescent="0.2">
      <c r="A65" s="5" t="s">
        <v>4</v>
      </c>
      <c r="B65" s="5">
        <v>95297</v>
      </c>
      <c r="C65" s="5">
        <v>110299</v>
      </c>
      <c r="D65" s="5">
        <v>122903</v>
      </c>
      <c r="E65" s="5">
        <v>118590</v>
      </c>
      <c r="F65" s="5">
        <v>136580</v>
      </c>
      <c r="G65" s="5">
        <v>155424</v>
      </c>
      <c r="H65" s="5">
        <v>181420</v>
      </c>
      <c r="I65" s="5">
        <v>196551</v>
      </c>
      <c r="J65" s="5">
        <v>215265</v>
      </c>
      <c r="K65" s="5">
        <v>228892</v>
      </c>
      <c r="L65" s="5">
        <v>241787</v>
      </c>
      <c r="M65" s="5">
        <v>249225</v>
      </c>
      <c r="N65" s="5">
        <v>245270</v>
      </c>
      <c r="O65" s="5">
        <v>201723</v>
      </c>
      <c r="P65" s="5">
        <v>276314</v>
      </c>
      <c r="Q65" s="73">
        <f t="shared" si="8"/>
        <v>0.77780780317068154</v>
      </c>
      <c r="R65" s="97">
        <f t="shared" si="9"/>
        <v>0.14279924065396402</v>
      </c>
      <c r="S65" s="97">
        <f t="shared" si="10"/>
        <v>0.36976943630622189</v>
      </c>
      <c r="T65" s="99">
        <f t="shared" si="11"/>
        <v>1</v>
      </c>
    </row>
    <row r="66" spans="1:20" x14ac:dyDescent="0.2">
      <c r="A66" s="124" t="s">
        <v>297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</row>
    <row r="67" spans="1:20" x14ac:dyDescent="0.2">
      <c r="A67" s="106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</row>
    <row r="68" spans="1:20" ht="15.75" x14ac:dyDescent="0.2">
      <c r="A68" s="23" t="s">
        <v>208</v>
      </c>
      <c r="B68" s="23"/>
      <c r="C68" s="23"/>
      <c r="D68" s="23"/>
      <c r="E68" s="23"/>
      <c r="F68" s="23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</row>
    <row r="69" spans="1:20" ht="25.5" x14ac:dyDescent="0.2">
      <c r="A69" s="78" t="s">
        <v>225</v>
      </c>
      <c r="B69" s="3">
        <v>2007</v>
      </c>
      <c r="C69" s="3">
        <v>2008</v>
      </c>
      <c r="D69" s="3">
        <v>2009</v>
      </c>
      <c r="E69" s="3">
        <v>2010</v>
      </c>
      <c r="F69" s="3">
        <v>2011</v>
      </c>
      <c r="G69" s="3">
        <v>2012</v>
      </c>
      <c r="H69" s="3">
        <v>2013</v>
      </c>
      <c r="I69" s="3">
        <v>2014</v>
      </c>
      <c r="J69" s="3">
        <v>2015</v>
      </c>
      <c r="K69" s="3">
        <v>2016</v>
      </c>
      <c r="L69" s="3">
        <v>2017</v>
      </c>
      <c r="M69" s="3">
        <v>2018</v>
      </c>
      <c r="N69" s="3">
        <v>2019</v>
      </c>
      <c r="O69" s="3">
        <v>2020</v>
      </c>
      <c r="P69" s="3">
        <v>2021</v>
      </c>
      <c r="Q69" s="12" t="s">
        <v>370</v>
      </c>
      <c r="R69" s="12" t="s">
        <v>371</v>
      </c>
      <c r="S69" s="12" t="s">
        <v>372</v>
      </c>
      <c r="T69" s="12" t="s">
        <v>373</v>
      </c>
    </row>
    <row r="70" spans="1:20" x14ac:dyDescent="0.2">
      <c r="A70" s="30" t="s">
        <v>206</v>
      </c>
      <c r="B70" s="30">
        <v>51567</v>
      </c>
      <c r="C70" s="30">
        <v>61832</v>
      </c>
      <c r="D70" s="30">
        <v>67614</v>
      </c>
      <c r="E70" s="30">
        <v>64503</v>
      </c>
      <c r="F70" s="30">
        <v>76213</v>
      </c>
      <c r="G70" s="4">
        <v>87448</v>
      </c>
      <c r="H70" s="4">
        <v>102437</v>
      </c>
      <c r="I70" s="4">
        <v>109832</v>
      </c>
      <c r="J70" s="4">
        <v>119766</v>
      </c>
      <c r="K70" s="4">
        <v>129537</v>
      </c>
      <c r="L70" s="4">
        <v>137214</v>
      </c>
      <c r="M70" s="4">
        <v>141131</v>
      </c>
      <c r="N70" s="4">
        <v>139546</v>
      </c>
      <c r="O70" s="4">
        <v>114278</v>
      </c>
      <c r="P70" s="4">
        <v>160580</v>
      </c>
      <c r="Q70" s="89">
        <f>(P70-G70)/G70</f>
        <v>0.83629128167596745</v>
      </c>
      <c r="R70" s="96">
        <f>(P70-L70)/L70</f>
        <v>0.1702887460463218</v>
      </c>
      <c r="S70" s="96">
        <f>(P70-O70)/O70</f>
        <v>0.40516984896480512</v>
      </c>
      <c r="T70" s="98">
        <f>P70/P$9</f>
        <v>0.58115043030754865</v>
      </c>
    </row>
    <row r="71" spans="1:20" x14ac:dyDescent="0.2">
      <c r="A71" s="30" t="s">
        <v>207</v>
      </c>
      <c r="B71" s="30">
        <v>43730</v>
      </c>
      <c r="C71" s="30">
        <v>48467</v>
      </c>
      <c r="D71" s="30">
        <v>55289</v>
      </c>
      <c r="E71" s="30">
        <v>54087</v>
      </c>
      <c r="F71" s="30">
        <v>60367</v>
      </c>
      <c r="G71" s="4">
        <v>67976</v>
      </c>
      <c r="H71" s="4">
        <v>78983</v>
      </c>
      <c r="I71" s="4">
        <v>86719</v>
      </c>
      <c r="J71" s="4">
        <v>95499</v>
      </c>
      <c r="K71" s="4">
        <v>99355</v>
      </c>
      <c r="L71" s="4">
        <v>104573</v>
      </c>
      <c r="M71" s="4">
        <v>108094</v>
      </c>
      <c r="N71" s="4">
        <v>105724</v>
      </c>
      <c r="O71" s="4">
        <v>87445</v>
      </c>
      <c r="P71" s="4">
        <v>115734</v>
      </c>
      <c r="Q71" s="89">
        <f>(P71-G71)/G71</f>
        <v>0.7025714958220548</v>
      </c>
      <c r="R71" s="96">
        <f>(P71-L71)/L71</f>
        <v>0.10672927046178268</v>
      </c>
      <c r="S71" s="96">
        <f>(P71-O71)/O71</f>
        <v>0.32350620389959406</v>
      </c>
      <c r="T71" s="98">
        <f>P71/P$9</f>
        <v>0.41884956969245135</v>
      </c>
    </row>
    <row r="72" spans="1:20" x14ac:dyDescent="0.2">
      <c r="A72" s="5" t="s">
        <v>4</v>
      </c>
      <c r="B72" s="5">
        <v>95297</v>
      </c>
      <c r="C72" s="5">
        <v>110299</v>
      </c>
      <c r="D72" s="5">
        <v>122903</v>
      </c>
      <c r="E72" s="5">
        <v>118590</v>
      </c>
      <c r="F72" s="5">
        <v>136580</v>
      </c>
      <c r="G72" s="5">
        <v>155424</v>
      </c>
      <c r="H72" s="5">
        <v>181420</v>
      </c>
      <c r="I72" s="5">
        <v>196551</v>
      </c>
      <c r="J72" s="5">
        <v>215265</v>
      </c>
      <c r="K72" s="5">
        <v>228892</v>
      </c>
      <c r="L72" s="5">
        <v>241787</v>
      </c>
      <c r="M72" s="5">
        <v>249225</v>
      </c>
      <c r="N72" s="5">
        <v>245270</v>
      </c>
      <c r="O72" s="5">
        <v>201723</v>
      </c>
      <c r="P72" s="5">
        <v>276314</v>
      </c>
      <c r="Q72" s="73">
        <f>(P72-G72)/G72</f>
        <v>0.77780780317068154</v>
      </c>
      <c r="R72" s="97">
        <f>(P72-L72)/L72</f>
        <v>0.14279924065396402</v>
      </c>
      <c r="S72" s="97">
        <f>(P72-O72)/O72</f>
        <v>0.36976943630622189</v>
      </c>
      <c r="T72" s="99">
        <f>P72/P$9</f>
        <v>1</v>
      </c>
    </row>
    <row r="73" spans="1:20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</row>
    <row r="74" spans="1:20" ht="15.75" x14ac:dyDescent="0.2">
      <c r="A74" s="23" t="s">
        <v>25</v>
      </c>
      <c r="B74" s="23"/>
      <c r="C74" s="23"/>
      <c r="D74" s="23"/>
      <c r="E74" s="23"/>
      <c r="F74" s="23"/>
      <c r="G74" s="34"/>
    </row>
    <row r="75" spans="1:20" ht="25.5" x14ac:dyDescent="0.2">
      <c r="A75" s="78" t="s">
        <v>26</v>
      </c>
      <c r="B75" s="3">
        <v>2007</v>
      </c>
      <c r="C75" s="3">
        <v>2008</v>
      </c>
      <c r="D75" s="3">
        <v>2009</v>
      </c>
      <c r="E75" s="3">
        <v>2010</v>
      </c>
      <c r="F75" s="3">
        <v>2011</v>
      </c>
      <c r="G75" s="3">
        <v>2012</v>
      </c>
      <c r="H75" s="3">
        <v>2013</v>
      </c>
      <c r="I75" s="3">
        <v>2014</v>
      </c>
      <c r="J75" s="3">
        <v>2015</v>
      </c>
      <c r="K75" s="3">
        <v>2016</v>
      </c>
      <c r="L75" s="3">
        <v>2017</v>
      </c>
      <c r="M75" s="3">
        <v>2018</v>
      </c>
      <c r="N75" s="3">
        <v>2019</v>
      </c>
      <c r="O75" s="3">
        <v>2020</v>
      </c>
      <c r="P75" s="3">
        <v>2021</v>
      </c>
      <c r="Q75" s="12" t="s">
        <v>370</v>
      </c>
      <c r="R75" s="12" t="s">
        <v>371</v>
      </c>
      <c r="S75" s="12" t="s">
        <v>372</v>
      </c>
      <c r="T75" s="12" t="s">
        <v>373</v>
      </c>
    </row>
    <row r="76" spans="1:20" x14ac:dyDescent="0.2">
      <c r="A76" s="4" t="s">
        <v>27</v>
      </c>
      <c r="B76" s="4">
        <v>69</v>
      </c>
      <c r="C76" s="4">
        <v>821</v>
      </c>
      <c r="D76" s="4">
        <v>678</v>
      </c>
      <c r="E76" s="4">
        <v>81</v>
      </c>
      <c r="F76" s="4">
        <v>133</v>
      </c>
      <c r="G76" s="4">
        <v>169</v>
      </c>
      <c r="H76" s="4">
        <v>226</v>
      </c>
      <c r="I76" s="4">
        <v>318</v>
      </c>
      <c r="J76" s="4">
        <v>425</v>
      </c>
      <c r="K76" s="4">
        <v>500</v>
      </c>
      <c r="L76" s="4">
        <v>622</v>
      </c>
      <c r="M76" s="4">
        <v>537</v>
      </c>
      <c r="N76" s="4">
        <v>413</v>
      </c>
      <c r="O76" s="4">
        <v>318</v>
      </c>
      <c r="P76" s="4">
        <v>570</v>
      </c>
      <c r="Q76" s="89">
        <f t="shared" ref="Q76:Q83" si="12">(P76-G76)/G76</f>
        <v>2.3727810650887573</v>
      </c>
      <c r="R76" s="96">
        <f t="shared" ref="R76:R83" si="13">(P76-L76)/L76</f>
        <v>-8.3601286173633438E-2</v>
      </c>
      <c r="S76" s="96">
        <f t="shared" ref="S76:S83" si="14">(P76-O76)/O76</f>
        <v>0.79245283018867929</v>
      </c>
      <c r="T76" s="98">
        <f t="shared" ref="T76:T83" si="15">P76/P$9</f>
        <v>2.0628705023994442E-3</v>
      </c>
    </row>
    <row r="77" spans="1:20" x14ac:dyDescent="0.2">
      <c r="A77" s="4" t="s">
        <v>28</v>
      </c>
      <c r="B77" s="4">
        <v>36193</v>
      </c>
      <c r="C77" s="4">
        <v>41326</v>
      </c>
      <c r="D77" s="4">
        <v>44576</v>
      </c>
      <c r="E77" s="4">
        <v>43517</v>
      </c>
      <c r="F77" s="4">
        <v>54192</v>
      </c>
      <c r="G77" s="4">
        <v>62832</v>
      </c>
      <c r="H77" s="4">
        <v>71444</v>
      </c>
      <c r="I77" s="4">
        <v>76093</v>
      </c>
      <c r="J77" s="4">
        <v>82422</v>
      </c>
      <c r="K77" s="4">
        <v>85336</v>
      </c>
      <c r="L77" s="4">
        <v>89369</v>
      </c>
      <c r="M77" s="4">
        <v>88852</v>
      </c>
      <c r="N77" s="4">
        <v>86910</v>
      </c>
      <c r="O77" s="4">
        <v>65334</v>
      </c>
      <c r="P77" s="4">
        <v>92988</v>
      </c>
      <c r="Q77" s="89">
        <f t="shared" si="12"/>
        <v>0.4799465240641711</v>
      </c>
      <c r="R77" s="96">
        <f t="shared" si="13"/>
        <v>4.0495026239523772E-2</v>
      </c>
      <c r="S77" s="96">
        <f t="shared" si="14"/>
        <v>0.42327119111029482</v>
      </c>
      <c r="T77" s="98">
        <f t="shared" si="15"/>
        <v>0.33653017943354302</v>
      </c>
    </row>
    <row r="78" spans="1:20" x14ac:dyDescent="0.2">
      <c r="A78" s="4" t="s">
        <v>29</v>
      </c>
      <c r="B78" s="4">
        <v>34245</v>
      </c>
      <c r="C78" s="4">
        <v>37462</v>
      </c>
      <c r="D78" s="4">
        <v>41376</v>
      </c>
      <c r="E78" s="4">
        <v>40641</v>
      </c>
      <c r="F78" s="4">
        <v>44089</v>
      </c>
      <c r="G78" s="4">
        <v>49297</v>
      </c>
      <c r="H78" s="4">
        <v>57984</v>
      </c>
      <c r="I78" s="4">
        <v>63637</v>
      </c>
      <c r="J78" s="4">
        <v>69169</v>
      </c>
      <c r="K78" s="4">
        <v>72488</v>
      </c>
      <c r="L78" s="4">
        <v>76891</v>
      </c>
      <c r="M78" s="4">
        <v>78174</v>
      </c>
      <c r="N78" s="4">
        <v>74791</v>
      </c>
      <c r="O78" s="4">
        <v>59478</v>
      </c>
      <c r="P78" s="4">
        <v>84123</v>
      </c>
      <c r="Q78" s="89">
        <f t="shared" si="12"/>
        <v>0.70645272531797065</v>
      </c>
      <c r="R78" s="96">
        <f t="shared" si="13"/>
        <v>9.4055221027168331E-2</v>
      </c>
      <c r="S78" s="96">
        <f t="shared" si="14"/>
        <v>0.41435488752143651</v>
      </c>
      <c r="T78" s="98">
        <f t="shared" si="15"/>
        <v>0.3044471145146464</v>
      </c>
    </row>
    <row r="79" spans="1:20" x14ac:dyDescent="0.2">
      <c r="A79" s="4" t="s">
        <v>30</v>
      </c>
      <c r="B79" s="4">
        <v>11457</v>
      </c>
      <c r="C79" s="4">
        <v>13257</v>
      </c>
      <c r="D79" s="4">
        <v>15184</v>
      </c>
      <c r="E79" s="4">
        <v>14683</v>
      </c>
      <c r="F79" s="4">
        <v>16573</v>
      </c>
      <c r="G79" s="4">
        <v>19086</v>
      </c>
      <c r="H79" s="4">
        <v>23465</v>
      </c>
      <c r="I79" s="4">
        <v>26082</v>
      </c>
      <c r="J79" s="4">
        <v>28691</v>
      </c>
      <c r="K79" s="4">
        <v>31698</v>
      </c>
      <c r="L79" s="4">
        <v>33188</v>
      </c>
      <c r="M79" s="4">
        <v>36109</v>
      </c>
      <c r="N79" s="4">
        <v>35976</v>
      </c>
      <c r="O79" s="4">
        <v>32537</v>
      </c>
      <c r="P79" s="4">
        <v>41268</v>
      </c>
      <c r="Q79" s="89">
        <f t="shared" si="12"/>
        <v>1.1622131405218485</v>
      </c>
      <c r="R79" s="96">
        <f t="shared" si="13"/>
        <v>0.24346149210558032</v>
      </c>
      <c r="S79" s="96">
        <f t="shared" si="14"/>
        <v>0.26834065832744258</v>
      </c>
      <c r="T79" s="98">
        <f t="shared" si="15"/>
        <v>0.14935182437371974</v>
      </c>
    </row>
    <row r="80" spans="1:20" x14ac:dyDescent="0.2">
      <c r="A80" s="4" t="s">
        <v>31</v>
      </c>
      <c r="B80" s="4">
        <v>5594</v>
      </c>
      <c r="C80" s="4">
        <v>7062</v>
      </c>
      <c r="D80" s="4">
        <v>8679</v>
      </c>
      <c r="E80" s="4">
        <v>8399</v>
      </c>
      <c r="F80" s="4">
        <v>9214</v>
      </c>
      <c r="G80" s="4">
        <v>10469</v>
      </c>
      <c r="H80" s="4">
        <v>12453</v>
      </c>
      <c r="I80" s="4">
        <v>13606</v>
      </c>
      <c r="J80" s="4">
        <v>15199</v>
      </c>
      <c r="K80" s="4">
        <v>17205</v>
      </c>
      <c r="L80" s="4">
        <v>18793</v>
      </c>
      <c r="M80" s="4">
        <v>20849</v>
      </c>
      <c r="N80" s="4">
        <v>21206</v>
      </c>
      <c r="O80" s="4">
        <v>19630</v>
      </c>
      <c r="P80" s="4">
        <v>25031</v>
      </c>
      <c r="Q80" s="89">
        <f t="shared" si="12"/>
        <v>1.3909637978794536</v>
      </c>
      <c r="R80" s="96">
        <f t="shared" si="13"/>
        <v>0.3319321023785452</v>
      </c>
      <c r="S80" s="96">
        <f t="shared" si="14"/>
        <v>0.27514009169638309</v>
      </c>
      <c r="T80" s="98">
        <f t="shared" si="15"/>
        <v>9.0588967623790331E-2</v>
      </c>
    </row>
    <row r="81" spans="1:21" x14ac:dyDescent="0.2">
      <c r="A81" s="4" t="s">
        <v>32</v>
      </c>
      <c r="B81" s="4">
        <v>7407</v>
      </c>
      <c r="C81" s="4">
        <v>10143</v>
      </c>
      <c r="D81" s="4">
        <v>12351</v>
      </c>
      <c r="E81" s="4">
        <v>11189</v>
      </c>
      <c r="F81" s="4">
        <v>12294</v>
      </c>
      <c r="G81" s="4">
        <v>13456</v>
      </c>
      <c r="H81" s="4">
        <v>15727</v>
      </c>
      <c r="I81" s="4">
        <v>16426</v>
      </c>
      <c r="J81" s="4">
        <v>19220</v>
      </c>
      <c r="K81" s="4">
        <v>21660</v>
      </c>
      <c r="L81" s="4">
        <v>22914</v>
      </c>
      <c r="M81" s="4">
        <v>24696</v>
      </c>
      <c r="N81" s="4">
        <v>25965</v>
      </c>
      <c r="O81" s="4">
        <v>24425</v>
      </c>
      <c r="P81" s="4">
        <v>32317</v>
      </c>
      <c r="Q81" s="89">
        <f t="shared" si="12"/>
        <v>1.4016795481569559</v>
      </c>
      <c r="R81" s="96">
        <f t="shared" si="13"/>
        <v>0.41036047831020339</v>
      </c>
      <c r="S81" s="96">
        <f t="shared" si="14"/>
        <v>0.32311156601842372</v>
      </c>
      <c r="T81" s="98">
        <f t="shared" si="15"/>
        <v>0.11695751934393479</v>
      </c>
    </row>
    <row r="82" spans="1:21" x14ac:dyDescent="0.2">
      <c r="A82" s="4" t="s">
        <v>33</v>
      </c>
      <c r="B82" s="4">
        <v>332</v>
      </c>
      <c r="C82" s="4">
        <v>228</v>
      </c>
      <c r="D82" s="4">
        <v>59</v>
      </c>
      <c r="E82" s="4">
        <v>80</v>
      </c>
      <c r="F82" s="4">
        <v>85</v>
      </c>
      <c r="G82" s="4">
        <v>115</v>
      </c>
      <c r="H82" s="4">
        <v>121</v>
      </c>
      <c r="I82" s="4">
        <v>389</v>
      </c>
      <c r="J82" s="4">
        <v>139</v>
      </c>
      <c r="K82" s="4">
        <v>5</v>
      </c>
      <c r="L82" s="4">
        <v>10</v>
      </c>
      <c r="M82" s="4">
        <v>8</v>
      </c>
      <c r="N82" s="4">
        <v>9</v>
      </c>
      <c r="O82" s="4">
        <v>1</v>
      </c>
      <c r="P82" s="4">
        <v>17</v>
      </c>
      <c r="Q82" s="89">
        <f t="shared" si="12"/>
        <v>-0.85217391304347823</v>
      </c>
      <c r="R82" s="96">
        <f t="shared" si="13"/>
        <v>0.7</v>
      </c>
      <c r="S82" s="96">
        <f t="shared" si="14"/>
        <v>16</v>
      </c>
      <c r="T82" s="98">
        <f t="shared" si="15"/>
        <v>6.1524207966299213E-5</v>
      </c>
    </row>
    <row r="83" spans="1:21" x14ac:dyDescent="0.2">
      <c r="A83" s="5" t="s">
        <v>4</v>
      </c>
      <c r="B83" s="5">
        <v>95297</v>
      </c>
      <c r="C83" s="5">
        <v>110299</v>
      </c>
      <c r="D83" s="5">
        <v>122903</v>
      </c>
      <c r="E83" s="5">
        <v>118590</v>
      </c>
      <c r="F83" s="5">
        <v>136580</v>
      </c>
      <c r="G83" s="5">
        <v>155424</v>
      </c>
      <c r="H83" s="5">
        <v>181420</v>
      </c>
      <c r="I83" s="5">
        <v>196551</v>
      </c>
      <c r="J83" s="5">
        <v>215265</v>
      </c>
      <c r="K83" s="5">
        <v>228892</v>
      </c>
      <c r="L83" s="5">
        <v>241787</v>
      </c>
      <c r="M83" s="5">
        <v>249225</v>
      </c>
      <c r="N83" s="5">
        <v>245270</v>
      </c>
      <c r="O83" s="5">
        <v>201723</v>
      </c>
      <c r="P83" s="5">
        <v>276314</v>
      </c>
      <c r="Q83" s="73">
        <f t="shared" si="12"/>
        <v>0.77780780317068154</v>
      </c>
      <c r="R83" s="97">
        <f t="shared" si="13"/>
        <v>0.14279924065396402</v>
      </c>
      <c r="S83" s="97">
        <f t="shared" si="14"/>
        <v>0.36976943630622189</v>
      </c>
      <c r="T83" s="99">
        <f t="shared" si="15"/>
        <v>1</v>
      </c>
    </row>
    <row r="84" spans="1:21" s="28" customFormat="1" x14ac:dyDescent="0.2">
      <c r="A84" s="78" t="s">
        <v>35</v>
      </c>
      <c r="B84" s="83">
        <v>2</v>
      </c>
      <c r="C84" s="129">
        <v>28.16155935714221</v>
      </c>
      <c r="D84" s="129">
        <v>28.513530085022889</v>
      </c>
      <c r="E84" s="129">
        <v>28.39683616777641</v>
      </c>
      <c r="F84" s="129">
        <v>28.081351689612013</v>
      </c>
      <c r="G84" s="129">
        <v>28.024763535918716</v>
      </c>
      <c r="H84" s="129">
        <v>28.114639352671553</v>
      </c>
      <c r="I84" s="129">
        <v>28.068953212140986</v>
      </c>
      <c r="J84" s="129">
        <v>28.19700082742207</v>
      </c>
      <c r="K84" s="129">
        <v>28.41700052864514</v>
      </c>
      <c r="L84" s="129">
        <v>28.458918755712908</v>
      </c>
      <c r="M84" s="129">
        <v>28.717069862810323</v>
      </c>
      <c r="N84" s="129">
        <v>28.920753809207334</v>
      </c>
      <c r="O84" s="129">
        <v>29.518808062581176</v>
      </c>
      <c r="P84" s="129">
        <v>29.280038798267107</v>
      </c>
      <c r="Q84" s="118"/>
      <c r="R84" s="119"/>
      <c r="S84" s="119"/>
      <c r="T84" s="120"/>
    </row>
    <row r="85" spans="1:21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ht="15.75" x14ac:dyDescent="0.2">
      <c r="A86" s="23" t="s">
        <v>34</v>
      </c>
      <c r="B86" s="23"/>
      <c r="C86" s="23"/>
      <c r="D86" s="23"/>
      <c r="E86" s="23"/>
      <c r="F86" s="23"/>
      <c r="G86" s="34"/>
      <c r="H86" s="34"/>
      <c r="I86" s="34"/>
      <c r="J86" s="34"/>
      <c r="K86" s="34"/>
    </row>
    <row r="87" spans="1:21" ht="25.5" x14ac:dyDescent="0.2">
      <c r="A87" s="78" t="s">
        <v>9</v>
      </c>
      <c r="B87" s="3">
        <v>2007</v>
      </c>
      <c r="C87" s="3">
        <v>2008</v>
      </c>
      <c r="D87" s="3">
        <v>2009</v>
      </c>
      <c r="E87" s="3">
        <v>2010</v>
      </c>
      <c r="F87" s="3">
        <v>2011</v>
      </c>
      <c r="G87" s="3">
        <v>2012</v>
      </c>
      <c r="H87" s="3">
        <v>2013</v>
      </c>
      <c r="I87" s="3">
        <v>2014</v>
      </c>
      <c r="J87" s="3">
        <v>2015</v>
      </c>
      <c r="K87" s="3">
        <v>2016</v>
      </c>
      <c r="L87" s="3">
        <v>2017</v>
      </c>
      <c r="M87" s="3">
        <v>2018</v>
      </c>
      <c r="N87" s="3">
        <v>2019</v>
      </c>
      <c r="O87" s="3">
        <v>2020</v>
      </c>
      <c r="P87" s="3">
        <v>2021</v>
      </c>
      <c r="Q87" s="12" t="s">
        <v>370</v>
      </c>
      <c r="R87" s="12" t="s">
        <v>371</v>
      </c>
      <c r="S87" s="12" t="s">
        <v>372</v>
      </c>
      <c r="T87" s="12" t="s">
        <v>373</v>
      </c>
    </row>
    <row r="88" spans="1:21" x14ac:dyDescent="0.2">
      <c r="A88" s="4" t="s">
        <v>246</v>
      </c>
      <c r="B88" s="4">
        <v>1716</v>
      </c>
      <c r="C88" s="4">
        <v>1793</v>
      </c>
      <c r="D88" s="4">
        <v>1933</v>
      </c>
      <c r="E88" s="4">
        <v>1866</v>
      </c>
      <c r="F88" s="4">
        <v>2076</v>
      </c>
      <c r="G88" s="16">
        <v>2070</v>
      </c>
      <c r="H88" s="16">
        <v>2354</v>
      </c>
      <c r="I88" s="16">
        <v>2760</v>
      </c>
      <c r="J88" s="16">
        <v>2566</v>
      </c>
      <c r="K88" s="16">
        <v>2512</v>
      </c>
      <c r="L88" s="16">
        <v>2757</v>
      </c>
      <c r="M88" s="4">
        <v>3111</v>
      </c>
      <c r="N88" s="4">
        <v>3018</v>
      </c>
      <c r="O88" s="4">
        <v>2468</v>
      </c>
      <c r="P88" s="4">
        <v>3559</v>
      </c>
      <c r="Q88" s="89">
        <f t="shared" ref="Q88:Q104" si="16">(P88-G88)/G88</f>
        <v>0.71932367149758458</v>
      </c>
      <c r="R88" s="96">
        <f t="shared" ref="R88:R104" si="17">(P88-L88)/L88</f>
        <v>0.29089590134203847</v>
      </c>
      <c r="S88" s="96">
        <f t="shared" ref="S88:S104" si="18">(P88-O88)/O88</f>
        <v>0.4420583468395462</v>
      </c>
      <c r="T88" s="98">
        <f t="shared" ref="T88:T104" si="19">P88/P$9</f>
        <v>1.2880273891297582E-2</v>
      </c>
    </row>
    <row r="89" spans="1:21" x14ac:dyDescent="0.2">
      <c r="A89" s="4" t="s">
        <v>247</v>
      </c>
      <c r="B89" s="4">
        <v>1114</v>
      </c>
      <c r="C89" s="4">
        <v>1475</v>
      </c>
      <c r="D89" s="4">
        <v>1411</v>
      </c>
      <c r="E89" s="4">
        <v>1311</v>
      </c>
      <c r="F89" s="4">
        <v>1535</v>
      </c>
      <c r="G89" s="16">
        <v>1593</v>
      </c>
      <c r="H89" s="16">
        <v>1911</v>
      </c>
      <c r="I89" s="16">
        <v>2206</v>
      </c>
      <c r="J89" s="16">
        <v>2548</v>
      </c>
      <c r="K89" s="16">
        <v>2544</v>
      </c>
      <c r="L89" s="16">
        <v>2878</v>
      </c>
      <c r="M89" s="4">
        <v>3389</v>
      </c>
      <c r="N89" s="4">
        <v>2962</v>
      </c>
      <c r="O89" s="4">
        <v>2581</v>
      </c>
      <c r="P89" s="4">
        <v>4132</v>
      </c>
      <c r="Q89" s="89">
        <f t="shared" si="16"/>
        <v>1.5938480853735091</v>
      </c>
      <c r="R89" s="96">
        <f t="shared" si="17"/>
        <v>0.43571924947880475</v>
      </c>
      <c r="S89" s="96">
        <f t="shared" si="18"/>
        <v>0.60092987214258042</v>
      </c>
      <c r="T89" s="98">
        <f t="shared" si="19"/>
        <v>1.4954001606867549E-2</v>
      </c>
    </row>
    <row r="90" spans="1:21" x14ac:dyDescent="0.2">
      <c r="A90" s="4" t="s">
        <v>248</v>
      </c>
      <c r="B90" s="4">
        <v>3413</v>
      </c>
      <c r="C90" s="4">
        <v>3546</v>
      </c>
      <c r="D90" s="4">
        <v>4211</v>
      </c>
      <c r="E90" s="4">
        <v>4051</v>
      </c>
      <c r="F90" s="4">
        <v>4368</v>
      </c>
      <c r="G90" s="16">
        <v>5183</v>
      </c>
      <c r="H90" s="16">
        <v>6106</v>
      </c>
      <c r="I90" s="16">
        <v>6595</v>
      </c>
      <c r="J90" s="16">
        <v>8258</v>
      </c>
      <c r="K90" s="16">
        <v>7555</v>
      </c>
      <c r="L90" s="16">
        <v>7135</v>
      </c>
      <c r="M90" s="4">
        <v>7541</v>
      </c>
      <c r="N90" s="4">
        <v>7059</v>
      </c>
      <c r="O90" s="4">
        <v>5817</v>
      </c>
      <c r="P90" s="4">
        <v>7272</v>
      </c>
      <c r="Q90" s="89">
        <f t="shared" si="16"/>
        <v>0.40304842755161102</v>
      </c>
      <c r="R90" s="96">
        <f t="shared" si="17"/>
        <v>1.9201121233356693E-2</v>
      </c>
      <c r="S90" s="96">
        <f t="shared" si="18"/>
        <v>0.25012893243940176</v>
      </c>
      <c r="T90" s="98">
        <f t="shared" si="19"/>
        <v>2.6317884725348697E-2</v>
      </c>
    </row>
    <row r="91" spans="1:21" x14ac:dyDescent="0.2">
      <c r="A91" s="4" t="s">
        <v>249</v>
      </c>
      <c r="B91" s="4">
        <v>640</v>
      </c>
      <c r="C91" s="4">
        <v>736</v>
      </c>
      <c r="D91" s="4">
        <v>941</v>
      </c>
      <c r="E91" s="4">
        <v>1074</v>
      </c>
      <c r="F91" s="4">
        <v>831</v>
      </c>
      <c r="G91" s="16">
        <v>1061</v>
      </c>
      <c r="H91" s="16">
        <v>1173</v>
      </c>
      <c r="I91" s="16">
        <v>1357</v>
      </c>
      <c r="J91" s="16">
        <v>1586</v>
      </c>
      <c r="K91" s="16">
        <v>1924</v>
      </c>
      <c r="L91" s="16">
        <v>1982</v>
      </c>
      <c r="M91" s="4">
        <v>1875</v>
      </c>
      <c r="N91" s="4">
        <v>2110</v>
      </c>
      <c r="O91" s="4">
        <v>1877</v>
      </c>
      <c r="P91" s="4">
        <v>2597</v>
      </c>
      <c r="Q91" s="89">
        <f t="shared" si="16"/>
        <v>1.4476908576814327</v>
      </c>
      <c r="R91" s="96">
        <f t="shared" si="17"/>
        <v>0.31029263370332999</v>
      </c>
      <c r="S91" s="96">
        <f t="shared" si="18"/>
        <v>0.38359083644112946</v>
      </c>
      <c r="T91" s="98">
        <f t="shared" si="19"/>
        <v>9.3987275346164145E-3</v>
      </c>
    </row>
    <row r="92" spans="1:21" x14ac:dyDescent="0.2">
      <c r="A92" s="4" t="s">
        <v>250</v>
      </c>
      <c r="B92" s="4">
        <v>2932</v>
      </c>
      <c r="C92" s="4">
        <v>4102</v>
      </c>
      <c r="D92" s="4">
        <v>3732</v>
      </c>
      <c r="E92" s="4">
        <v>3374</v>
      </c>
      <c r="F92" s="4">
        <v>3634</v>
      </c>
      <c r="G92" s="16">
        <v>4448</v>
      </c>
      <c r="H92" s="16">
        <v>6012</v>
      </c>
      <c r="I92" s="16">
        <v>5966</v>
      </c>
      <c r="J92" s="16">
        <v>6370</v>
      </c>
      <c r="K92" s="16">
        <v>6991</v>
      </c>
      <c r="L92" s="16">
        <v>7503</v>
      </c>
      <c r="M92" s="4">
        <v>8258</v>
      </c>
      <c r="N92" s="4">
        <v>8456</v>
      </c>
      <c r="O92" s="4">
        <v>5820</v>
      </c>
      <c r="P92" s="4">
        <v>9761</v>
      </c>
      <c r="Q92" s="89">
        <f t="shared" si="16"/>
        <v>1.1944694244604317</v>
      </c>
      <c r="R92" s="96">
        <f t="shared" si="17"/>
        <v>0.30094628815140612</v>
      </c>
      <c r="S92" s="96">
        <f t="shared" si="18"/>
        <v>0.67714776632302409</v>
      </c>
      <c r="T92" s="98">
        <f t="shared" si="19"/>
        <v>3.5325752585826271E-2</v>
      </c>
    </row>
    <row r="93" spans="1:21" x14ac:dyDescent="0.2">
      <c r="A93" s="4" t="s">
        <v>251</v>
      </c>
      <c r="B93" s="4">
        <v>11066</v>
      </c>
      <c r="C93" s="4">
        <v>12305</v>
      </c>
      <c r="D93" s="4">
        <v>13907</v>
      </c>
      <c r="E93" s="4">
        <v>12554</v>
      </c>
      <c r="F93" s="4">
        <v>14057</v>
      </c>
      <c r="G93" s="16">
        <v>17565</v>
      </c>
      <c r="H93" s="16">
        <v>18986</v>
      </c>
      <c r="I93" s="16">
        <v>21071</v>
      </c>
      <c r="J93" s="16">
        <v>22730</v>
      </c>
      <c r="K93" s="16">
        <v>23603</v>
      </c>
      <c r="L93" s="16">
        <v>24892</v>
      </c>
      <c r="M93" s="4">
        <v>24069</v>
      </c>
      <c r="N93" s="4">
        <v>23130</v>
      </c>
      <c r="O93" s="4">
        <v>18961</v>
      </c>
      <c r="P93" s="4">
        <v>25115</v>
      </c>
      <c r="Q93" s="89">
        <f t="shared" si="16"/>
        <v>0.42983205237688588</v>
      </c>
      <c r="R93" s="96">
        <f t="shared" si="17"/>
        <v>8.9587015908725691E-3</v>
      </c>
      <c r="S93" s="96">
        <f t="shared" si="18"/>
        <v>0.32456094087864562</v>
      </c>
      <c r="T93" s="98">
        <f t="shared" si="19"/>
        <v>9.0892969592564987E-2</v>
      </c>
    </row>
    <row r="94" spans="1:21" x14ac:dyDescent="0.2">
      <c r="A94" s="30" t="s">
        <v>262</v>
      </c>
      <c r="B94" s="30">
        <v>47477</v>
      </c>
      <c r="C94" s="30">
        <v>53455</v>
      </c>
      <c r="D94" s="30">
        <v>59879</v>
      </c>
      <c r="E94" s="30">
        <v>61090</v>
      </c>
      <c r="F94" s="30">
        <v>70186</v>
      </c>
      <c r="G94" s="16">
        <v>77772</v>
      </c>
      <c r="H94" s="16">
        <v>91065</v>
      </c>
      <c r="I94" s="16">
        <v>96816</v>
      </c>
      <c r="J94" s="16">
        <v>104578</v>
      </c>
      <c r="K94" s="16">
        <v>112223</v>
      </c>
      <c r="L94" s="16">
        <v>121190</v>
      </c>
      <c r="M94" s="30">
        <v>125491</v>
      </c>
      <c r="N94" s="30">
        <v>127098</v>
      </c>
      <c r="O94" s="30">
        <v>109947</v>
      </c>
      <c r="P94" s="30">
        <v>146533</v>
      </c>
      <c r="Q94" s="89">
        <f t="shared" si="16"/>
        <v>0.88413567865041398</v>
      </c>
      <c r="R94" s="96">
        <f t="shared" si="17"/>
        <v>0.20911791401930852</v>
      </c>
      <c r="S94" s="96">
        <f>(P94-O94)/O94</f>
        <v>0.33276032997717081</v>
      </c>
      <c r="T94" s="98">
        <f t="shared" si="19"/>
        <v>0.53031333917210133</v>
      </c>
    </row>
    <row r="95" spans="1:21" x14ac:dyDescent="0.2">
      <c r="A95" s="30" t="s">
        <v>298</v>
      </c>
      <c r="B95" s="4">
        <v>1674</v>
      </c>
      <c r="C95" s="4">
        <v>2256</v>
      </c>
      <c r="D95" s="4">
        <v>2390</v>
      </c>
      <c r="E95" s="4">
        <v>2332</v>
      </c>
      <c r="F95" s="4">
        <v>3384</v>
      </c>
      <c r="G95" s="16">
        <v>3822</v>
      </c>
      <c r="H95" s="16">
        <v>4631</v>
      </c>
      <c r="I95" s="16">
        <v>5228</v>
      </c>
      <c r="J95" s="16">
        <v>6356</v>
      </c>
      <c r="K95" s="16">
        <v>7107</v>
      </c>
      <c r="L95" s="16">
        <v>6715</v>
      </c>
      <c r="M95" s="4">
        <v>6519</v>
      </c>
      <c r="N95" s="4">
        <v>6306</v>
      </c>
      <c r="O95" s="4">
        <v>4730</v>
      </c>
      <c r="P95" s="4">
        <v>5719</v>
      </c>
      <c r="Q95" s="89">
        <f t="shared" si="16"/>
        <v>0.49633699633699635</v>
      </c>
      <c r="R95" s="96">
        <f t="shared" si="17"/>
        <v>-0.1483246463142219</v>
      </c>
      <c r="S95" s="96">
        <f t="shared" si="18"/>
        <v>0.20909090909090908</v>
      </c>
      <c r="T95" s="98">
        <f t="shared" si="19"/>
        <v>2.0697467374074421E-2</v>
      </c>
    </row>
    <row r="96" spans="1:21" x14ac:dyDescent="0.2">
      <c r="A96" s="4" t="s">
        <v>252</v>
      </c>
      <c r="B96" s="4">
        <v>3159</v>
      </c>
      <c r="C96" s="4">
        <v>4430</v>
      </c>
      <c r="D96" s="4">
        <v>6241</v>
      </c>
      <c r="E96" s="4">
        <v>4354</v>
      </c>
      <c r="F96" s="4">
        <v>5147</v>
      </c>
      <c r="G96" s="16">
        <v>6664</v>
      </c>
      <c r="H96" s="16">
        <v>7547</v>
      </c>
      <c r="I96" s="16">
        <v>8306</v>
      </c>
      <c r="J96" s="16">
        <v>9210</v>
      </c>
      <c r="K96" s="16">
        <v>9936</v>
      </c>
      <c r="L96" s="16">
        <v>10087</v>
      </c>
      <c r="M96" s="4">
        <v>10470</v>
      </c>
      <c r="N96" s="4">
        <v>10044</v>
      </c>
      <c r="O96" s="4">
        <v>8189</v>
      </c>
      <c r="P96" s="4">
        <v>11170</v>
      </c>
      <c r="Q96" s="89">
        <f t="shared" si="16"/>
        <v>0.67617046818727489</v>
      </c>
      <c r="R96" s="96">
        <f t="shared" si="17"/>
        <v>0.10736591652622186</v>
      </c>
      <c r="S96" s="96">
        <f t="shared" si="18"/>
        <v>0.36402491146660154</v>
      </c>
      <c r="T96" s="98">
        <f t="shared" si="19"/>
        <v>4.0425023704915422E-2</v>
      </c>
    </row>
    <row r="97" spans="1:20" x14ac:dyDescent="0.2">
      <c r="A97" s="4" t="s">
        <v>266</v>
      </c>
      <c r="B97" s="4">
        <v>1879</v>
      </c>
      <c r="C97" s="4">
        <v>2046</v>
      </c>
      <c r="D97" s="4">
        <v>2519</v>
      </c>
      <c r="E97" s="4">
        <v>2195</v>
      </c>
      <c r="F97" s="4">
        <v>3085</v>
      </c>
      <c r="G97" s="16">
        <v>3369</v>
      </c>
      <c r="H97" s="16">
        <v>4214</v>
      </c>
      <c r="I97" s="16">
        <v>4400</v>
      </c>
      <c r="J97" s="16">
        <v>4849</v>
      </c>
      <c r="K97" s="16">
        <v>5102</v>
      </c>
      <c r="L97" s="16">
        <v>5249</v>
      </c>
      <c r="M97" s="4">
        <v>5724</v>
      </c>
      <c r="N97" s="4">
        <v>4850</v>
      </c>
      <c r="O97" s="4">
        <v>3276</v>
      </c>
      <c r="P97" s="4">
        <v>5254</v>
      </c>
      <c r="Q97" s="89">
        <f t="shared" si="16"/>
        <v>0.55951320866726029</v>
      </c>
      <c r="R97" s="96">
        <f t="shared" si="17"/>
        <v>9.5256239283673081E-4</v>
      </c>
      <c r="S97" s="96">
        <f t="shared" si="18"/>
        <v>0.60378510378510375</v>
      </c>
      <c r="T97" s="98">
        <f t="shared" si="19"/>
        <v>1.9014599332643298E-2</v>
      </c>
    </row>
    <row r="98" spans="1:20" x14ac:dyDescent="0.2">
      <c r="A98" s="4" t="s">
        <v>253</v>
      </c>
      <c r="B98" s="4">
        <v>10801</v>
      </c>
      <c r="C98" s="4">
        <v>12939</v>
      </c>
      <c r="D98" s="4">
        <v>12853</v>
      </c>
      <c r="E98" s="4">
        <v>12303</v>
      </c>
      <c r="F98" s="4">
        <v>14464</v>
      </c>
      <c r="G98" s="16">
        <v>16792</v>
      </c>
      <c r="H98" s="16">
        <v>20404</v>
      </c>
      <c r="I98" s="16">
        <v>22167</v>
      </c>
      <c r="J98" s="16">
        <v>24406</v>
      </c>
      <c r="K98" s="16">
        <v>25110</v>
      </c>
      <c r="L98" s="16">
        <v>26095</v>
      </c>
      <c r="M98" s="4">
        <v>26822</v>
      </c>
      <c r="N98" s="4">
        <v>25684</v>
      </c>
      <c r="O98" s="4">
        <v>19793</v>
      </c>
      <c r="P98" s="4">
        <v>27722</v>
      </c>
      <c r="Q98" s="89">
        <f t="shared" si="16"/>
        <v>0.65090519294902338</v>
      </c>
      <c r="R98" s="96">
        <f t="shared" si="17"/>
        <v>6.2349109024717381E-2</v>
      </c>
      <c r="S98" s="96">
        <f t="shared" si="18"/>
        <v>0.40059617036325973</v>
      </c>
      <c r="T98" s="98">
        <f t="shared" si="19"/>
        <v>0.1003278878377498</v>
      </c>
    </row>
    <row r="99" spans="1:20" x14ac:dyDescent="0.2">
      <c r="A99" s="4" t="s">
        <v>254</v>
      </c>
      <c r="B99" s="4">
        <v>4746</v>
      </c>
      <c r="C99" s="4">
        <v>5806</v>
      </c>
      <c r="D99" s="4">
        <v>5892</v>
      </c>
      <c r="E99" s="4">
        <v>5913</v>
      </c>
      <c r="F99" s="4">
        <v>6354</v>
      </c>
      <c r="G99" s="16">
        <v>6814</v>
      </c>
      <c r="H99" s="16">
        <v>7749</v>
      </c>
      <c r="I99" s="16">
        <v>9352</v>
      </c>
      <c r="J99" s="16">
        <v>10214</v>
      </c>
      <c r="K99" s="16">
        <v>11351</v>
      </c>
      <c r="L99" s="16">
        <v>10825</v>
      </c>
      <c r="M99" s="4">
        <v>11183</v>
      </c>
      <c r="N99" s="4">
        <v>11020</v>
      </c>
      <c r="O99" s="4">
        <v>7551</v>
      </c>
      <c r="P99" s="4">
        <v>12621</v>
      </c>
      <c r="Q99" s="89">
        <f t="shared" si="16"/>
        <v>0.85221602582917522</v>
      </c>
      <c r="R99" s="96">
        <f t="shared" si="17"/>
        <v>0.1659122401847575</v>
      </c>
      <c r="S99" s="96">
        <f t="shared" si="18"/>
        <v>0.67143424711958677</v>
      </c>
      <c r="T99" s="98">
        <f t="shared" si="19"/>
        <v>4.5676295808391901E-2</v>
      </c>
    </row>
    <row r="100" spans="1:20" x14ac:dyDescent="0.2">
      <c r="A100" s="4" t="s">
        <v>255</v>
      </c>
      <c r="B100" s="4">
        <v>1634</v>
      </c>
      <c r="C100" s="4">
        <v>1759</v>
      </c>
      <c r="D100" s="4">
        <v>2304</v>
      </c>
      <c r="E100" s="4">
        <v>1832</v>
      </c>
      <c r="F100" s="4">
        <v>2311</v>
      </c>
      <c r="G100" s="16">
        <v>2256</v>
      </c>
      <c r="H100" s="16">
        <v>2755</v>
      </c>
      <c r="I100" s="16">
        <v>3063</v>
      </c>
      <c r="J100" s="16">
        <v>3308</v>
      </c>
      <c r="K100" s="16">
        <v>3487</v>
      </c>
      <c r="L100" s="16">
        <v>3828</v>
      </c>
      <c r="M100" s="4">
        <v>3764</v>
      </c>
      <c r="N100" s="4">
        <v>4067</v>
      </c>
      <c r="O100" s="4">
        <v>2977</v>
      </c>
      <c r="P100" s="4">
        <v>4673</v>
      </c>
      <c r="Q100" s="89">
        <f t="shared" si="16"/>
        <v>1.0713652482269505</v>
      </c>
      <c r="R100" s="96">
        <f t="shared" si="17"/>
        <v>0.22074190177638453</v>
      </c>
      <c r="S100" s="96">
        <f t="shared" si="18"/>
        <v>0.5697010413167618</v>
      </c>
      <c r="T100" s="98">
        <f t="shared" si="19"/>
        <v>1.69119190486186E-2</v>
      </c>
    </row>
    <row r="101" spans="1:20" x14ac:dyDescent="0.2">
      <c r="A101" s="4" t="s">
        <v>256</v>
      </c>
      <c r="B101" s="4">
        <v>2156</v>
      </c>
      <c r="C101" s="4">
        <v>2744</v>
      </c>
      <c r="D101" s="4">
        <v>3462</v>
      </c>
      <c r="E101" s="4">
        <v>3324</v>
      </c>
      <c r="F101" s="4">
        <v>3840</v>
      </c>
      <c r="G101" s="16">
        <v>4840</v>
      </c>
      <c r="H101" s="16">
        <v>5087</v>
      </c>
      <c r="I101" s="16">
        <v>5618</v>
      </c>
      <c r="J101" s="16">
        <v>6475</v>
      </c>
      <c r="K101" s="16">
        <v>7800</v>
      </c>
      <c r="L101" s="16">
        <v>8592</v>
      </c>
      <c r="M101" s="4">
        <v>8856</v>
      </c>
      <c r="N101" s="4">
        <v>7796</v>
      </c>
      <c r="O101" s="4">
        <v>6406</v>
      </c>
      <c r="P101" s="4">
        <v>8463</v>
      </c>
      <c r="Q101" s="89">
        <f t="shared" si="16"/>
        <v>0.74855371900826451</v>
      </c>
      <c r="R101" s="96">
        <f t="shared" si="17"/>
        <v>-1.5013966480446927E-2</v>
      </c>
      <c r="S101" s="96">
        <f t="shared" si="18"/>
        <v>0.32110521386200436</v>
      </c>
      <c r="T101" s="98">
        <f t="shared" si="19"/>
        <v>3.0628198354046482E-2</v>
      </c>
    </row>
    <row r="102" spans="1:20" x14ac:dyDescent="0.2">
      <c r="A102" s="4" t="s">
        <v>257</v>
      </c>
      <c r="B102" s="4">
        <v>157</v>
      </c>
      <c r="C102" s="4">
        <v>133</v>
      </c>
      <c r="D102" s="4">
        <v>199</v>
      </c>
      <c r="E102" s="4">
        <v>265</v>
      </c>
      <c r="F102" s="4">
        <v>223</v>
      </c>
      <c r="G102" s="16">
        <v>173</v>
      </c>
      <c r="H102" s="16">
        <v>211</v>
      </c>
      <c r="I102" s="16">
        <v>408</v>
      </c>
      <c r="J102" s="16">
        <v>402</v>
      </c>
      <c r="K102" s="16">
        <v>446</v>
      </c>
      <c r="L102" s="16">
        <v>553</v>
      </c>
      <c r="M102" s="4">
        <v>580</v>
      </c>
      <c r="N102" s="4">
        <v>508</v>
      </c>
      <c r="O102" s="4">
        <v>473</v>
      </c>
      <c r="P102" s="4">
        <v>535</v>
      </c>
      <c r="Q102" s="89">
        <f t="shared" si="16"/>
        <v>2.0924855491329479</v>
      </c>
      <c r="R102" s="96">
        <f t="shared" si="17"/>
        <v>-3.25497287522604E-2</v>
      </c>
      <c r="S102" s="96">
        <f t="shared" si="18"/>
        <v>0.13107822410147993</v>
      </c>
      <c r="T102" s="98">
        <f t="shared" si="19"/>
        <v>1.9362030154100045E-3</v>
      </c>
    </row>
    <row r="103" spans="1:20" x14ac:dyDescent="0.2">
      <c r="A103" s="4" t="s">
        <v>258</v>
      </c>
      <c r="B103" s="4">
        <v>733</v>
      </c>
      <c r="C103" s="4">
        <v>774</v>
      </c>
      <c r="D103" s="4">
        <v>1029</v>
      </c>
      <c r="E103" s="4">
        <v>752</v>
      </c>
      <c r="F103" s="4">
        <v>1085</v>
      </c>
      <c r="G103" s="16">
        <v>1002</v>
      </c>
      <c r="H103" s="16">
        <v>1215</v>
      </c>
      <c r="I103" s="16">
        <v>1238</v>
      </c>
      <c r="J103" s="16">
        <v>1409</v>
      </c>
      <c r="K103" s="16">
        <v>1201</v>
      </c>
      <c r="L103" s="16">
        <v>1506</v>
      </c>
      <c r="M103" s="4">
        <v>1573</v>
      </c>
      <c r="N103" s="4">
        <v>1162</v>
      </c>
      <c r="O103" s="4">
        <v>857</v>
      </c>
      <c r="P103" s="4">
        <v>1188</v>
      </c>
      <c r="Q103" s="89">
        <f t="shared" si="16"/>
        <v>0.18562874251497005</v>
      </c>
      <c r="R103" s="96">
        <f t="shared" si="17"/>
        <v>-0.21115537848605578</v>
      </c>
      <c r="S103" s="96">
        <f t="shared" si="18"/>
        <v>0.38623103850641771</v>
      </c>
      <c r="T103" s="98">
        <f t="shared" si="19"/>
        <v>4.2994564155272629E-3</v>
      </c>
    </row>
    <row r="104" spans="1:20" x14ac:dyDescent="0.2">
      <c r="A104" s="5" t="s">
        <v>4</v>
      </c>
      <c r="B104" s="5">
        <f t="shared" ref="B104:O104" si="20">SUM(B88:B103)</f>
        <v>95297</v>
      </c>
      <c r="C104" s="5">
        <f t="shared" si="20"/>
        <v>110299</v>
      </c>
      <c r="D104" s="5">
        <f t="shared" si="20"/>
        <v>122903</v>
      </c>
      <c r="E104" s="5">
        <f t="shared" si="20"/>
        <v>118590</v>
      </c>
      <c r="F104" s="5">
        <f t="shared" si="20"/>
        <v>136580</v>
      </c>
      <c r="G104" s="5">
        <f t="shared" si="20"/>
        <v>155424</v>
      </c>
      <c r="H104" s="5">
        <f t="shared" si="20"/>
        <v>181420</v>
      </c>
      <c r="I104" s="5">
        <f t="shared" si="20"/>
        <v>196551</v>
      </c>
      <c r="J104" s="5">
        <f t="shared" si="20"/>
        <v>215265</v>
      </c>
      <c r="K104" s="5">
        <f t="shared" si="20"/>
        <v>228892</v>
      </c>
      <c r="L104" s="5">
        <f t="shared" si="20"/>
        <v>241787</v>
      </c>
      <c r="M104" s="5">
        <f t="shared" si="20"/>
        <v>249225</v>
      </c>
      <c r="N104" s="5">
        <f t="shared" si="20"/>
        <v>245270</v>
      </c>
      <c r="O104" s="5">
        <f t="shared" si="20"/>
        <v>201723</v>
      </c>
      <c r="P104" s="5">
        <f>SUM(P88:P103)</f>
        <v>276314</v>
      </c>
      <c r="Q104" s="73">
        <f t="shared" si="16"/>
        <v>0.77780780317068154</v>
      </c>
      <c r="R104" s="97">
        <f t="shared" si="17"/>
        <v>0.14279924065396402</v>
      </c>
      <c r="S104" s="97">
        <f t="shared" si="18"/>
        <v>0.36976943630622189</v>
      </c>
      <c r="T104" s="99">
        <f t="shared" si="19"/>
        <v>1</v>
      </c>
    </row>
    <row r="105" spans="1:20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</row>
    <row r="106" spans="1:20" ht="15.75" x14ac:dyDescent="0.2">
      <c r="A106" s="23" t="s">
        <v>300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</row>
    <row r="107" spans="1:20" ht="25.5" x14ac:dyDescent="0.2">
      <c r="A107" s="78" t="s">
        <v>41</v>
      </c>
      <c r="B107" s="3">
        <v>2007</v>
      </c>
      <c r="C107" s="3">
        <v>2008</v>
      </c>
      <c r="D107" s="3">
        <v>2009</v>
      </c>
      <c r="E107" s="3">
        <v>2010</v>
      </c>
      <c r="F107" s="3">
        <v>2011</v>
      </c>
      <c r="G107" s="3">
        <v>2012</v>
      </c>
      <c r="H107" s="3">
        <v>2013</v>
      </c>
      <c r="I107" s="3">
        <v>2014</v>
      </c>
      <c r="J107" s="3">
        <v>2015</v>
      </c>
      <c r="K107" s="3">
        <v>2016</v>
      </c>
      <c r="L107" s="3">
        <v>2017</v>
      </c>
      <c r="M107" s="3">
        <v>2018</v>
      </c>
      <c r="N107" s="3">
        <v>2019</v>
      </c>
      <c r="O107" s="3">
        <v>2020</v>
      </c>
      <c r="P107" s="3">
        <v>2021</v>
      </c>
      <c r="Q107" s="12" t="s">
        <v>370</v>
      </c>
      <c r="R107" s="12" t="s">
        <v>371</v>
      </c>
      <c r="S107" s="12" t="s">
        <v>372</v>
      </c>
      <c r="T107" s="12" t="s">
        <v>373</v>
      </c>
    </row>
    <row r="108" spans="1:20" x14ac:dyDescent="0.2">
      <c r="A108" s="4" t="s">
        <v>42</v>
      </c>
      <c r="B108" s="4">
        <v>69696</v>
      </c>
      <c r="C108" s="4">
        <v>81339</v>
      </c>
      <c r="D108" s="4">
        <v>84709</v>
      </c>
      <c r="E108" s="4">
        <v>81312</v>
      </c>
      <c r="F108" s="4">
        <v>90542</v>
      </c>
      <c r="G108" s="4">
        <v>102810</v>
      </c>
      <c r="H108" s="4">
        <v>114496</v>
      </c>
      <c r="I108" s="4">
        <v>121356</v>
      </c>
      <c r="J108" s="4">
        <v>129047</v>
      </c>
      <c r="K108" s="4">
        <v>135773</v>
      </c>
      <c r="L108" s="4">
        <v>144009</v>
      </c>
      <c r="M108" s="4">
        <v>142850</v>
      </c>
      <c r="N108" s="4">
        <v>142776</v>
      </c>
      <c r="O108" s="4">
        <v>106726</v>
      </c>
      <c r="P108" s="4">
        <v>160546</v>
      </c>
      <c r="Q108" s="89">
        <f t="shared" ref="Q108:Q113" si="21">(P108-G108)/G108</f>
        <v>0.56157961287812475</v>
      </c>
      <c r="R108" s="96">
        <f t="shared" ref="R108:R113" si="22">(P108-L108)/L108</f>
        <v>0.11483310070898346</v>
      </c>
      <c r="S108" s="96">
        <f t="shared" ref="S108:S113" si="23">(P108-O108)/O108</f>
        <v>0.50428199314131517</v>
      </c>
      <c r="T108" s="98">
        <f t="shared" ref="T108:T113" si="24">P108/P$9</f>
        <v>0.58102738189161607</v>
      </c>
    </row>
    <row r="109" spans="1:20" x14ac:dyDescent="0.2">
      <c r="A109" s="4" t="s">
        <v>43</v>
      </c>
      <c r="B109" s="4">
        <v>23336</v>
      </c>
      <c r="C109" s="4">
        <v>26044</v>
      </c>
      <c r="D109" s="4">
        <v>33293</v>
      </c>
      <c r="E109" s="4">
        <v>32911</v>
      </c>
      <c r="F109" s="4">
        <v>39761</v>
      </c>
      <c r="G109" s="4">
        <v>47171</v>
      </c>
      <c r="H109" s="4">
        <v>57804</v>
      </c>
      <c r="I109" s="4">
        <v>64909</v>
      </c>
      <c r="J109" s="4">
        <v>72450</v>
      </c>
      <c r="K109" s="4">
        <v>74086</v>
      </c>
      <c r="L109" s="4">
        <v>79014</v>
      </c>
      <c r="M109" s="4">
        <v>82360</v>
      </c>
      <c r="N109" s="4">
        <v>74137</v>
      </c>
      <c r="O109" s="4">
        <v>64306</v>
      </c>
      <c r="P109" s="4">
        <v>74490</v>
      </c>
      <c r="Q109" s="89">
        <f t="shared" si="21"/>
        <v>0.57914820546522228</v>
      </c>
      <c r="R109" s="96">
        <f t="shared" si="22"/>
        <v>-5.725567620927937E-2</v>
      </c>
      <c r="S109" s="96">
        <f t="shared" si="23"/>
        <v>0.1583678039374242</v>
      </c>
      <c r="T109" s="98">
        <f t="shared" si="24"/>
        <v>0.26958460302409576</v>
      </c>
    </row>
    <row r="110" spans="1:20" x14ac:dyDescent="0.2">
      <c r="A110" s="4" t="s">
        <v>227</v>
      </c>
      <c r="B110" s="4">
        <v>296</v>
      </c>
      <c r="C110" s="4">
        <v>340</v>
      </c>
      <c r="D110" s="4">
        <v>252</v>
      </c>
      <c r="E110" s="4">
        <v>416</v>
      </c>
      <c r="F110" s="4">
        <v>1466</v>
      </c>
      <c r="G110" s="4">
        <v>882</v>
      </c>
      <c r="H110" s="4">
        <v>1233</v>
      </c>
      <c r="I110" s="4">
        <v>1542</v>
      </c>
      <c r="J110" s="4">
        <v>2136</v>
      </c>
      <c r="K110" s="4">
        <v>3371</v>
      </c>
      <c r="L110" s="4">
        <v>3559</v>
      </c>
      <c r="M110" s="4">
        <v>7576</v>
      </c>
      <c r="N110" s="4">
        <v>7631</v>
      </c>
      <c r="O110" s="4">
        <v>5807</v>
      </c>
      <c r="P110" s="4">
        <v>7371</v>
      </c>
      <c r="Q110" s="89">
        <f t="shared" si="21"/>
        <v>7.3571428571428568</v>
      </c>
      <c r="R110" s="96">
        <f t="shared" si="22"/>
        <v>1.0710873840966564</v>
      </c>
      <c r="S110" s="96">
        <f t="shared" si="23"/>
        <v>0.26933011882211122</v>
      </c>
      <c r="T110" s="98">
        <f t="shared" si="24"/>
        <v>2.6676172759975969E-2</v>
      </c>
    </row>
    <row r="111" spans="1:20" x14ac:dyDescent="0.2">
      <c r="A111" s="4" t="s">
        <v>228</v>
      </c>
      <c r="B111" s="4">
        <v>887</v>
      </c>
      <c r="C111" s="4">
        <v>1037</v>
      </c>
      <c r="D111" s="4">
        <v>2210</v>
      </c>
      <c r="E111" s="4">
        <v>1317</v>
      </c>
      <c r="F111" s="4">
        <v>1301</v>
      </c>
      <c r="G111" s="4">
        <v>2337</v>
      </c>
      <c r="H111" s="4">
        <v>4722</v>
      </c>
      <c r="I111" s="4">
        <v>4612</v>
      </c>
      <c r="J111" s="4">
        <v>6355</v>
      </c>
      <c r="K111" s="4">
        <v>9694</v>
      </c>
      <c r="L111" s="4">
        <v>9193</v>
      </c>
      <c r="M111" s="4">
        <v>10294</v>
      </c>
      <c r="N111" s="4">
        <v>13057</v>
      </c>
      <c r="O111" s="4">
        <v>19347</v>
      </c>
      <c r="P111" s="4">
        <v>28085</v>
      </c>
      <c r="Q111" s="89">
        <f t="shared" si="21"/>
        <v>11.017543859649123</v>
      </c>
      <c r="R111" s="96">
        <f t="shared" si="22"/>
        <v>2.0550418796910694</v>
      </c>
      <c r="S111" s="96">
        <f t="shared" si="23"/>
        <v>0.45164625006460951</v>
      </c>
      <c r="T111" s="98">
        <f t="shared" si="24"/>
        <v>0.10164161063138313</v>
      </c>
    </row>
    <row r="112" spans="1:20" x14ac:dyDescent="0.2">
      <c r="A112" s="4" t="s">
        <v>44</v>
      </c>
      <c r="B112" s="4">
        <v>1082</v>
      </c>
      <c r="C112" s="4">
        <v>1539</v>
      </c>
      <c r="D112" s="4">
        <v>2439</v>
      </c>
      <c r="E112" s="4">
        <v>2634</v>
      </c>
      <c r="F112" s="4">
        <v>3510</v>
      </c>
      <c r="G112" s="4">
        <v>2224</v>
      </c>
      <c r="H112" s="4">
        <v>3165</v>
      </c>
      <c r="I112" s="4">
        <v>4132</v>
      </c>
      <c r="J112" s="4">
        <v>5277</v>
      </c>
      <c r="K112" s="4">
        <v>5968</v>
      </c>
      <c r="L112" s="4">
        <v>6012</v>
      </c>
      <c r="M112" s="4">
        <v>6145</v>
      </c>
      <c r="N112" s="4">
        <v>7669</v>
      </c>
      <c r="O112" s="4">
        <v>5537</v>
      </c>
      <c r="P112" s="4">
        <v>5822</v>
      </c>
      <c r="Q112" s="89">
        <f t="shared" si="21"/>
        <v>1.6178057553956835</v>
      </c>
      <c r="R112" s="96">
        <f t="shared" si="22"/>
        <v>-3.1603459747172324E-2</v>
      </c>
      <c r="S112" s="96">
        <f t="shared" si="23"/>
        <v>5.147191620010836E-2</v>
      </c>
      <c r="T112" s="98">
        <f t="shared" si="24"/>
        <v>2.107023169292906E-2</v>
      </c>
    </row>
    <row r="113" spans="1:20" x14ac:dyDescent="0.2">
      <c r="A113" s="5" t="s">
        <v>4</v>
      </c>
      <c r="B113" s="5">
        <v>95297</v>
      </c>
      <c r="C113" s="5">
        <v>110299</v>
      </c>
      <c r="D113" s="5">
        <v>122903</v>
      </c>
      <c r="E113" s="5">
        <v>118590</v>
      </c>
      <c r="F113" s="5">
        <v>136580</v>
      </c>
      <c r="G113" s="5">
        <v>155424</v>
      </c>
      <c r="H113" s="5">
        <v>181420</v>
      </c>
      <c r="I113" s="5">
        <v>196551</v>
      </c>
      <c r="J113" s="5">
        <v>215265</v>
      </c>
      <c r="K113" s="5">
        <v>228892</v>
      </c>
      <c r="L113" s="5">
        <v>241787</v>
      </c>
      <c r="M113" s="5">
        <v>249225</v>
      </c>
      <c r="N113" s="5">
        <v>245270</v>
      </c>
      <c r="O113" s="5">
        <v>201723</v>
      </c>
      <c r="P113" s="5">
        <v>276314</v>
      </c>
      <c r="Q113" s="73">
        <f t="shared" si="21"/>
        <v>0.77780780317068154</v>
      </c>
      <c r="R113" s="97">
        <f t="shared" si="22"/>
        <v>0.14279924065396402</v>
      </c>
      <c r="S113" s="97">
        <f t="shared" si="23"/>
        <v>0.36976943630622189</v>
      </c>
      <c r="T113" s="99">
        <f t="shared" si="24"/>
        <v>1</v>
      </c>
    </row>
    <row r="114" spans="1:20" x14ac:dyDescent="0.2">
      <c r="A114" s="34"/>
      <c r="B114" s="34"/>
      <c r="C114" s="34"/>
      <c r="D114" s="34"/>
      <c r="E114" s="34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34"/>
      <c r="R114" s="34"/>
      <c r="S114" s="34"/>
      <c r="T114" s="34"/>
    </row>
    <row r="115" spans="1:20" x14ac:dyDescent="0.2">
      <c r="A115" s="61" t="s">
        <v>238</v>
      </c>
      <c r="B115" s="61"/>
      <c r="C115" s="61"/>
      <c r="D115" s="61"/>
      <c r="E115" s="61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34"/>
      <c r="R115" s="34"/>
      <c r="S115" s="34"/>
      <c r="T115" s="34"/>
    </row>
    <row r="116" spans="1:20" x14ac:dyDescent="0.2">
      <c r="A116" s="34"/>
      <c r="B116" s="34"/>
      <c r="C116" s="34"/>
      <c r="D116" s="34"/>
      <c r="E116" s="3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34"/>
      <c r="S116" s="34"/>
      <c r="T116" s="34"/>
    </row>
    <row r="117" spans="1:20" x14ac:dyDescent="0.2">
      <c r="A117" s="62" t="s">
        <v>21</v>
      </c>
      <c r="B117" s="62"/>
      <c r="C117" s="62"/>
      <c r="D117" s="62"/>
      <c r="E117" s="62"/>
      <c r="F117" s="62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</row>
    <row r="118" spans="1:20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</row>
  </sheetData>
  <hyperlinks>
    <hyperlink ref="A117" location="Indice!A5" display="Volver al índice"/>
  </hyperlinks>
  <pageMargins left="0.7" right="0.7" top="0.75" bottom="0.75" header="0.3" footer="0.3"/>
  <pageSetup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37.140625" style="1" customWidth="1"/>
    <col min="2" max="5" width="17" style="38" customWidth="1"/>
    <col min="6" max="16384" width="10.85546875" style="1"/>
  </cols>
  <sheetData>
    <row r="1" spans="1:5" ht="21" x14ac:dyDescent="0.2">
      <c r="A1" s="58" t="s">
        <v>374</v>
      </c>
      <c r="B1" s="39"/>
      <c r="C1" s="39"/>
      <c r="D1" s="39"/>
      <c r="E1" s="39"/>
    </row>
    <row r="2" spans="1:5" ht="24.75" customHeight="1" x14ac:dyDescent="0.2">
      <c r="A2" s="34"/>
      <c r="B2" s="39"/>
      <c r="C2" s="39"/>
      <c r="D2" s="39"/>
      <c r="E2" s="39"/>
    </row>
    <row r="3" spans="1:5" x14ac:dyDescent="0.2">
      <c r="A3" s="34"/>
      <c r="B3" s="39"/>
      <c r="C3" s="39"/>
      <c r="D3" s="39"/>
      <c r="E3" s="39"/>
    </row>
    <row r="4" spans="1:5" ht="15.75" x14ac:dyDescent="0.2">
      <c r="A4" s="23" t="s">
        <v>375</v>
      </c>
      <c r="B4" s="39"/>
      <c r="C4" s="39"/>
      <c r="D4" s="39"/>
      <c r="E4" s="39"/>
    </row>
    <row r="5" spans="1:5" ht="25.5" x14ac:dyDescent="0.2">
      <c r="A5" s="79" t="s">
        <v>225</v>
      </c>
      <c r="B5" s="40" t="s">
        <v>5</v>
      </c>
      <c r="C5" s="40" t="s">
        <v>6</v>
      </c>
      <c r="D5" s="40" t="s">
        <v>7</v>
      </c>
      <c r="E5" s="40" t="s">
        <v>8</v>
      </c>
    </row>
    <row r="6" spans="1:5" x14ac:dyDescent="0.2">
      <c r="A6" s="4" t="s">
        <v>376</v>
      </c>
      <c r="B6" s="36">
        <v>21211</v>
      </c>
      <c r="C6" s="36">
        <v>45296</v>
      </c>
      <c r="D6" s="36">
        <v>63796</v>
      </c>
      <c r="E6" s="36">
        <f>SUM(B6:D6)</f>
        <v>130303</v>
      </c>
    </row>
    <row r="7" spans="1:5" x14ac:dyDescent="0.2">
      <c r="A7" s="4" t="s">
        <v>377</v>
      </c>
      <c r="B7" s="36">
        <v>14189</v>
      </c>
      <c r="C7" s="36">
        <v>35579</v>
      </c>
      <c r="D7" s="36">
        <v>43764</v>
      </c>
      <c r="E7" s="36">
        <f>SUM(B7:D7)</f>
        <v>93532</v>
      </c>
    </row>
    <row r="8" spans="1:5" x14ac:dyDescent="0.2">
      <c r="A8" s="5" t="s">
        <v>378</v>
      </c>
      <c r="B8" s="37">
        <f>SUM(B6:B7)</f>
        <v>35400</v>
      </c>
      <c r="C8" s="37">
        <f>SUM(C6:C7)</f>
        <v>80875</v>
      </c>
      <c r="D8" s="37">
        <f>SUM(D6:D7)</f>
        <v>107560</v>
      </c>
      <c r="E8" s="37">
        <f>SUM(E6:E7)</f>
        <v>223835</v>
      </c>
    </row>
    <row r="9" spans="1:5" x14ac:dyDescent="0.2">
      <c r="A9" s="34"/>
      <c r="B9" s="39"/>
      <c r="C9" s="39"/>
      <c r="D9" s="39"/>
      <c r="E9" s="39"/>
    </row>
    <row r="10" spans="1:5" ht="15.75" x14ac:dyDescent="0.2">
      <c r="A10" s="23" t="s">
        <v>379</v>
      </c>
      <c r="B10" s="39"/>
      <c r="C10" s="39"/>
      <c r="D10" s="39"/>
      <c r="E10" s="39"/>
    </row>
    <row r="11" spans="1:5" ht="25.5" x14ac:dyDescent="0.2">
      <c r="A11" s="79" t="s">
        <v>26</v>
      </c>
      <c r="B11" s="40" t="s">
        <v>5</v>
      </c>
      <c r="C11" s="40" t="s">
        <v>6</v>
      </c>
      <c r="D11" s="40" t="s">
        <v>7</v>
      </c>
      <c r="E11" s="40" t="s">
        <v>8</v>
      </c>
    </row>
    <row r="12" spans="1:5" x14ac:dyDescent="0.2">
      <c r="A12" s="4" t="s">
        <v>27</v>
      </c>
      <c r="B12" s="115">
        <v>179</v>
      </c>
      <c r="C12" s="115">
        <v>203</v>
      </c>
      <c r="D12" s="115">
        <v>188</v>
      </c>
      <c r="E12" s="115">
        <f>SUM(B12:D12)</f>
        <v>570</v>
      </c>
    </row>
    <row r="13" spans="1:5" x14ac:dyDescent="0.2">
      <c r="A13" s="4" t="s">
        <v>28</v>
      </c>
      <c r="B13" s="115">
        <v>17653</v>
      </c>
      <c r="C13" s="115">
        <v>32046</v>
      </c>
      <c r="D13" s="115">
        <v>41148</v>
      </c>
      <c r="E13" s="115">
        <f t="shared" ref="E13:E19" si="0">SUM(B13:D13)</f>
        <v>90847</v>
      </c>
    </row>
    <row r="14" spans="1:5" x14ac:dyDescent="0.2">
      <c r="A14" s="4" t="s">
        <v>29</v>
      </c>
      <c r="B14" s="115">
        <v>8172</v>
      </c>
      <c r="C14" s="115">
        <v>20489</v>
      </c>
      <c r="D14" s="115">
        <v>44231</v>
      </c>
      <c r="E14" s="115">
        <f t="shared" si="0"/>
        <v>72892</v>
      </c>
    </row>
    <row r="15" spans="1:5" x14ac:dyDescent="0.2">
      <c r="A15" s="4" t="s">
        <v>30</v>
      </c>
      <c r="B15" s="115">
        <v>4155</v>
      </c>
      <c r="C15" s="115">
        <v>11751</v>
      </c>
      <c r="D15" s="115">
        <v>11338</v>
      </c>
      <c r="E15" s="115">
        <f t="shared" si="0"/>
        <v>27244</v>
      </c>
    </row>
    <row r="16" spans="1:5" x14ac:dyDescent="0.2">
      <c r="A16" s="4" t="s">
        <v>31</v>
      </c>
      <c r="B16" s="115">
        <v>2299</v>
      </c>
      <c r="C16" s="115">
        <v>7228</v>
      </c>
      <c r="D16" s="115">
        <v>5158</v>
      </c>
      <c r="E16" s="115">
        <f t="shared" si="0"/>
        <v>14685</v>
      </c>
    </row>
    <row r="17" spans="1:5" x14ac:dyDescent="0.2">
      <c r="A17" s="4" t="s">
        <v>32</v>
      </c>
      <c r="B17" s="115">
        <v>2942</v>
      </c>
      <c r="C17" s="115">
        <v>9157</v>
      </c>
      <c r="D17" s="115">
        <v>5494</v>
      </c>
      <c r="E17" s="115">
        <f t="shared" si="0"/>
        <v>17593</v>
      </c>
    </row>
    <row r="18" spans="1:5" x14ac:dyDescent="0.2">
      <c r="A18" s="4" t="s">
        <v>33</v>
      </c>
      <c r="B18" s="115">
        <v>0</v>
      </c>
      <c r="C18" s="115">
        <v>1</v>
      </c>
      <c r="D18" s="115">
        <v>3</v>
      </c>
      <c r="E18" s="115">
        <f t="shared" si="0"/>
        <v>4</v>
      </c>
    </row>
    <row r="19" spans="1:5" x14ac:dyDescent="0.2">
      <c r="A19" s="5" t="s">
        <v>4</v>
      </c>
      <c r="B19" s="116">
        <f>SUM(B12:B18)</f>
        <v>35400</v>
      </c>
      <c r="C19" s="116">
        <f>SUM(C12:C18)</f>
        <v>80875</v>
      </c>
      <c r="D19" s="116">
        <f>SUM(D12:D18)</f>
        <v>107560</v>
      </c>
      <c r="E19" s="116">
        <f t="shared" si="0"/>
        <v>223835</v>
      </c>
    </row>
    <row r="20" spans="1:5" x14ac:dyDescent="0.2">
      <c r="A20" s="78" t="s">
        <v>35</v>
      </c>
      <c r="B20" s="84">
        <v>27.1403672316384</v>
      </c>
      <c r="C20" s="84">
        <v>28.7673541558474</v>
      </c>
      <c r="D20" s="84">
        <v>27.2119820380993</v>
      </c>
      <c r="E20" s="90">
        <v>27.762628722049723</v>
      </c>
    </row>
    <row r="21" spans="1:5" x14ac:dyDescent="0.2">
      <c r="A21" s="34"/>
      <c r="B21" s="34"/>
      <c r="C21" s="34"/>
      <c r="D21" s="34"/>
      <c r="E21" s="34"/>
    </row>
    <row r="22" spans="1:5" ht="15.75" x14ac:dyDescent="0.2">
      <c r="A22" s="23" t="s">
        <v>380</v>
      </c>
      <c r="B22" s="39"/>
      <c r="C22" s="39"/>
      <c r="D22" s="39"/>
      <c r="E22" s="39"/>
    </row>
    <row r="23" spans="1:5" ht="25.5" x14ac:dyDescent="0.2">
      <c r="A23" s="79" t="s">
        <v>36</v>
      </c>
      <c r="B23" s="40" t="s">
        <v>5</v>
      </c>
      <c r="C23" s="40" t="s">
        <v>6</v>
      </c>
      <c r="D23" s="40" t="s">
        <v>7</v>
      </c>
      <c r="E23" s="40" t="s">
        <v>8</v>
      </c>
    </row>
    <row r="24" spans="1:5" x14ac:dyDescent="0.2">
      <c r="A24" s="4" t="s">
        <v>37</v>
      </c>
      <c r="B24" s="36">
        <v>35400</v>
      </c>
      <c r="C24" s="36">
        <v>43167</v>
      </c>
      <c r="D24" s="36">
        <v>6510</v>
      </c>
      <c r="E24" s="36">
        <f>SUM(B24:D24)</f>
        <v>85077</v>
      </c>
    </row>
    <row r="25" spans="1:5" x14ac:dyDescent="0.2">
      <c r="A25" s="4" t="s">
        <v>38</v>
      </c>
      <c r="B25" s="36">
        <v>0</v>
      </c>
      <c r="C25" s="36">
        <v>37708</v>
      </c>
      <c r="D25" s="36">
        <v>6096</v>
      </c>
      <c r="E25" s="36">
        <f t="shared" ref="E25:E27" si="1">SUM(B25:D25)</f>
        <v>43804</v>
      </c>
    </row>
    <row r="26" spans="1:5" x14ac:dyDescent="0.2">
      <c r="A26" s="4" t="s">
        <v>39</v>
      </c>
      <c r="B26" s="36">
        <v>0</v>
      </c>
      <c r="C26" s="36">
        <v>0</v>
      </c>
      <c r="D26" s="36">
        <v>3290</v>
      </c>
      <c r="E26" s="36">
        <f t="shared" si="1"/>
        <v>3290</v>
      </c>
    </row>
    <row r="27" spans="1:5" x14ac:dyDescent="0.2">
      <c r="A27" s="4" t="s">
        <v>40</v>
      </c>
      <c r="B27" s="37">
        <v>0</v>
      </c>
      <c r="C27" s="37">
        <v>0</v>
      </c>
      <c r="D27" s="36">
        <v>91664</v>
      </c>
      <c r="E27" s="36">
        <f t="shared" si="1"/>
        <v>91664</v>
      </c>
    </row>
    <row r="28" spans="1:5" x14ac:dyDescent="0.2">
      <c r="A28" s="5" t="s">
        <v>4</v>
      </c>
      <c r="B28" s="57">
        <v>35400</v>
      </c>
      <c r="C28" s="57">
        <v>80875</v>
      </c>
      <c r="D28" s="57">
        <f>SUM(D24:D27)</f>
        <v>107560</v>
      </c>
      <c r="E28" s="57">
        <f>SUM(E24:E27)</f>
        <v>223835</v>
      </c>
    </row>
    <row r="29" spans="1:5" x14ac:dyDescent="0.2">
      <c r="A29" s="34"/>
      <c r="B29" s="39"/>
      <c r="C29" s="39"/>
      <c r="D29" s="39"/>
      <c r="E29" s="39"/>
    </row>
    <row r="30" spans="1:5" ht="15.75" x14ac:dyDescent="0.2">
      <c r="A30" s="23" t="s">
        <v>381</v>
      </c>
      <c r="B30" s="39"/>
      <c r="C30" s="39"/>
      <c r="D30" s="39"/>
      <c r="E30" s="39"/>
    </row>
    <row r="31" spans="1:5" ht="25.5" x14ac:dyDescent="0.2">
      <c r="A31" s="79" t="s">
        <v>10</v>
      </c>
      <c r="B31" s="40" t="s">
        <v>5</v>
      </c>
      <c r="C31" s="40" t="s">
        <v>6</v>
      </c>
      <c r="D31" s="40" t="s">
        <v>7</v>
      </c>
      <c r="E31" s="40" t="s">
        <v>8</v>
      </c>
    </row>
    <row r="32" spans="1:5" x14ac:dyDescent="0.2">
      <c r="A32" s="4" t="s">
        <v>11</v>
      </c>
      <c r="B32" s="36">
        <v>9187</v>
      </c>
      <c r="C32" s="36">
        <v>24010</v>
      </c>
      <c r="D32" s="36">
        <v>18522</v>
      </c>
      <c r="E32" s="36">
        <f>SUM(B32:D32)</f>
        <v>51719</v>
      </c>
    </row>
    <row r="33" spans="1:5" x14ac:dyDescent="0.2">
      <c r="A33" s="4" t="s">
        <v>12</v>
      </c>
      <c r="B33" s="36">
        <v>1483</v>
      </c>
      <c r="C33" s="36">
        <v>1113</v>
      </c>
      <c r="D33" s="36">
        <v>2201</v>
      </c>
      <c r="E33" s="36">
        <f t="shared" ref="E33:E42" si="2">SUM(B33:D33)</f>
        <v>4797</v>
      </c>
    </row>
    <row r="34" spans="1:5" x14ac:dyDescent="0.2">
      <c r="A34" s="4" t="s">
        <v>13</v>
      </c>
      <c r="B34" s="36">
        <v>378</v>
      </c>
      <c r="C34" s="36">
        <v>4253</v>
      </c>
      <c r="D34" s="36">
        <v>3663</v>
      </c>
      <c r="E34" s="36">
        <f t="shared" si="2"/>
        <v>8294</v>
      </c>
    </row>
    <row r="35" spans="1:5" x14ac:dyDescent="0.2">
      <c r="A35" s="4" t="s">
        <v>14</v>
      </c>
      <c r="B35" s="36">
        <v>187</v>
      </c>
      <c r="C35" s="36">
        <v>300</v>
      </c>
      <c r="D35" s="36">
        <v>1400</v>
      </c>
      <c r="E35" s="36">
        <f t="shared" si="2"/>
        <v>1887</v>
      </c>
    </row>
    <row r="36" spans="1:5" x14ac:dyDescent="0.2">
      <c r="A36" s="4" t="s">
        <v>15</v>
      </c>
      <c r="B36" s="36">
        <v>1525</v>
      </c>
      <c r="C36" s="36">
        <v>7747</v>
      </c>
      <c r="D36" s="36">
        <v>13860</v>
      </c>
      <c r="E36" s="36">
        <f t="shared" si="2"/>
        <v>23132</v>
      </c>
    </row>
    <row r="37" spans="1:5" x14ac:dyDescent="0.2">
      <c r="A37" s="4" t="s">
        <v>16</v>
      </c>
      <c r="B37" s="36">
        <v>293</v>
      </c>
      <c r="C37" s="36">
        <v>406</v>
      </c>
      <c r="D37" s="36">
        <v>3544</v>
      </c>
      <c r="E37" s="36">
        <f t="shared" si="2"/>
        <v>4243</v>
      </c>
    </row>
    <row r="38" spans="1:5" x14ac:dyDescent="0.2">
      <c r="A38" s="4" t="s">
        <v>17</v>
      </c>
      <c r="B38" s="36">
        <v>5789</v>
      </c>
      <c r="C38" s="36">
        <v>9227</v>
      </c>
      <c r="D38" s="36">
        <v>16543</v>
      </c>
      <c r="E38" s="36">
        <f t="shared" si="2"/>
        <v>31559</v>
      </c>
    </row>
    <row r="39" spans="1:5" x14ac:dyDescent="0.2">
      <c r="A39" s="4" t="s">
        <v>18</v>
      </c>
      <c r="B39" s="36">
        <v>49</v>
      </c>
      <c r="C39" s="36">
        <v>169</v>
      </c>
      <c r="D39" s="36">
        <v>1203</v>
      </c>
      <c r="E39" s="36">
        <f t="shared" si="2"/>
        <v>1421</v>
      </c>
    </row>
    <row r="40" spans="1:5" x14ac:dyDescent="0.2">
      <c r="A40" s="4" t="s">
        <v>19</v>
      </c>
      <c r="B40" s="36">
        <v>7366</v>
      </c>
      <c r="C40" s="36">
        <v>9663</v>
      </c>
      <c r="D40" s="36">
        <v>26759</v>
      </c>
      <c r="E40" s="36">
        <f t="shared" si="2"/>
        <v>43788</v>
      </c>
    </row>
    <row r="41" spans="1:5" x14ac:dyDescent="0.2">
      <c r="A41" s="4" t="s">
        <v>20</v>
      </c>
      <c r="B41" s="36">
        <v>9143</v>
      </c>
      <c r="C41" s="36">
        <v>23987</v>
      </c>
      <c r="D41" s="36">
        <v>19865</v>
      </c>
      <c r="E41" s="36">
        <f t="shared" si="2"/>
        <v>52995</v>
      </c>
    </row>
    <row r="42" spans="1:5" x14ac:dyDescent="0.2">
      <c r="A42" s="5" t="s">
        <v>4</v>
      </c>
      <c r="B42" s="37">
        <v>35400</v>
      </c>
      <c r="C42" s="37">
        <v>80875</v>
      </c>
      <c r="D42" s="37">
        <f>SUM(D32:D41)</f>
        <v>107560</v>
      </c>
      <c r="E42" s="37">
        <f t="shared" si="2"/>
        <v>223835</v>
      </c>
    </row>
    <row r="43" spans="1:5" x14ac:dyDescent="0.2">
      <c r="A43" s="34"/>
      <c r="B43" s="39"/>
      <c r="C43" s="39"/>
      <c r="D43" s="39"/>
      <c r="E43" s="39"/>
    </row>
    <row r="44" spans="1:5" ht="15.75" x14ac:dyDescent="0.2">
      <c r="A44" s="23" t="s">
        <v>382</v>
      </c>
      <c r="B44" s="39"/>
      <c r="C44" s="39"/>
      <c r="D44" s="39"/>
      <c r="E44" s="39"/>
    </row>
    <row r="45" spans="1:5" x14ac:dyDescent="0.2">
      <c r="A45" s="79" t="s">
        <v>10</v>
      </c>
      <c r="B45" s="40" t="s">
        <v>206</v>
      </c>
      <c r="C45" s="40" t="s">
        <v>207</v>
      </c>
      <c r="D45" s="40" t="s">
        <v>8</v>
      </c>
      <c r="E45" s="39"/>
    </row>
    <row r="46" spans="1:5" x14ac:dyDescent="0.2">
      <c r="A46" s="4" t="s">
        <v>11</v>
      </c>
      <c r="B46" s="36">
        <v>30950</v>
      </c>
      <c r="C46" s="36">
        <v>20769</v>
      </c>
      <c r="D46" s="36">
        <f>SUM(B46:C46)</f>
        <v>51719</v>
      </c>
      <c r="E46" s="39"/>
    </row>
    <row r="47" spans="1:5" x14ac:dyDescent="0.2">
      <c r="A47" s="4" t="s">
        <v>12</v>
      </c>
      <c r="B47" s="36">
        <v>2626</v>
      </c>
      <c r="C47" s="36">
        <v>2171</v>
      </c>
      <c r="D47" s="36">
        <f t="shared" ref="D47:D55" si="3">SUM(B47:C47)</f>
        <v>4797</v>
      </c>
      <c r="E47" s="39"/>
    </row>
    <row r="48" spans="1:5" x14ac:dyDescent="0.2">
      <c r="A48" s="4" t="s">
        <v>13</v>
      </c>
      <c r="B48" s="36">
        <v>4973</v>
      </c>
      <c r="C48" s="36">
        <v>3321</v>
      </c>
      <c r="D48" s="36">
        <f t="shared" si="3"/>
        <v>8294</v>
      </c>
      <c r="E48" s="39"/>
    </row>
    <row r="49" spans="1:5" x14ac:dyDescent="0.2">
      <c r="A49" s="4" t="s">
        <v>14</v>
      </c>
      <c r="B49" s="36">
        <v>774</v>
      </c>
      <c r="C49" s="36">
        <v>1113</v>
      </c>
      <c r="D49" s="36">
        <f t="shared" si="3"/>
        <v>1887</v>
      </c>
      <c r="E49" s="39"/>
    </row>
    <row r="50" spans="1:5" x14ac:dyDescent="0.2">
      <c r="A50" s="4" t="s">
        <v>15</v>
      </c>
      <c r="B50" s="36">
        <v>16970</v>
      </c>
      <c r="C50" s="36">
        <v>6162</v>
      </c>
      <c r="D50" s="36">
        <f t="shared" si="3"/>
        <v>23132</v>
      </c>
      <c r="E50" s="39"/>
    </row>
    <row r="51" spans="1:5" x14ac:dyDescent="0.2">
      <c r="A51" s="4" t="s">
        <v>16</v>
      </c>
      <c r="B51" s="36">
        <v>2324</v>
      </c>
      <c r="C51" s="36">
        <v>1919</v>
      </c>
      <c r="D51" s="36">
        <f t="shared" si="3"/>
        <v>4243</v>
      </c>
      <c r="E51" s="39"/>
    </row>
    <row r="52" spans="1:5" x14ac:dyDescent="0.2">
      <c r="A52" s="4" t="s">
        <v>17</v>
      </c>
      <c r="B52" s="36">
        <v>26045</v>
      </c>
      <c r="C52" s="36">
        <v>5514</v>
      </c>
      <c r="D52" s="36">
        <f t="shared" si="3"/>
        <v>31559</v>
      </c>
      <c r="E52" s="39"/>
    </row>
    <row r="53" spans="1:5" x14ac:dyDescent="0.2">
      <c r="A53" s="4" t="s">
        <v>18</v>
      </c>
      <c r="B53" s="36">
        <v>916</v>
      </c>
      <c r="C53" s="36">
        <v>505</v>
      </c>
      <c r="D53" s="36">
        <f t="shared" si="3"/>
        <v>1421</v>
      </c>
      <c r="E53" s="39"/>
    </row>
    <row r="54" spans="1:5" x14ac:dyDescent="0.2">
      <c r="A54" s="4" t="s">
        <v>19</v>
      </c>
      <c r="B54" s="36">
        <v>34644</v>
      </c>
      <c r="C54" s="36">
        <v>9144</v>
      </c>
      <c r="D54" s="36">
        <f t="shared" si="3"/>
        <v>43788</v>
      </c>
      <c r="E54" s="39"/>
    </row>
    <row r="55" spans="1:5" x14ac:dyDescent="0.2">
      <c r="A55" s="4" t="s">
        <v>20</v>
      </c>
      <c r="B55" s="36">
        <v>10081</v>
      </c>
      <c r="C55" s="36">
        <v>42914</v>
      </c>
      <c r="D55" s="36">
        <f t="shared" si="3"/>
        <v>52995</v>
      </c>
      <c r="E55" s="39"/>
    </row>
    <row r="56" spans="1:5" x14ac:dyDescent="0.2">
      <c r="A56" s="5" t="s">
        <v>4</v>
      </c>
      <c r="B56" s="37">
        <f>SUM(B46:B55)</f>
        <v>130303</v>
      </c>
      <c r="C56" s="37">
        <f t="shared" ref="C56:D56" si="4">SUM(C46:C55)</f>
        <v>93532</v>
      </c>
      <c r="D56" s="37">
        <f t="shared" si="4"/>
        <v>223835</v>
      </c>
      <c r="E56" s="39"/>
    </row>
    <row r="57" spans="1:5" x14ac:dyDescent="0.2">
      <c r="A57" s="34"/>
      <c r="B57" s="39"/>
      <c r="C57" s="39"/>
      <c r="D57" s="39"/>
      <c r="E57" s="39"/>
    </row>
    <row r="58" spans="1:5" ht="15.75" x14ac:dyDescent="0.2">
      <c r="A58" s="23" t="s">
        <v>383</v>
      </c>
      <c r="B58" s="39"/>
      <c r="C58" s="39"/>
      <c r="D58" s="39"/>
      <c r="E58" s="39"/>
    </row>
    <row r="59" spans="1:5" ht="25.5" x14ac:dyDescent="0.2">
      <c r="A59" s="79" t="s">
        <v>41</v>
      </c>
      <c r="B59" s="40" t="s">
        <v>5</v>
      </c>
      <c r="C59" s="40" t="s">
        <v>6</v>
      </c>
      <c r="D59" s="40" t="s">
        <v>7</v>
      </c>
      <c r="E59" s="40" t="s">
        <v>8</v>
      </c>
    </row>
    <row r="60" spans="1:5" x14ac:dyDescent="0.2">
      <c r="A60" s="4" t="s">
        <v>42</v>
      </c>
      <c r="B60" s="36">
        <v>21898</v>
      </c>
      <c r="C60" s="36">
        <v>38118</v>
      </c>
      <c r="D60" s="36">
        <v>84400</v>
      </c>
      <c r="E60" s="36">
        <f>SUM(B60:D60)</f>
        <v>144416</v>
      </c>
    </row>
    <row r="61" spans="1:5" x14ac:dyDescent="0.2">
      <c r="A61" s="4" t="s">
        <v>43</v>
      </c>
      <c r="B61" s="36">
        <v>12443</v>
      </c>
      <c r="C61" s="36">
        <v>31475</v>
      </c>
      <c r="D61" s="36">
        <v>18936</v>
      </c>
      <c r="E61" s="36">
        <f t="shared" ref="E61:E64" si="5">SUM(B61:D61)</f>
        <v>62854</v>
      </c>
    </row>
    <row r="62" spans="1:5" x14ac:dyDescent="0.2">
      <c r="A62" s="30" t="s">
        <v>227</v>
      </c>
      <c r="B62" s="36">
        <v>217</v>
      </c>
      <c r="C62" s="36">
        <v>1849</v>
      </c>
      <c r="D62" s="36">
        <v>384</v>
      </c>
      <c r="E62" s="36">
        <f t="shared" si="5"/>
        <v>2450</v>
      </c>
    </row>
    <row r="63" spans="1:5" x14ac:dyDescent="0.2">
      <c r="A63" s="30" t="s">
        <v>228</v>
      </c>
      <c r="B63" s="36">
        <v>841</v>
      </c>
      <c r="C63" s="36">
        <v>9367</v>
      </c>
      <c r="D63" s="36">
        <v>1605</v>
      </c>
      <c r="E63" s="36">
        <f t="shared" si="5"/>
        <v>11813</v>
      </c>
    </row>
    <row r="64" spans="1:5" x14ac:dyDescent="0.2">
      <c r="A64" s="4" t="s">
        <v>44</v>
      </c>
      <c r="B64" s="36">
        <v>1</v>
      </c>
      <c r="C64" s="36">
        <v>66</v>
      </c>
      <c r="D64" s="36">
        <v>2235</v>
      </c>
      <c r="E64" s="36">
        <f t="shared" si="5"/>
        <v>2302</v>
      </c>
    </row>
    <row r="65" spans="1:5" x14ac:dyDescent="0.2">
      <c r="A65" s="5" t="s">
        <v>4</v>
      </c>
      <c r="B65" s="37">
        <f>SUM(B60:B64)</f>
        <v>35400</v>
      </c>
      <c r="C65" s="37">
        <f>SUM(C60:C64)</f>
        <v>80875</v>
      </c>
      <c r="D65" s="37">
        <f>SUM(D60:D64)</f>
        <v>107560</v>
      </c>
      <c r="E65" s="37">
        <f>SUM(E60:E64)</f>
        <v>223835</v>
      </c>
    </row>
    <row r="66" spans="1:5" x14ac:dyDescent="0.2">
      <c r="A66" s="34"/>
      <c r="B66" s="39"/>
      <c r="C66" s="39"/>
      <c r="D66" s="39"/>
      <c r="E66" s="39"/>
    </row>
    <row r="67" spans="1:5" ht="15.75" x14ac:dyDescent="0.2">
      <c r="A67" s="23" t="s">
        <v>342</v>
      </c>
      <c r="B67" s="39"/>
      <c r="C67" s="39"/>
      <c r="D67" s="39"/>
      <c r="E67" s="39"/>
    </row>
    <row r="68" spans="1:5" ht="25.5" x14ac:dyDescent="0.2">
      <c r="A68" s="79" t="s">
        <v>9</v>
      </c>
      <c r="B68" s="40" t="s">
        <v>5</v>
      </c>
      <c r="C68" s="40" t="s">
        <v>6</v>
      </c>
      <c r="D68" s="40" t="s">
        <v>7</v>
      </c>
      <c r="E68" s="40" t="s">
        <v>8</v>
      </c>
    </row>
    <row r="69" spans="1:5" x14ac:dyDescent="0.2">
      <c r="A69" s="4" t="s">
        <v>246</v>
      </c>
      <c r="B69" s="36">
        <v>1476</v>
      </c>
      <c r="C69" s="36">
        <v>247</v>
      </c>
      <c r="D69" s="36">
        <v>1743</v>
      </c>
      <c r="E69" s="36">
        <f>SUM(B69:D69)</f>
        <v>3466</v>
      </c>
    </row>
    <row r="70" spans="1:5" x14ac:dyDescent="0.2">
      <c r="A70" s="4" t="s">
        <v>247</v>
      </c>
      <c r="B70" s="36">
        <v>821</v>
      </c>
      <c r="C70" s="36">
        <v>575</v>
      </c>
      <c r="D70" s="36">
        <v>2476</v>
      </c>
      <c r="E70" s="36">
        <f t="shared" ref="E70:E84" si="6">SUM(B70:D70)</f>
        <v>3872</v>
      </c>
    </row>
    <row r="71" spans="1:5" x14ac:dyDescent="0.2">
      <c r="A71" s="4" t="s">
        <v>248</v>
      </c>
      <c r="B71" s="36">
        <v>1720</v>
      </c>
      <c r="C71" s="36">
        <v>2228</v>
      </c>
      <c r="D71" s="36">
        <v>3072</v>
      </c>
      <c r="E71" s="36">
        <f t="shared" si="6"/>
        <v>7020</v>
      </c>
    </row>
    <row r="72" spans="1:5" x14ac:dyDescent="0.2">
      <c r="A72" s="4" t="s">
        <v>249</v>
      </c>
      <c r="B72" s="36">
        <v>696</v>
      </c>
      <c r="C72" s="36">
        <v>531</v>
      </c>
      <c r="D72" s="36">
        <v>1315</v>
      </c>
      <c r="E72" s="36">
        <f t="shared" si="6"/>
        <v>2542</v>
      </c>
    </row>
    <row r="73" spans="1:5" x14ac:dyDescent="0.2">
      <c r="A73" s="4" t="s">
        <v>250</v>
      </c>
      <c r="B73" s="36">
        <v>2624</v>
      </c>
      <c r="C73" s="36">
        <v>3185</v>
      </c>
      <c r="D73" s="36">
        <v>3343</v>
      </c>
      <c r="E73" s="36">
        <f t="shared" si="6"/>
        <v>9152</v>
      </c>
    </row>
    <row r="74" spans="1:5" x14ac:dyDescent="0.2">
      <c r="A74" s="4" t="s">
        <v>251</v>
      </c>
      <c r="B74" s="36">
        <v>3086</v>
      </c>
      <c r="C74" s="36">
        <v>7702</v>
      </c>
      <c r="D74" s="36">
        <v>12164</v>
      </c>
      <c r="E74" s="36">
        <f t="shared" si="6"/>
        <v>22952</v>
      </c>
    </row>
    <row r="75" spans="1:5" x14ac:dyDescent="0.2">
      <c r="A75" s="30" t="s">
        <v>262</v>
      </c>
      <c r="B75" s="36">
        <v>10965</v>
      </c>
      <c r="C75" s="36">
        <v>43498</v>
      </c>
      <c r="D75" s="36">
        <v>50992</v>
      </c>
      <c r="E75" s="36">
        <f t="shared" si="6"/>
        <v>105455</v>
      </c>
    </row>
    <row r="76" spans="1:5" x14ac:dyDescent="0.2">
      <c r="A76" s="30" t="s">
        <v>298</v>
      </c>
      <c r="B76" s="36">
        <v>1224</v>
      </c>
      <c r="C76" s="36">
        <v>3686</v>
      </c>
      <c r="D76" s="36">
        <v>809</v>
      </c>
      <c r="E76" s="36">
        <f t="shared" si="6"/>
        <v>5719</v>
      </c>
    </row>
    <row r="77" spans="1:5" x14ac:dyDescent="0.2">
      <c r="A77" s="4" t="s">
        <v>252</v>
      </c>
      <c r="B77" s="36">
        <v>3474</v>
      </c>
      <c r="C77" s="36">
        <v>2650</v>
      </c>
      <c r="D77" s="36">
        <v>4361</v>
      </c>
      <c r="E77" s="36">
        <f t="shared" si="6"/>
        <v>10485</v>
      </c>
    </row>
    <row r="78" spans="1:5" x14ac:dyDescent="0.2">
      <c r="A78" s="4" t="s">
        <v>266</v>
      </c>
      <c r="B78" s="36">
        <v>1058</v>
      </c>
      <c r="C78" s="36">
        <v>1334</v>
      </c>
      <c r="D78" s="36">
        <v>2655</v>
      </c>
      <c r="E78" s="36">
        <f t="shared" si="6"/>
        <v>5047</v>
      </c>
    </row>
    <row r="79" spans="1:5" x14ac:dyDescent="0.2">
      <c r="A79" s="4" t="s">
        <v>253</v>
      </c>
      <c r="B79" s="36">
        <v>2629</v>
      </c>
      <c r="C79" s="36">
        <v>8513</v>
      </c>
      <c r="D79" s="36">
        <v>12765</v>
      </c>
      <c r="E79" s="36">
        <f t="shared" si="6"/>
        <v>23907</v>
      </c>
    </row>
    <row r="80" spans="1:5" x14ac:dyDescent="0.2">
      <c r="A80" s="4" t="s">
        <v>254</v>
      </c>
      <c r="B80" s="36">
        <v>1839</v>
      </c>
      <c r="C80" s="36">
        <v>2800</v>
      </c>
      <c r="D80" s="36">
        <v>5535</v>
      </c>
      <c r="E80" s="36">
        <f t="shared" si="6"/>
        <v>10174</v>
      </c>
    </row>
    <row r="81" spans="1:5" x14ac:dyDescent="0.2">
      <c r="A81" s="4" t="s">
        <v>255</v>
      </c>
      <c r="B81" s="36">
        <v>1178</v>
      </c>
      <c r="C81" s="36">
        <v>899</v>
      </c>
      <c r="D81" s="36">
        <v>2183</v>
      </c>
      <c r="E81" s="36">
        <f t="shared" si="6"/>
        <v>4260</v>
      </c>
    </row>
    <row r="82" spans="1:5" x14ac:dyDescent="0.2">
      <c r="A82" s="4" t="s">
        <v>256</v>
      </c>
      <c r="B82" s="36">
        <v>1739</v>
      </c>
      <c r="C82" s="36">
        <v>2667</v>
      </c>
      <c r="D82" s="36">
        <v>3655</v>
      </c>
      <c r="E82" s="36">
        <f t="shared" si="6"/>
        <v>8061</v>
      </c>
    </row>
    <row r="83" spans="1:5" x14ac:dyDescent="0.2">
      <c r="A83" s="4" t="s">
        <v>257</v>
      </c>
      <c r="B83" s="36">
        <v>266</v>
      </c>
      <c r="C83" s="36">
        <v>143</v>
      </c>
      <c r="D83" s="36">
        <v>126</v>
      </c>
      <c r="E83" s="36">
        <f t="shared" si="6"/>
        <v>535</v>
      </c>
    </row>
    <row r="84" spans="1:5" x14ac:dyDescent="0.2">
      <c r="A84" s="4" t="s">
        <v>258</v>
      </c>
      <c r="B84" s="36">
        <v>605</v>
      </c>
      <c r="C84" s="36">
        <v>217</v>
      </c>
      <c r="D84" s="36">
        <v>366</v>
      </c>
      <c r="E84" s="36">
        <f t="shared" si="6"/>
        <v>1188</v>
      </c>
    </row>
    <row r="85" spans="1:5" x14ac:dyDescent="0.2">
      <c r="A85" s="5" t="s">
        <v>4</v>
      </c>
      <c r="B85" s="37">
        <f>SUM(B69:B84)</f>
        <v>35400</v>
      </c>
      <c r="C85" s="37">
        <f t="shared" ref="C85:E85" si="7">SUM(C69:C84)</f>
        <v>80875</v>
      </c>
      <c r="D85" s="37">
        <f t="shared" si="7"/>
        <v>107560</v>
      </c>
      <c r="E85" s="37">
        <f t="shared" si="7"/>
        <v>223835</v>
      </c>
    </row>
    <row r="86" spans="1:5" x14ac:dyDescent="0.2">
      <c r="A86" s="34"/>
      <c r="B86" s="39"/>
      <c r="C86" s="39"/>
      <c r="D86" s="39"/>
      <c r="E86" s="39"/>
    </row>
    <row r="87" spans="1:5" ht="15.75" x14ac:dyDescent="0.2">
      <c r="A87" s="23" t="s">
        <v>384</v>
      </c>
      <c r="B87" s="39"/>
      <c r="C87" s="39"/>
      <c r="D87" s="39"/>
      <c r="E87" s="39"/>
    </row>
    <row r="88" spans="1:5" x14ac:dyDescent="0.2">
      <c r="A88" s="79" t="s">
        <v>9</v>
      </c>
      <c r="B88" s="40" t="s">
        <v>206</v>
      </c>
      <c r="C88" s="40" t="s">
        <v>207</v>
      </c>
      <c r="D88" s="40" t="s">
        <v>8</v>
      </c>
    </row>
    <row r="89" spans="1:5" x14ac:dyDescent="0.2">
      <c r="A89" s="4" t="s">
        <v>246</v>
      </c>
      <c r="B89" s="36">
        <v>2101</v>
      </c>
      <c r="C89" s="36">
        <v>1365</v>
      </c>
      <c r="D89" s="36">
        <f>SUM(B89:C89)</f>
        <v>3466</v>
      </c>
    </row>
    <row r="90" spans="1:5" x14ac:dyDescent="0.2">
      <c r="A90" s="4" t="s">
        <v>247</v>
      </c>
      <c r="B90" s="36">
        <v>2440</v>
      </c>
      <c r="C90" s="36">
        <v>1432</v>
      </c>
      <c r="D90" s="36">
        <f t="shared" ref="D90:D104" si="8">SUM(B90:C90)</f>
        <v>3872</v>
      </c>
    </row>
    <row r="91" spans="1:5" x14ac:dyDescent="0.2">
      <c r="A91" s="4" t="s">
        <v>248</v>
      </c>
      <c r="B91" s="36">
        <v>3751</v>
      </c>
      <c r="C91" s="36">
        <v>3269</v>
      </c>
      <c r="D91" s="36">
        <f t="shared" si="8"/>
        <v>7020</v>
      </c>
    </row>
    <row r="92" spans="1:5" x14ac:dyDescent="0.2">
      <c r="A92" s="4" t="s">
        <v>249</v>
      </c>
      <c r="B92" s="36">
        <v>1531</v>
      </c>
      <c r="C92" s="36">
        <v>1011</v>
      </c>
      <c r="D92" s="36">
        <f t="shared" si="8"/>
        <v>2542</v>
      </c>
    </row>
    <row r="93" spans="1:5" x14ac:dyDescent="0.2">
      <c r="A93" s="4" t="s">
        <v>250</v>
      </c>
      <c r="B93" s="36">
        <v>5517</v>
      </c>
      <c r="C93" s="36">
        <v>3635</v>
      </c>
      <c r="D93" s="36">
        <f t="shared" si="8"/>
        <v>9152</v>
      </c>
    </row>
    <row r="94" spans="1:5" x14ac:dyDescent="0.2">
      <c r="A94" s="4" t="s">
        <v>251</v>
      </c>
      <c r="B94" s="36">
        <v>13162</v>
      </c>
      <c r="C94" s="36">
        <v>9790</v>
      </c>
      <c r="D94" s="36">
        <f t="shared" si="8"/>
        <v>22952</v>
      </c>
    </row>
    <row r="95" spans="1:5" x14ac:dyDescent="0.2">
      <c r="A95" s="30" t="s">
        <v>262</v>
      </c>
      <c r="B95" s="36">
        <v>59392</v>
      </c>
      <c r="C95" s="36">
        <v>46063</v>
      </c>
      <c r="D95" s="36">
        <f t="shared" si="8"/>
        <v>105455</v>
      </c>
    </row>
    <row r="96" spans="1:5" x14ac:dyDescent="0.2">
      <c r="A96" s="30" t="s">
        <v>298</v>
      </c>
      <c r="B96" s="36">
        <v>3348</v>
      </c>
      <c r="C96" s="36">
        <v>2371</v>
      </c>
      <c r="D96" s="36">
        <f t="shared" si="8"/>
        <v>5719</v>
      </c>
    </row>
    <row r="97" spans="1:5" x14ac:dyDescent="0.2">
      <c r="A97" s="4" t="s">
        <v>252</v>
      </c>
      <c r="B97" s="36">
        <v>6450</v>
      </c>
      <c r="C97" s="36">
        <v>4035</v>
      </c>
      <c r="D97" s="36">
        <f t="shared" si="8"/>
        <v>10485</v>
      </c>
    </row>
    <row r="98" spans="1:5" x14ac:dyDescent="0.2">
      <c r="A98" s="4" t="s">
        <v>266</v>
      </c>
      <c r="B98" s="36">
        <v>3302</v>
      </c>
      <c r="C98" s="36">
        <v>1745</v>
      </c>
      <c r="D98" s="36">
        <f t="shared" si="8"/>
        <v>5047</v>
      </c>
    </row>
    <row r="99" spans="1:5" x14ac:dyDescent="0.2">
      <c r="A99" s="4" t="s">
        <v>253</v>
      </c>
      <c r="B99" s="36">
        <v>14116</v>
      </c>
      <c r="C99" s="36">
        <v>9791</v>
      </c>
      <c r="D99" s="36">
        <f t="shared" si="8"/>
        <v>23907</v>
      </c>
    </row>
    <row r="100" spans="1:5" x14ac:dyDescent="0.2">
      <c r="A100" s="4" t="s">
        <v>254</v>
      </c>
      <c r="B100" s="36">
        <v>6383</v>
      </c>
      <c r="C100" s="36">
        <v>3791</v>
      </c>
      <c r="D100" s="36">
        <f t="shared" si="8"/>
        <v>10174</v>
      </c>
    </row>
    <row r="101" spans="1:5" x14ac:dyDescent="0.2">
      <c r="A101" s="4" t="s">
        <v>255</v>
      </c>
      <c r="B101" s="36">
        <v>2586</v>
      </c>
      <c r="C101" s="36">
        <v>1674</v>
      </c>
      <c r="D101" s="36">
        <f t="shared" si="8"/>
        <v>4260</v>
      </c>
    </row>
    <row r="102" spans="1:5" x14ac:dyDescent="0.2">
      <c r="A102" s="4" t="s">
        <v>256</v>
      </c>
      <c r="B102" s="36">
        <v>5202</v>
      </c>
      <c r="C102" s="36">
        <v>2859</v>
      </c>
      <c r="D102" s="36">
        <f t="shared" si="8"/>
        <v>8061</v>
      </c>
    </row>
    <row r="103" spans="1:5" x14ac:dyDescent="0.2">
      <c r="A103" s="4" t="s">
        <v>257</v>
      </c>
      <c r="B103" s="36">
        <v>356</v>
      </c>
      <c r="C103" s="36">
        <v>179</v>
      </c>
      <c r="D103" s="36">
        <f t="shared" si="8"/>
        <v>535</v>
      </c>
    </row>
    <row r="104" spans="1:5" x14ac:dyDescent="0.2">
      <c r="A104" s="4" t="s">
        <v>258</v>
      </c>
      <c r="B104" s="36">
        <v>670</v>
      </c>
      <c r="C104" s="36">
        <v>518</v>
      </c>
      <c r="D104" s="36">
        <f t="shared" si="8"/>
        <v>1188</v>
      </c>
    </row>
    <row r="105" spans="1:5" x14ac:dyDescent="0.2">
      <c r="A105" s="5" t="s">
        <v>4</v>
      </c>
      <c r="B105" s="37">
        <f>SUM(B89:B104)</f>
        <v>130307</v>
      </c>
      <c r="C105" s="37">
        <f t="shared" ref="C105:D105" si="9">SUM(C89:C104)</f>
        <v>93528</v>
      </c>
      <c r="D105" s="37">
        <f t="shared" si="9"/>
        <v>223835</v>
      </c>
      <c r="E105" s="39"/>
    </row>
    <row r="106" spans="1:5" x14ac:dyDescent="0.2">
      <c r="A106" s="34"/>
      <c r="B106" s="39"/>
      <c r="C106" s="39"/>
      <c r="D106" s="39"/>
      <c r="E106" s="39"/>
    </row>
    <row r="107" spans="1:5" x14ac:dyDescent="0.2">
      <c r="A107" s="34"/>
      <c r="B107" s="39"/>
      <c r="C107" s="39"/>
      <c r="D107" s="39"/>
      <c r="E107" s="39"/>
    </row>
    <row r="108" spans="1:5" x14ac:dyDescent="0.2">
      <c r="A108" s="61" t="s">
        <v>238</v>
      </c>
      <c r="B108" s="39"/>
      <c r="C108" s="39"/>
      <c r="D108" s="39"/>
      <c r="E108" s="39"/>
    </row>
    <row r="109" spans="1:5" x14ac:dyDescent="0.2">
      <c r="A109" s="34"/>
      <c r="B109" s="39"/>
      <c r="C109" s="39"/>
      <c r="D109" s="39"/>
      <c r="E109" s="39"/>
    </row>
    <row r="110" spans="1:5" x14ac:dyDescent="0.2">
      <c r="A110" s="62" t="s">
        <v>21</v>
      </c>
      <c r="B110" s="39"/>
      <c r="C110" s="39"/>
      <c r="D110" s="39"/>
      <c r="E110" s="39"/>
    </row>
    <row r="111" spans="1:5" x14ac:dyDescent="0.2">
      <c r="A111" s="34"/>
      <c r="B111" s="39"/>
      <c r="C111" s="39"/>
      <c r="D111" s="39"/>
      <c r="E111" s="39"/>
    </row>
  </sheetData>
  <hyperlinks>
    <hyperlink ref="A110" location="Indice!A5" display="Volver al índice"/>
  </hyperlinks>
  <pageMargins left="0.7" right="0.7" top="0.75" bottom="0.75" header="0.3" footer="0.3"/>
  <pageSetup paperSize="3" orientation="portrait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1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37" style="31" customWidth="1"/>
    <col min="2" max="6" width="9.5703125" style="31" customWidth="1"/>
    <col min="7" max="13" width="9.5703125" style="1" customWidth="1"/>
    <col min="14" max="16" width="10.85546875" style="1" customWidth="1"/>
    <col min="17" max="17" width="12.5703125" style="1" customWidth="1"/>
    <col min="18" max="18" width="13" style="1" customWidth="1"/>
    <col min="19" max="19" width="12.42578125" style="1" customWidth="1"/>
    <col min="20" max="20" width="14.5703125" style="1" customWidth="1"/>
    <col min="21" max="16384" width="10.85546875" style="1"/>
  </cols>
  <sheetData>
    <row r="1" spans="1:21" ht="21" x14ac:dyDescent="0.2">
      <c r="A1" s="76" t="s">
        <v>385</v>
      </c>
      <c r="B1" s="76"/>
      <c r="C1" s="76"/>
      <c r="D1" s="76"/>
      <c r="E1" s="76"/>
      <c r="F1" s="76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1" ht="24" customHeight="1" x14ac:dyDescent="0.2">
      <c r="A2" s="68"/>
      <c r="B2" s="68"/>
      <c r="C2" s="68"/>
      <c r="D2" s="68"/>
      <c r="E2" s="68"/>
      <c r="F2" s="68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1" x14ac:dyDescent="0.2">
      <c r="A3" s="67"/>
      <c r="B3" s="67"/>
      <c r="C3" s="67"/>
      <c r="D3" s="67"/>
      <c r="E3" s="67"/>
      <c r="F3" s="67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21" ht="15.75" x14ac:dyDescent="0.2">
      <c r="A4" s="35" t="s">
        <v>303</v>
      </c>
      <c r="B4" s="35"/>
      <c r="C4" s="35"/>
      <c r="D4" s="35"/>
      <c r="E4" s="35"/>
      <c r="F4" s="35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1" ht="25.5" x14ac:dyDescent="0.2">
      <c r="A5" s="78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12" t="s">
        <v>370</v>
      </c>
      <c r="R5" s="12" t="s">
        <v>371</v>
      </c>
      <c r="S5" s="12" t="s">
        <v>372</v>
      </c>
      <c r="T5" s="12" t="s">
        <v>373</v>
      </c>
    </row>
    <row r="6" spans="1:21" x14ac:dyDescent="0.2">
      <c r="A6" s="4" t="s">
        <v>5</v>
      </c>
      <c r="B6" s="4">
        <v>12658</v>
      </c>
      <c r="C6" s="4">
        <v>19204</v>
      </c>
      <c r="D6" s="4">
        <v>16547</v>
      </c>
      <c r="E6" s="4">
        <v>14044</v>
      </c>
      <c r="F6" s="4">
        <v>22313</v>
      </c>
      <c r="G6" s="4">
        <v>25493</v>
      </c>
      <c r="H6" s="4">
        <v>28183</v>
      </c>
      <c r="I6" s="4">
        <v>27675</v>
      </c>
      <c r="J6" s="4">
        <v>30556</v>
      </c>
      <c r="K6" s="4">
        <v>33777</v>
      </c>
      <c r="L6" s="4">
        <v>32655</v>
      </c>
      <c r="M6" s="4">
        <v>35128</v>
      </c>
      <c r="N6" s="4">
        <v>33444</v>
      </c>
      <c r="O6" s="4">
        <v>23477</v>
      </c>
      <c r="P6" s="4">
        <v>35400</v>
      </c>
      <c r="Q6" s="89">
        <f>(P6-G6)/G6</f>
        <v>0.38861648295610562</v>
      </c>
      <c r="R6" s="96">
        <f>(P6-L6)/L6</f>
        <v>8.4060633899862194E-2</v>
      </c>
      <c r="S6" s="96">
        <f>(P6-O6)/O6</f>
        <v>0.50785875537760361</v>
      </c>
      <c r="T6" s="98">
        <f>P6/P$9</f>
        <v>0.1581522103335046</v>
      </c>
      <c r="U6" s="95"/>
    </row>
    <row r="7" spans="1:21" x14ac:dyDescent="0.2">
      <c r="A7" s="4" t="s">
        <v>6</v>
      </c>
      <c r="B7" s="4">
        <v>17186</v>
      </c>
      <c r="C7" s="4">
        <v>18675</v>
      </c>
      <c r="D7" s="4">
        <v>23637</v>
      </c>
      <c r="E7" s="4">
        <v>23669</v>
      </c>
      <c r="F7" s="4">
        <v>30689</v>
      </c>
      <c r="G7" s="4">
        <v>37944</v>
      </c>
      <c r="H7" s="4">
        <v>47073</v>
      </c>
      <c r="I7" s="4">
        <v>55825</v>
      </c>
      <c r="J7" s="4">
        <v>67309</v>
      </c>
      <c r="K7" s="4">
        <v>72821</v>
      </c>
      <c r="L7" s="4">
        <v>78139</v>
      </c>
      <c r="M7" s="4">
        <v>79092</v>
      </c>
      <c r="N7" s="4">
        <v>74140</v>
      </c>
      <c r="O7" s="4">
        <v>63146</v>
      </c>
      <c r="P7" s="4">
        <v>80875</v>
      </c>
      <c r="Q7" s="89">
        <f>(P7-G7)/G7</f>
        <v>1.1314305292009277</v>
      </c>
      <c r="R7" s="96">
        <f>(P7-L7)/L7</f>
        <v>3.501452539704885E-2</v>
      </c>
      <c r="S7" s="96">
        <f>(P7-O7)/O7</f>
        <v>0.28076204351819595</v>
      </c>
      <c r="T7" s="98">
        <f>P7/P$9</f>
        <v>0.36131525454017466</v>
      </c>
    </row>
    <row r="8" spans="1:21" x14ac:dyDescent="0.2">
      <c r="A8" s="4" t="s">
        <v>7</v>
      </c>
      <c r="B8" s="4">
        <v>54956</v>
      </c>
      <c r="C8" s="4">
        <v>58527</v>
      </c>
      <c r="D8" s="4">
        <v>65330</v>
      </c>
      <c r="E8" s="4">
        <v>63936</v>
      </c>
      <c r="F8" s="4">
        <v>64837</v>
      </c>
      <c r="G8" s="4">
        <v>71708</v>
      </c>
      <c r="H8" s="4">
        <v>80980</v>
      </c>
      <c r="I8" s="4">
        <v>87154</v>
      </c>
      <c r="J8" s="4">
        <v>89901</v>
      </c>
      <c r="K8" s="4">
        <v>89366</v>
      </c>
      <c r="L8" s="4">
        <v>93573</v>
      </c>
      <c r="M8" s="4">
        <v>93742</v>
      </c>
      <c r="N8" s="4">
        <v>92279</v>
      </c>
      <c r="O8" s="4">
        <v>72524</v>
      </c>
      <c r="P8" s="4">
        <v>107560</v>
      </c>
      <c r="Q8" s="89">
        <f>(P8-G8)/G8</f>
        <v>0.49997210910916495</v>
      </c>
      <c r="R8" s="96">
        <f>(P8-L8)/L8</f>
        <v>0.14947687901424556</v>
      </c>
      <c r="S8" s="96">
        <f>(P8-O8)/O8</f>
        <v>0.48309525122717994</v>
      </c>
      <c r="T8" s="98">
        <f>P8/P$9</f>
        <v>0.48053253512632071</v>
      </c>
    </row>
    <row r="9" spans="1:21" x14ac:dyDescent="0.2">
      <c r="A9" s="5" t="s">
        <v>4</v>
      </c>
      <c r="B9" s="5">
        <v>84800</v>
      </c>
      <c r="C9" s="5">
        <v>96406</v>
      </c>
      <c r="D9" s="5">
        <v>105514</v>
      </c>
      <c r="E9" s="5">
        <v>101649</v>
      </c>
      <c r="F9" s="5">
        <v>117839</v>
      </c>
      <c r="G9" s="5">
        <v>135145</v>
      </c>
      <c r="H9" s="5">
        <v>156236</v>
      </c>
      <c r="I9" s="5">
        <v>170654</v>
      </c>
      <c r="J9" s="5">
        <v>187766</v>
      </c>
      <c r="K9" s="5">
        <v>195964</v>
      </c>
      <c r="L9" s="5">
        <v>204367</v>
      </c>
      <c r="M9" s="5">
        <v>207962</v>
      </c>
      <c r="N9" s="5">
        <v>199863</v>
      </c>
      <c r="O9" s="5">
        <v>159147</v>
      </c>
      <c r="P9" s="5">
        <v>223835</v>
      </c>
      <c r="Q9" s="73">
        <f>(P9-G9)/G9</f>
        <v>0.65625809315919936</v>
      </c>
      <c r="R9" s="97">
        <f>(P9-L9)/L9</f>
        <v>9.5259997944873678E-2</v>
      </c>
      <c r="S9" s="97">
        <f>(P9-O9)/O9</f>
        <v>0.40646697707151253</v>
      </c>
      <c r="T9" s="99">
        <f>P9/P$9</f>
        <v>1</v>
      </c>
    </row>
    <row r="10" spans="1:21" x14ac:dyDescent="0.2"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</row>
    <row r="11" spans="1:21" ht="15.75" x14ac:dyDescent="0.2">
      <c r="A11" s="35" t="s">
        <v>304</v>
      </c>
      <c r="B11" s="35"/>
      <c r="C11" s="35"/>
      <c r="D11" s="35"/>
      <c r="E11" s="35"/>
      <c r="F11" s="35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1" ht="25.5" x14ac:dyDescent="0.2">
      <c r="A12" s="78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12" t="s">
        <v>370</v>
      </c>
      <c r="R12" s="12" t="s">
        <v>371</v>
      </c>
      <c r="S12" s="12" t="s">
        <v>372</v>
      </c>
      <c r="T12" s="12" t="s">
        <v>373</v>
      </c>
    </row>
    <row r="13" spans="1:21" x14ac:dyDescent="0.2">
      <c r="A13" s="4" t="s">
        <v>283</v>
      </c>
      <c r="B13" s="4">
        <v>12658</v>
      </c>
      <c r="C13" s="4">
        <v>19204</v>
      </c>
      <c r="D13" s="4">
        <v>16547</v>
      </c>
      <c r="E13" s="4">
        <v>14044</v>
      </c>
      <c r="F13" s="4">
        <v>22313</v>
      </c>
      <c r="G13" s="4">
        <v>25493</v>
      </c>
      <c r="H13" s="4">
        <v>28183</v>
      </c>
      <c r="I13" s="4">
        <v>27675</v>
      </c>
      <c r="J13" s="4">
        <v>30556</v>
      </c>
      <c r="K13" s="4">
        <v>33777</v>
      </c>
      <c r="L13" s="4">
        <v>32655</v>
      </c>
      <c r="M13" s="4">
        <v>35128</v>
      </c>
      <c r="N13" s="4">
        <v>33427</v>
      </c>
      <c r="O13" s="4">
        <v>23395</v>
      </c>
      <c r="P13" s="4">
        <v>34375</v>
      </c>
      <c r="Q13" s="89">
        <f t="shared" ref="Q13:Q19" si="0">(P13-G13)/G13</f>
        <v>0.34840936727729183</v>
      </c>
      <c r="R13" s="96">
        <f t="shared" ref="R13:R19" si="1">(P13-L13)/L13</f>
        <v>5.2671872607563924E-2</v>
      </c>
      <c r="S13" s="96">
        <f t="shared" ref="S13:S19" si="2">(P13-O13)/O13</f>
        <v>0.46933105364394101</v>
      </c>
      <c r="T13" s="98">
        <f t="shared" ref="T13:T19" si="3">P13/P$9</f>
        <v>0.1535729443563339</v>
      </c>
    </row>
    <row r="14" spans="1:21" x14ac:dyDescent="0.2">
      <c r="A14" s="4" t="s">
        <v>284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17</v>
      </c>
      <c r="O14" s="4">
        <v>82</v>
      </c>
      <c r="P14" s="4">
        <v>1025</v>
      </c>
      <c r="Q14" s="89" t="s">
        <v>24</v>
      </c>
      <c r="R14" s="96" t="s">
        <v>24</v>
      </c>
      <c r="S14" s="96">
        <f t="shared" si="2"/>
        <v>11.5</v>
      </c>
      <c r="T14" s="98">
        <f t="shared" si="3"/>
        <v>4.5792659771706837E-3</v>
      </c>
    </row>
    <row r="15" spans="1:21" x14ac:dyDescent="0.2">
      <c r="A15" s="4" t="s">
        <v>6</v>
      </c>
      <c r="B15" s="4">
        <v>17186</v>
      </c>
      <c r="C15" s="4">
        <v>18675</v>
      </c>
      <c r="D15" s="4">
        <v>23637</v>
      </c>
      <c r="E15" s="4">
        <v>23669</v>
      </c>
      <c r="F15" s="4">
        <v>30689</v>
      </c>
      <c r="G15" s="4">
        <v>37944</v>
      </c>
      <c r="H15" s="4">
        <v>47073</v>
      </c>
      <c r="I15" s="4">
        <v>55825</v>
      </c>
      <c r="J15" s="4">
        <v>67309</v>
      </c>
      <c r="K15" s="4">
        <v>72821</v>
      </c>
      <c r="L15" s="4">
        <v>78139</v>
      </c>
      <c r="M15" s="4">
        <v>79092</v>
      </c>
      <c r="N15" s="4">
        <v>74140</v>
      </c>
      <c r="O15" s="4">
        <v>63146</v>
      </c>
      <c r="P15" s="4">
        <v>80875</v>
      </c>
      <c r="Q15" s="89">
        <f t="shared" si="0"/>
        <v>1.1314305292009277</v>
      </c>
      <c r="R15" s="96">
        <f t="shared" si="1"/>
        <v>3.501452539704885E-2</v>
      </c>
      <c r="S15" s="96">
        <f t="shared" si="2"/>
        <v>0.28076204351819595</v>
      </c>
      <c r="T15" s="98">
        <f t="shared" si="3"/>
        <v>0.36131525454017466</v>
      </c>
    </row>
    <row r="16" spans="1:21" x14ac:dyDescent="0.2">
      <c r="A16" s="30" t="s">
        <v>235</v>
      </c>
      <c r="B16" s="30">
        <v>20835</v>
      </c>
      <c r="C16" s="30">
        <v>20848</v>
      </c>
      <c r="D16" s="30">
        <v>23500</v>
      </c>
      <c r="E16" s="30">
        <v>23147</v>
      </c>
      <c r="F16" s="30">
        <v>21624</v>
      </c>
      <c r="G16" s="4">
        <v>21617</v>
      </c>
      <c r="H16" s="4">
        <v>21806</v>
      </c>
      <c r="I16" s="4">
        <v>22310</v>
      </c>
      <c r="J16" s="4">
        <v>23261</v>
      </c>
      <c r="K16" s="4">
        <v>22450</v>
      </c>
      <c r="L16" s="4">
        <v>24274</v>
      </c>
      <c r="M16" s="30">
        <v>23355</v>
      </c>
      <c r="N16" s="30">
        <v>23595</v>
      </c>
      <c r="O16" s="30">
        <v>19462</v>
      </c>
      <c r="P16" s="30">
        <v>26626</v>
      </c>
      <c r="Q16" s="89">
        <f t="shared" si="0"/>
        <v>0.23171577924781422</v>
      </c>
      <c r="R16" s="96">
        <f t="shared" si="1"/>
        <v>9.6893795830930218E-2</v>
      </c>
      <c r="S16" s="96">
        <f t="shared" si="2"/>
        <v>0.36810194224642895</v>
      </c>
      <c r="T16" s="98">
        <f t="shared" si="3"/>
        <v>0.11895369356892353</v>
      </c>
    </row>
    <row r="17" spans="1:21" x14ac:dyDescent="0.2">
      <c r="A17" s="30" t="s">
        <v>236</v>
      </c>
      <c r="B17" s="30">
        <v>11378</v>
      </c>
      <c r="C17" s="30">
        <v>11877</v>
      </c>
      <c r="D17" s="30">
        <v>13533</v>
      </c>
      <c r="E17" s="30">
        <v>13044</v>
      </c>
      <c r="F17" s="30">
        <v>12982</v>
      </c>
      <c r="G17" s="4">
        <v>14598</v>
      </c>
      <c r="H17" s="4">
        <v>15840</v>
      </c>
      <c r="I17" s="4">
        <v>16357</v>
      </c>
      <c r="J17" s="4">
        <v>16894</v>
      </c>
      <c r="K17" s="4">
        <v>16299</v>
      </c>
      <c r="L17" s="4">
        <v>18303</v>
      </c>
      <c r="M17" s="30">
        <v>17118</v>
      </c>
      <c r="N17" s="30">
        <v>19140</v>
      </c>
      <c r="O17" s="30">
        <v>17439</v>
      </c>
      <c r="P17" s="30">
        <v>25676</v>
      </c>
      <c r="Q17" s="89">
        <f t="shared" si="0"/>
        <v>0.75887107822989452</v>
      </c>
      <c r="R17" s="96">
        <f t="shared" si="1"/>
        <v>0.40283013713598864</v>
      </c>
      <c r="S17" s="96">
        <f t="shared" si="2"/>
        <v>0.47233212913584494</v>
      </c>
      <c r="T17" s="98">
        <f t="shared" si="3"/>
        <v>0.11470949583398485</v>
      </c>
    </row>
    <row r="18" spans="1:21" x14ac:dyDescent="0.2">
      <c r="A18" s="30" t="s">
        <v>237</v>
      </c>
      <c r="B18" s="30">
        <v>22743</v>
      </c>
      <c r="C18" s="30">
        <v>25802</v>
      </c>
      <c r="D18" s="30">
        <v>28297</v>
      </c>
      <c r="E18" s="30">
        <v>27745</v>
      </c>
      <c r="F18" s="30">
        <v>30231</v>
      </c>
      <c r="G18" s="4">
        <v>35493</v>
      </c>
      <c r="H18" s="4">
        <v>43334</v>
      </c>
      <c r="I18" s="4">
        <v>48487</v>
      </c>
      <c r="J18" s="4">
        <v>49746</v>
      </c>
      <c r="K18" s="4">
        <v>50617</v>
      </c>
      <c r="L18" s="4">
        <v>50996</v>
      </c>
      <c r="M18" s="30">
        <v>53269</v>
      </c>
      <c r="N18" s="30">
        <v>49544</v>
      </c>
      <c r="O18" s="30">
        <v>35623</v>
      </c>
      <c r="P18" s="30">
        <v>55258</v>
      </c>
      <c r="Q18" s="89">
        <f t="shared" si="0"/>
        <v>0.55687036880511653</v>
      </c>
      <c r="R18" s="96">
        <f t="shared" si="1"/>
        <v>8.3575182367244497E-2</v>
      </c>
      <c r="S18" s="96">
        <f t="shared" si="2"/>
        <v>0.5511888386716447</v>
      </c>
      <c r="T18" s="98">
        <f t="shared" si="3"/>
        <v>0.24686934572341235</v>
      </c>
    </row>
    <row r="19" spans="1:21" x14ac:dyDescent="0.2">
      <c r="A19" s="5" t="s">
        <v>4</v>
      </c>
      <c r="B19" s="5">
        <v>84800</v>
      </c>
      <c r="C19" s="5">
        <v>96406</v>
      </c>
      <c r="D19" s="5">
        <v>105514</v>
      </c>
      <c r="E19" s="5">
        <v>101649</v>
      </c>
      <c r="F19" s="5">
        <v>117839</v>
      </c>
      <c r="G19" s="5">
        <v>135145</v>
      </c>
      <c r="H19" s="5">
        <v>156236</v>
      </c>
      <c r="I19" s="5">
        <v>170654</v>
      </c>
      <c r="J19" s="5">
        <v>187766</v>
      </c>
      <c r="K19" s="5">
        <v>195964</v>
      </c>
      <c r="L19" s="5">
        <v>204367</v>
      </c>
      <c r="M19" s="5">
        <v>207962</v>
      </c>
      <c r="N19" s="5">
        <v>199863</v>
      </c>
      <c r="O19" s="5">
        <v>159147</v>
      </c>
      <c r="P19" s="5">
        <v>223835</v>
      </c>
      <c r="Q19" s="73">
        <f t="shared" si="0"/>
        <v>0.65625809315919936</v>
      </c>
      <c r="R19" s="97">
        <f t="shared" si="1"/>
        <v>9.5259997944873678E-2</v>
      </c>
      <c r="S19" s="97">
        <f t="shared" si="2"/>
        <v>0.40646697707151253</v>
      </c>
      <c r="T19" s="99">
        <f t="shared" si="3"/>
        <v>1</v>
      </c>
    </row>
    <row r="20" spans="1:21" x14ac:dyDescent="0.2">
      <c r="A20" s="124" t="s">
        <v>297</v>
      </c>
      <c r="G20" s="31"/>
      <c r="H20" s="31"/>
      <c r="I20" s="3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31"/>
    </row>
    <row r="21" spans="1:21" x14ac:dyDescent="0.2">
      <c r="G21" s="31"/>
      <c r="H21" s="31"/>
      <c r="I21" s="31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31"/>
    </row>
    <row r="22" spans="1:21" ht="15.75" x14ac:dyDescent="0.2">
      <c r="A22" s="35" t="s">
        <v>305</v>
      </c>
      <c r="B22" s="35"/>
      <c r="C22" s="35"/>
      <c r="D22" s="35"/>
      <c r="E22" s="35"/>
      <c r="F22" s="35"/>
      <c r="G22" s="34"/>
      <c r="H22" s="34"/>
      <c r="I22" s="34"/>
      <c r="J22" s="105"/>
      <c r="K22" s="105"/>
      <c r="L22" s="105"/>
      <c r="M22" s="105"/>
      <c r="N22" s="105"/>
      <c r="O22" s="105"/>
      <c r="P22" s="105"/>
      <c r="Q22" s="34"/>
      <c r="R22" s="34"/>
      <c r="S22" s="34"/>
      <c r="T22" s="34"/>
    </row>
    <row r="23" spans="1:21" ht="25.5" x14ac:dyDescent="0.2">
      <c r="A23" s="78" t="s">
        <v>36</v>
      </c>
      <c r="B23" s="3">
        <v>2007</v>
      </c>
      <c r="C23" s="3">
        <v>2008</v>
      </c>
      <c r="D23" s="3">
        <v>2009</v>
      </c>
      <c r="E23" s="3">
        <v>2010</v>
      </c>
      <c r="F23" s="3">
        <v>2011</v>
      </c>
      <c r="G23" s="3">
        <v>2012</v>
      </c>
      <c r="H23" s="3">
        <v>2013</v>
      </c>
      <c r="I23" s="3">
        <v>2014</v>
      </c>
      <c r="J23" s="3">
        <v>2015</v>
      </c>
      <c r="K23" s="3">
        <v>2016</v>
      </c>
      <c r="L23" s="3">
        <v>2017</v>
      </c>
      <c r="M23" s="3">
        <v>2018</v>
      </c>
      <c r="N23" s="3">
        <v>2019</v>
      </c>
      <c r="O23" s="3">
        <v>2020</v>
      </c>
      <c r="P23" s="3">
        <v>2021</v>
      </c>
      <c r="Q23" s="12" t="s">
        <v>370</v>
      </c>
      <c r="R23" s="12" t="s">
        <v>371</v>
      </c>
      <c r="S23" s="12" t="s">
        <v>372</v>
      </c>
      <c r="T23" s="12" t="s">
        <v>373</v>
      </c>
    </row>
    <row r="24" spans="1:21" x14ac:dyDescent="0.2">
      <c r="A24" s="4" t="s">
        <v>37</v>
      </c>
      <c r="B24" s="4">
        <v>22323</v>
      </c>
      <c r="C24" s="4">
        <v>31709</v>
      </c>
      <c r="D24" s="4">
        <v>32945</v>
      </c>
      <c r="E24" s="4">
        <v>30518</v>
      </c>
      <c r="F24" s="4">
        <v>42754</v>
      </c>
      <c r="G24" s="4">
        <v>50930</v>
      </c>
      <c r="H24" s="4">
        <v>58323</v>
      </c>
      <c r="I24" s="4">
        <v>63558</v>
      </c>
      <c r="J24" s="4">
        <v>74380</v>
      </c>
      <c r="K24" s="4">
        <v>81468</v>
      </c>
      <c r="L24" s="4">
        <v>82833</v>
      </c>
      <c r="M24" s="4">
        <v>85339</v>
      </c>
      <c r="N24" s="4">
        <v>80994</v>
      </c>
      <c r="O24" s="4">
        <v>63603</v>
      </c>
      <c r="P24" s="4">
        <v>85077</v>
      </c>
      <c r="Q24" s="89">
        <f>(P24-G24)/G24</f>
        <v>0.67046927154918512</v>
      </c>
      <c r="R24" s="96">
        <f>(P24-L24)/L24</f>
        <v>2.7090652276266704E-2</v>
      </c>
      <c r="S24" s="96">
        <f>(P24-O24)/O24</f>
        <v>0.33762558369888213</v>
      </c>
      <c r="T24" s="98">
        <f>P24/P$9</f>
        <v>0.38008801125829295</v>
      </c>
    </row>
    <row r="25" spans="1:21" x14ac:dyDescent="0.2">
      <c r="A25" s="30" t="s">
        <v>211</v>
      </c>
      <c r="B25" s="30">
        <v>16675</v>
      </c>
      <c r="C25" s="30">
        <v>16206</v>
      </c>
      <c r="D25" s="30">
        <v>17959</v>
      </c>
      <c r="E25" s="30">
        <v>16780</v>
      </c>
      <c r="F25" s="30">
        <v>20220</v>
      </c>
      <c r="G25" s="4">
        <v>23707</v>
      </c>
      <c r="H25" s="4">
        <v>29695</v>
      </c>
      <c r="I25" s="4">
        <v>33521</v>
      </c>
      <c r="J25" s="4">
        <v>38605</v>
      </c>
      <c r="K25" s="4">
        <v>39788</v>
      </c>
      <c r="L25" s="4">
        <v>42724</v>
      </c>
      <c r="M25" s="4">
        <v>43910</v>
      </c>
      <c r="N25" s="4">
        <v>39416</v>
      </c>
      <c r="O25" s="4">
        <v>34081</v>
      </c>
      <c r="P25" s="4">
        <v>43808</v>
      </c>
      <c r="Q25" s="89">
        <f>(P25-G25)/G25</f>
        <v>0.84789302737588057</v>
      </c>
      <c r="R25" s="96">
        <f>(P25-L25)/L25</f>
        <v>2.5372156165153075E-2</v>
      </c>
      <c r="S25" s="96">
        <f>(P25-O25)/O25</f>
        <v>0.28540829201021095</v>
      </c>
      <c r="T25" s="98">
        <f>P25/P$9</f>
        <v>0.19571559407599348</v>
      </c>
    </row>
    <row r="26" spans="1:21" x14ac:dyDescent="0.2">
      <c r="A26" s="4" t="s">
        <v>39</v>
      </c>
      <c r="B26" s="4">
        <v>1459</v>
      </c>
      <c r="C26" s="4">
        <v>1073</v>
      </c>
      <c r="D26" s="4">
        <v>1199</v>
      </c>
      <c r="E26" s="4">
        <v>1370</v>
      </c>
      <c r="F26" s="4">
        <v>1285</v>
      </c>
      <c r="G26" s="4">
        <v>1368</v>
      </c>
      <c r="H26" s="4">
        <v>1390</v>
      </c>
      <c r="I26" s="4">
        <v>1431</v>
      </c>
      <c r="J26" s="4">
        <v>1530</v>
      </c>
      <c r="K26" s="4">
        <v>1865</v>
      </c>
      <c r="L26" s="4">
        <v>2364</v>
      </c>
      <c r="M26" s="4">
        <v>2680</v>
      </c>
      <c r="N26" s="4">
        <v>2572</v>
      </c>
      <c r="O26" s="4">
        <v>2406</v>
      </c>
      <c r="P26" s="4">
        <v>3290</v>
      </c>
      <c r="Q26" s="89">
        <f>(P26-G26)/G26</f>
        <v>1.4049707602339181</v>
      </c>
      <c r="R26" s="96">
        <f>(P26-L26)/L26</f>
        <v>0.39170896785109982</v>
      </c>
      <c r="S26" s="96">
        <f>(P26-O26)/O26</f>
        <v>0.36741479634247715</v>
      </c>
      <c r="T26" s="98">
        <f>P26/P$9</f>
        <v>1.4698326892577121E-2</v>
      </c>
    </row>
    <row r="27" spans="1:21" x14ac:dyDescent="0.2">
      <c r="A27" s="30" t="s">
        <v>212</v>
      </c>
      <c r="B27" s="30">
        <v>44343</v>
      </c>
      <c r="C27" s="30">
        <v>47418</v>
      </c>
      <c r="D27" s="30">
        <v>53411</v>
      </c>
      <c r="E27" s="30">
        <v>52981</v>
      </c>
      <c r="F27" s="30">
        <v>53580</v>
      </c>
      <c r="G27" s="4">
        <v>59140</v>
      </c>
      <c r="H27" s="4">
        <v>66828</v>
      </c>
      <c r="I27" s="4">
        <v>72144</v>
      </c>
      <c r="J27" s="4">
        <v>73251</v>
      </c>
      <c r="K27" s="4">
        <v>72843</v>
      </c>
      <c r="L27" s="4">
        <v>76446</v>
      </c>
      <c r="M27" s="4">
        <v>76033</v>
      </c>
      <c r="N27" s="4">
        <v>76881</v>
      </c>
      <c r="O27" s="4">
        <v>59057</v>
      </c>
      <c r="P27" s="4">
        <v>91660</v>
      </c>
      <c r="Q27" s="89">
        <f>(P27-G27)/G27</f>
        <v>0.549881636794048</v>
      </c>
      <c r="R27" s="96">
        <f>(P27-L27)/L27</f>
        <v>0.19901629908693719</v>
      </c>
      <c r="S27" s="96">
        <f>(P27-O27)/O27</f>
        <v>0.55205987435867043</v>
      </c>
      <c r="T27" s="98">
        <f>P27/P$9</f>
        <v>0.40949806777313646</v>
      </c>
    </row>
    <row r="28" spans="1:21" x14ac:dyDescent="0.2">
      <c r="A28" s="5" t="s">
        <v>4</v>
      </c>
      <c r="B28" s="5">
        <v>84800</v>
      </c>
      <c r="C28" s="5">
        <v>96406</v>
      </c>
      <c r="D28" s="5">
        <v>105514</v>
      </c>
      <c r="E28" s="5">
        <v>101649</v>
      </c>
      <c r="F28" s="5">
        <v>117839</v>
      </c>
      <c r="G28" s="5">
        <v>135145</v>
      </c>
      <c r="H28" s="5">
        <v>156236</v>
      </c>
      <c r="I28" s="5">
        <v>170654</v>
      </c>
      <c r="J28" s="5">
        <v>187766</v>
      </c>
      <c r="K28" s="5">
        <v>195964</v>
      </c>
      <c r="L28" s="5">
        <v>204367</v>
      </c>
      <c r="M28" s="5">
        <v>207962</v>
      </c>
      <c r="N28" s="5">
        <v>199863</v>
      </c>
      <c r="O28" s="5">
        <v>159147</v>
      </c>
      <c r="P28" s="5">
        <v>223835</v>
      </c>
      <c r="Q28" s="73">
        <f>(P28-G28)/G28</f>
        <v>0.65625809315919936</v>
      </c>
      <c r="R28" s="97">
        <f>(P28-L28)/L28</f>
        <v>9.5259997944873678E-2</v>
      </c>
      <c r="S28" s="97">
        <f>(P28-O28)/O28</f>
        <v>0.40646697707151253</v>
      </c>
      <c r="T28" s="99">
        <f>P28/P$9</f>
        <v>1</v>
      </c>
    </row>
    <row r="29" spans="1:21" x14ac:dyDescent="0.2">
      <c r="A29" s="67"/>
      <c r="B29" s="67"/>
      <c r="C29" s="67"/>
      <c r="D29" s="67"/>
      <c r="E29" s="67"/>
      <c r="F29" s="67"/>
      <c r="G29" s="34"/>
      <c r="H29" s="34"/>
      <c r="I29" s="34"/>
      <c r="J29" s="110"/>
      <c r="K29" s="110"/>
      <c r="L29" s="34"/>
      <c r="M29" s="34"/>
      <c r="N29" s="34"/>
      <c r="O29" s="34"/>
      <c r="P29" s="34"/>
      <c r="Q29" s="34"/>
      <c r="R29" s="34"/>
      <c r="S29" s="34"/>
      <c r="T29" s="34"/>
    </row>
    <row r="30" spans="1:21" ht="15.75" x14ac:dyDescent="0.2">
      <c r="A30" s="35" t="s">
        <v>306</v>
      </c>
      <c r="B30" s="35"/>
      <c r="C30" s="35"/>
      <c r="D30" s="35"/>
      <c r="E30" s="35"/>
      <c r="F30" s="35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1" spans="1:21" ht="25.5" x14ac:dyDescent="0.2">
      <c r="A31" s="78" t="s">
        <v>36</v>
      </c>
      <c r="B31" s="3">
        <v>2007</v>
      </c>
      <c r="C31" s="3">
        <v>2008</v>
      </c>
      <c r="D31" s="3">
        <v>2009</v>
      </c>
      <c r="E31" s="3">
        <v>2010</v>
      </c>
      <c r="F31" s="3">
        <v>2011</v>
      </c>
      <c r="G31" s="3">
        <v>2012</v>
      </c>
      <c r="H31" s="3">
        <v>2013</v>
      </c>
      <c r="I31" s="3">
        <v>2014</v>
      </c>
      <c r="J31" s="3">
        <v>2015</v>
      </c>
      <c r="K31" s="3">
        <v>2016</v>
      </c>
      <c r="L31" s="3">
        <v>2017</v>
      </c>
      <c r="M31" s="3">
        <v>2018</v>
      </c>
      <c r="N31" s="3">
        <v>2019</v>
      </c>
      <c r="O31" s="3">
        <v>2020</v>
      </c>
      <c r="P31" s="3">
        <v>2021</v>
      </c>
      <c r="Q31" s="12" t="s">
        <v>370</v>
      </c>
      <c r="R31" s="12" t="s">
        <v>371</v>
      </c>
      <c r="S31" s="12" t="s">
        <v>372</v>
      </c>
      <c r="T31" s="12" t="s">
        <v>373</v>
      </c>
    </row>
    <row r="32" spans="1:21" x14ac:dyDescent="0.2">
      <c r="A32" s="30" t="s">
        <v>301</v>
      </c>
      <c r="B32" s="4">
        <f>B24+B25</f>
        <v>38998</v>
      </c>
      <c r="C32" s="4">
        <f t="shared" ref="C32:P32" si="4">C24+C25</f>
        <v>47915</v>
      </c>
      <c r="D32" s="4">
        <f t="shared" si="4"/>
        <v>50904</v>
      </c>
      <c r="E32" s="4">
        <f t="shared" si="4"/>
        <v>47298</v>
      </c>
      <c r="F32" s="4">
        <f t="shared" si="4"/>
        <v>62974</v>
      </c>
      <c r="G32" s="4">
        <f t="shared" si="4"/>
        <v>74637</v>
      </c>
      <c r="H32" s="4">
        <f t="shared" si="4"/>
        <v>88018</v>
      </c>
      <c r="I32" s="4">
        <f t="shared" si="4"/>
        <v>97079</v>
      </c>
      <c r="J32" s="4">
        <f t="shared" si="4"/>
        <v>112985</v>
      </c>
      <c r="K32" s="4">
        <f t="shared" si="4"/>
        <v>121256</v>
      </c>
      <c r="L32" s="4">
        <f t="shared" si="4"/>
        <v>125557</v>
      </c>
      <c r="M32" s="4">
        <f t="shared" si="4"/>
        <v>129249</v>
      </c>
      <c r="N32" s="4">
        <f t="shared" si="4"/>
        <v>120410</v>
      </c>
      <c r="O32" s="4">
        <f t="shared" si="4"/>
        <v>97684</v>
      </c>
      <c r="P32" s="4">
        <f t="shared" si="4"/>
        <v>128885</v>
      </c>
      <c r="Q32" s="89">
        <f>(P32-G32)/G32</f>
        <v>0.72682449723327569</v>
      </c>
      <c r="R32" s="96">
        <f>(P32-L32)/L32</f>
        <v>2.6505889755250603E-2</v>
      </c>
      <c r="S32" s="96">
        <f>(P32-O32)/O32</f>
        <v>0.31940747717128698</v>
      </c>
      <c r="T32" s="98">
        <f>P32/P$9</f>
        <v>0.57580360533428643</v>
      </c>
    </row>
    <row r="33" spans="1:20" x14ac:dyDescent="0.2">
      <c r="A33" s="4" t="s">
        <v>47</v>
      </c>
      <c r="B33" s="4">
        <f>B26+B27</f>
        <v>45802</v>
      </c>
      <c r="C33" s="4">
        <f t="shared" ref="C33:P33" si="5">C26+C27</f>
        <v>48491</v>
      </c>
      <c r="D33" s="4">
        <f t="shared" si="5"/>
        <v>54610</v>
      </c>
      <c r="E33" s="4">
        <f t="shared" si="5"/>
        <v>54351</v>
      </c>
      <c r="F33" s="4">
        <f t="shared" si="5"/>
        <v>54865</v>
      </c>
      <c r="G33" s="4">
        <f t="shared" si="5"/>
        <v>60508</v>
      </c>
      <c r="H33" s="4">
        <f t="shared" si="5"/>
        <v>68218</v>
      </c>
      <c r="I33" s="4">
        <f t="shared" si="5"/>
        <v>73575</v>
      </c>
      <c r="J33" s="4">
        <f t="shared" si="5"/>
        <v>74781</v>
      </c>
      <c r="K33" s="4">
        <f t="shared" si="5"/>
        <v>74708</v>
      </c>
      <c r="L33" s="4">
        <f t="shared" si="5"/>
        <v>78810</v>
      </c>
      <c r="M33" s="4">
        <f t="shared" si="5"/>
        <v>78713</v>
      </c>
      <c r="N33" s="4">
        <f t="shared" si="5"/>
        <v>79453</v>
      </c>
      <c r="O33" s="4">
        <f t="shared" si="5"/>
        <v>61463</v>
      </c>
      <c r="P33" s="4">
        <f t="shared" si="5"/>
        <v>94950</v>
      </c>
      <c r="Q33" s="89">
        <f>(P33-G33)/G33</f>
        <v>0.56921398823296088</v>
      </c>
      <c r="R33" s="96">
        <f>(P33-L33)/L33</f>
        <v>0.20479634564141608</v>
      </c>
      <c r="S33" s="96">
        <f>(P33-O33)/O33</f>
        <v>0.54483185005613133</v>
      </c>
      <c r="T33" s="98">
        <f>P33/P$9</f>
        <v>0.42419639466571357</v>
      </c>
    </row>
    <row r="34" spans="1:20" x14ac:dyDescent="0.2">
      <c r="A34" s="5" t="s">
        <v>4</v>
      </c>
      <c r="B34" s="5">
        <f>SUM(B32:B33)</f>
        <v>84800</v>
      </c>
      <c r="C34" s="5">
        <f t="shared" ref="C34:P34" si="6">SUM(C32:C33)</f>
        <v>96406</v>
      </c>
      <c r="D34" s="5">
        <f t="shared" si="6"/>
        <v>105514</v>
      </c>
      <c r="E34" s="5">
        <f t="shared" si="6"/>
        <v>101649</v>
      </c>
      <c r="F34" s="5">
        <f t="shared" si="6"/>
        <v>117839</v>
      </c>
      <c r="G34" s="5">
        <f t="shared" si="6"/>
        <v>135145</v>
      </c>
      <c r="H34" s="5">
        <f t="shared" si="6"/>
        <v>156236</v>
      </c>
      <c r="I34" s="5">
        <f t="shared" si="6"/>
        <v>170654</v>
      </c>
      <c r="J34" s="5">
        <f t="shared" si="6"/>
        <v>187766</v>
      </c>
      <c r="K34" s="5">
        <f t="shared" si="6"/>
        <v>195964</v>
      </c>
      <c r="L34" s="5">
        <f t="shared" si="6"/>
        <v>204367</v>
      </c>
      <c r="M34" s="5">
        <f t="shared" si="6"/>
        <v>207962</v>
      </c>
      <c r="N34" s="5">
        <f t="shared" si="6"/>
        <v>199863</v>
      </c>
      <c r="O34" s="5">
        <f t="shared" si="6"/>
        <v>159147</v>
      </c>
      <c r="P34" s="5">
        <f t="shared" si="6"/>
        <v>223835</v>
      </c>
      <c r="Q34" s="73">
        <f>(P34-G34)/G34</f>
        <v>0.65625809315919936</v>
      </c>
      <c r="R34" s="97">
        <f>(P34-L34)/L34</f>
        <v>9.5259997944873678E-2</v>
      </c>
      <c r="S34" s="97">
        <f>(P34-O34)/O34</f>
        <v>0.40646697707151253</v>
      </c>
      <c r="T34" s="99">
        <f>P34/P$9</f>
        <v>1</v>
      </c>
    </row>
    <row r="35" spans="1:20" x14ac:dyDescent="0.2">
      <c r="A35" s="66" t="s">
        <v>282</v>
      </c>
      <c r="B35" s="66"/>
      <c r="C35" s="66"/>
      <c r="D35" s="66"/>
      <c r="E35" s="66"/>
      <c r="F35" s="66"/>
      <c r="G35" s="34"/>
      <c r="H35" s="34"/>
      <c r="I35" s="34"/>
      <c r="J35" s="110"/>
      <c r="K35" s="110"/>
      <c r="L35" s="110"/>
      <c r="M35" s="110"/>
      <c r="N35" s="110"/>
      <c r="O35" s="110"/>
      <c r="P35" s="110"/>
      <c r="Q35" s="109"/>
      <c r="R35" s="34"/>
      <c r="S35" s="34"/>
      <c r="T35" s="34"/>
    </row>
    <row r="36" spans="1:20" x14ac:dyDescent="0.2">
      <c r="A36" s="66" t="s">
        <v>240</v>
      </c>
      <c r="B36" s="66"/>
      <c r="C36" s="66"/>
      <c r="D36" s="66"/>
      <c r="E36" s="66"/>
      <c r="F36" s="66"/>
      <c r="G36" s="34"/>
      <c r="H36" s="34"/>
      <c r="I36" s="34"/>
      <c r="J36" s="110"/>
      <c r="K36" s="110"/>
      <c r="L36" s="110"/>
      <c r="M36" s="110"/>
      <c r="N36" s="110"/>
      <c r="O36" s="110"/>
      <c r="P36" s="110"/>
      <c r="Q36" s="109"/>
      <c r="R36" s="34"/>
      <c r="S36" s="34"/>
      <c r="T36" s="34"/>
    </row>
    <row r="37" spans="1:20" x14ac:dyDescent="0.2">
      <c r="A37" s="67"/>
      <c r="B37" s="67"/>
      <c r="C37" s="67"/>
      <c r="D37" s="67"/>
      <c r="E37" s="67"/>
      <c r="F37" s="67"/>
      <c r="G37" s="34"/>
      <c r="H37" s="34"/>
      <c r="I37" s="34"/>
      <c r="J37" s="110"/>
      <c r="K37" s="110"/>
      <c r="L37" s="110"/>
      <c r="M37" s="110"/>
      <c r="N37" s="110"/>
      <c r="O37" s="110"/>
      <c r="P37" s="110"/>
      <c r="Q37" s="34"/>
      <c r="R37" s="34"/>
      <c r="S37" s="34"/>
      <c r="T37" s="34"/>
    </row>
    <row r="38" spans="1:20" ht="15.75" x14ac:dyDescent="0.2">
      <c r="A38" s="35" t="s">
        <v>307</v>
      </c>
      <c r="B38" s="35"/>
      <c r="C38" s="35"/>
      <c r="D38" s="35"/>
      <c r="E38" s="35"/>
      <c r="F38" s="35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</row>
    <row r="39" spans="1:20" ht="25.5" x14ac:dyDescent="0.2">
      <c r="A39" s="78" t="s">
        <v>48</v>
      </c>
      <c r="B39" s="3">
        <v>2007</v>
      </c>
      <c r="C39" s="3">
        <v>2008</v>
      </c>
      <c r="D39" s="3">
        <v>2009</v>
      </c>
      <c r="E39" s="3">
        <v>2010</v>
      </c>
      <c r="F39" s="3">
        <v>2011</v>
      </c>
      <c r="G39" s="3">
        <v>2012</v>
      </c>
      <c r="H39" s="3">
        <v>2013</v>
      </c>
      <c r="I39" s="3">
        <v>2014</v>
      </c>
      <c r="J39" s="3">
        <v>2015</v>
      </c>
      <c r="K39" s="3">
        <v>2016</v>
      </c>
      <c r="L39" s="3">
        <v>2017</v>
      </c>
      <c r="M39" s="3">
        <v>2018</v>
      </c>
      <c r="N39" s="3">
        <v>2019</v>
      </c>
      <c r="O39" s="3">
        <v>2020</v>
      </c>
      <c r="P39" s="3">
        <v>2021</v>
      </c>
      <c r="Q39" s="12" t="s">
        <v>370</v>
      </c>
      <c r="R39" s="12" t="s">
        <v>371</v>
      </c>
      <c r="S39" s="12" t="s">
        <v>372</v>
      </c>
      <c r="T39" s="12" t="s">
        <v>373</v>
      </c>
    </row>
    <row r="40" spans="1:20" s="11" customFormat="1" x14ac:dyDescent="0.2">
      <c r="A40" s="5" t="s">
        <v>5</v>
      </c>
      <c r="B40" s="5">
        <v>12658</v>
      </c>
      <c r="C40" s="5">
        <v>19204</v>
      </c>
      <c r="D40" s="5">
        <v>16547</v>
      </c>
      <c r="E40" s="5">
        <v>14044</v>
      </c>
      <c r="F40" s="5">
        <v>22313</v>
      </c>
      <c r="G40" s="21">
        <v>25493</v>
      </c>
      <c r="H40" s="21">
        <v>28183</v>
      </c>
      <c r="I40" s="21">
        <v>27675</v>
      </c>
      <c r="J40" s="21">
        <v>30556</v>
      </c>
      <c r="K40" s="21">
        <v>33777</v>
      </c>
      <c r="L40" s="21">
        <v>32655</v>
      </c>
      <c r="M40" s="21">
        <v>35128</v>
      </c>
      <c r="N40" s="21">
        <v>33444</v>
      </c>
      <c r="O40" s="21">
        <v>23477</v>
      </c>
      <c r="P40" s="21">
        <v>35400</v>
      </c>
      <c r="Q40" s="73">
        <f t="shared" ref="Q40:Q50" si="7">(P40-G40)/G40</f>
        <v>0.38861648295610562</v>
      </c>
      <c r="R40" s="97">
        <f t="shared" ref="R40:R50" si="8">(P40-L40)/L40</f>
        <v>8.4060633899862194E-2</v>
      </c>
      <c r="S40" s="97">
        <f t="shared" ref="S40:S50" si="9">(P40-O40)/O40</f>
        <v>0.50785875537760361</v>
      </c>
      <c r="T40" s="99">
        <f t="shared" ref="T40:T50" si="10">P40/P$9</f>
        <v>0.1581522103335046</v>
      </c>
    </row>
    <row r="41" spans="1:20" x14ac:dyDescent="0.2">
      <c r="A41" s="75" t="s">
        <v>37</v>
      </c>
      <c r="B41" s="75">
        <v>12658</v>
      </c>
      <c r="C41" s="75">
        <v>19204</v>
      </c>
      <c r="D41" s="75">
        <v>16547</v>
      </c>
      <c r="E41" s="75">
        <v>14044</v>
      </c>
      <c r="F41" s="75">
        <v>22313</v>
      </c>
      <c r="G41" s="4">
        <v>25493</v>
      </c>
      <c r="H41" s="4">
        <v>28183</v>
      </c>
      <c r="I41" s="4">
        <v>27675</v>
      </c>
      <c r="J41" s="4">
        <v>30556</v>
      </c>
      <c r="K41" s="4">
        <v>33777</v>
      </c>
      <c r="L41" s="4">
        <v>32655</v>
      </c>
      <c r="M41" s="4">
        <v>35128</v>
      </c>
      <c r="N41" s="4">
        <v>33444</v>
      </c>
      <c r="O41" s="4">
        <v>23477</v>
      </c>
      <c r="P41" s="4">
        <v>35400</v>
      </c>
      <c r="Q41" s="89">
        <f t="shared" si="7"/>
        <v>0.38861648295610562</v>
      </c>
      <c r="R41" s="96">
        <f t="shared" si="8"/>
        <v>8.4060633899862194E-2</v>
      </c>
      <c r="S41" s="96">
        <f t="shared" si="9"/>
        <v>0.50785875537760361</v>
      </c>
      <c r="T41" s="98">
        <f t="shared" si="10"/>
        <v>0.1581522103335046</v>
      </c>
    </row>
    <row r="42" spans="1:20" s="11" customFormat="1" x14ac:dyDescent="0.2">
      <c r="A42" s="5" t="s">
        <v>6</v>
      </c>
      <c r="B42" s="5">
        <v>17186</v>
      </c>
      <c r="C42" s="5">
        <v>18675</v>
      </c>
      <c r="D42" s="5">
        <v>23637</v>
      </c>
      <c r="E42" s="5">
        <v>23669</v>
      </c>
      <c r="F42" s="5">
        <v>30689</v>
      </c>
      <c r="G42" s="21">
        <v>37944</v>
      </c>
      <c r="H42" s="21">
        <v>47073</v>
      </c>
      <c r="I42" s="21">
        <v>55825</v>
      </c>
      <c r="J42" s="21">
        <v>67309</v>
      </c>
      <c r="K42" s="21">
        <v>72821</v>
      </c>
      <c r="L42" s="21">
        <v>78139</v>
      </c>
      <c r="M42" s="21">
        <v>79092</v>
      </c>
      <c r="N42" s="21">
        <v>74140</v>
      </c>
      <c r="O42" s="21">
        <v>63146</v>
      </c>
      <c r="P42" s="21">
        <v>80875</v>
      </c>
      <c r="Q42" s="73">
        <f t="shared" si="7"/>
        <v>1.1314305292009277</v>
      </c>
      <c r="R42" s="97">
        <f t="shared" si="8"/>
        <v>3.501452539704885E-2</v>
      </c>
      <c r="S42" s="97">
        <f t="shared" si="9"/>
        <v>0.28076204351819595</v>
      </c>
      <c r="T42" s="99">
        <f t="shared" si="10"/>
        <v>0.36131525454017466</v>
      </c>
    </row>
    <row r="43" spans="1:20" x14ac:dyDescent="0.2">
      <c r="A43" s="75" t="s">
        <v>37</v>
      </c>
      <c r="B43" s="75">
        <v>6883</v>
      </c>
      <c r="C43" s="75">
        <v>9183</v>
      </c>
      <c r="D43" s="75">
        <v>12112</v>
      </c>
      <c r="E43" s="75">
        <v>12506</v>
      </c>
      <c r="F43" s="75">
        <v>16761</v>
      </c>
      <c r="G43" s="16">
        <v>20967</v>
      </c>
      <c r="H43" s="16">
        <v>24887</v>
      </c>
      <c r="I43" s="16">
        <v>30434</v>
      </c>
      <c r="J43" s="16">
        <v>37485</v>
      </c>
      <c r="K43" s="16">
        <v>40746</v>
      </c>
      <c r="L43" s="16">
        <v>43220</v>
      </c>
      <c r="M43" s="16">
        <v>43082</v>
      </c>
      <c r="N43" s="16">
        <v>40976</v>
      </c>
      <c r="O43" s="16">
        <v>34556</v>
      </c>
      <c r="P43" s="16">
        <v>43167</v>
      </c>
      <c r="Q43" s="89">
        <f t="shared" si="7"/>
        <v>1.0588066962369438</v>
      </c>
      <c r="R43" s="96">
        <f t="shared" si="8"/>
        <v>-1.2262841277186488E-3</v>
      </c>
      <c r="S43" s="96">
        <f t="shared" si="9"/>
        <v>0.2491897210325269</v>
      </c>
      <c r="T43" s="98">
        <f t="shared" si="10"/>
        <v>0.19285187749905064</v>
      </c>
    </row>
    <row r="44" spans="1:20" x14ac:dyDescent="0.2">
      <c r="A44" s="75" t="s">
        <v>38</v>
      </c>
      <c r="B44" s="75">
        <v>10303</v>
      </c>
      <c r="C44" s="75">
        <v>9492</v>
      </c>
      <c r="D44" s="75">
        <v>11525</v>
      </c>
      <c r="E44" s="75">
        <v>11163</v>
      </c>
      <c r="F44" s="75">
        <v>13928</v>
      </c>
      <c r="G44" s="16">
        <v>16977</v>
      </c>
      <c r="H44" s="16">
        <v>22186</v>
      </c>
      <c r="I44" s="16">
        <v>25391</v>
      </c>
      <c r="J44" s="16">
        <v>29824</v>
      </c>
      <c r="K44" s="16">
        <v>32075</v>
      </c>
      <c r="L44" s="16">
        <v>34919</v>
      </c>
      <c r="M44" s="16">
        <v>36010</v>
      </c>
      <c r="N44" s="16">
        <v>33164</v>
      </c>
      <c r="O44" s="16">
        <v>28590</v>
      </c>
      <c r="P44" s="16">
        <v>37708</v>
      </c>
      <c r="Q44" s="89">
        <f t="shared" si="7"/>
        <v>1.2211226954114389</v>
      </c>
      <c r="R44" s="96">
        <f t="shared" si="8"/>
        <v>7.98705575761047E-2</v>
      </c>
      <c r="S44" s="96">
        <f t="shared" si="9"/>
        <v>0.31892270024484087</v>
      </c>
      <c r="T44" s="98">
        <f t="shared" si="10"/>
        <v>0.16846337704112405</v>
      </c>
    </row>
    <row r="45" spans="1:20" s="11" customFormat="1" x14ac:dyDescent="0.2">
      <c r="A45" s="5" t="s">
        <v>7</v>
      </c>
      <c r="B45" s="5">
        <v>54956</v>
      </c>
      <c r="C45" s="5">
        <v>58527</v>
      </c>
      <c r="D45" s="5">
        <v>65330</v>
      </c>
      <c r="E45" s="5">
        <v>63936</v>
      </c>
      <c r="F45" s="5">
        <v>64837</v>
      </c>
      <c r="G45" s="21">
        <v>71708</v>
      </c>
      <c r="H45" s="21">
        <v>80980</v>
      </c>
      <c r="I45" s="21">
        <v>87154</v>
      </c>
      <c r="J45" s="21">
        <v>89901</v>
      </c>
      <c r="K45" s="21">
        <v>89366</v>
      </c>
      <c r="L45" s="21">
        <v>93573</v>
      </c>
      <c r="M45" s="21">
        <v>93742</v>
      </c>
      <c r="N45" s="21">
        <v>92279</v>
      </c>
      <c r="O45" s="21">
        <v>72524</v>
      </c>
      <c r="P45" s="21">
        <v>107564</v>
      </c>
      <c r="Q45" s="73">
        <f t="shared" si="7"/>
        <v>0.5000278908908351</v>
      </c>
      <c r="R45" s="97">
        <f t="shared" si="8"/>
        <v>0.1495196263879538</v>
      </c>
      <c r="S45" s="97">
        <f t="shared" si="9"/>
        <v>0.4831504053830456</v>
      </c>
      <c r="T45" s="99">
        <f t="shared" si="10"/>
        <v>0.4805504054325731</v>
      </c>
    </row>
    <row r="46" spans="1:20" x14ac:dyDescent="0.2">
      <c r="A46" s="75" t="s">
        <v>37</v>
      </c>
      <c r="B46" s="75">
        <v>2782</v>
      </c>
      <c r="C46" s="75">
        <v>3322</v>
      </c>
      <c r="D46" s="75">
        <v>4286</v>
      </c>
      <c r="E46" s="75">
        <v>3968</v>
      </c>
      <c r="F46" s="75">
        <v>3680</v>
      </c>
      <c r="G46" s="16">
        <v>4470</v>
      </c>
      <c r="H46" s="16">
        <v>5253</v>
      </c>
      <c r="I46" s="16">
        <v>5449</v>
      </c>
      <c r="J46" s="16">
        <v>6339</v>
      </c>
      <c r="K46" s="16">
        <v>6945</v>
      </c>
      <c r="L46" s="16">
        <v>6958</v>
      </c>
      <c r="M46" s="16">
        <v>7129</v>
      </c>
      <c r="N46" s="16">
        <v>6574</v>
      </c>
      <c r="O46" s="16">
        <v>5570</v>
      </c>
      <c r="P46" s="16">
        <v>6510</v>
      </c>
      <c r="Q46" s="89">
        <f t="shared" si="7"/>
        <v>0.4563758389261745</v>
      </c>
      <c r="R46" s="96">
        <f t="shared" si="8"/>
        <v>-6.4386317907444673E-2</v>
      </c>
      <c r="S46" s="96">
        <f t="shared" si="9"/>
        <v>0.16876122082585279</v>
      </c>
      <c r="T46" s="98">
        <f t="shared" si="10"/>
        <v>2.908392342573771E-2</v>
      </c>
    </row>
    <row r="47" spans="1:20" x14ac:dyDescent="0.2">
      <c r="A47" s="75" t="s">
        <v>38</v>
      </c>
      <c r="B47" s="75">
        <v>6372</v>
      </c>
      <c r="C47" s="75">
        <v>6714</v>
      </c>
      <c r="D47" s="75">
        <v>6434</v>
      </c>
      <c r="E47" s="75">
        <v>5617</v>
      </c>
      <c r="F47" s="75">
        <v>6292</v>
      </c>
      <c r="G47" s="16">
        <v>6730</v>
      </c>
      <c r="H47" s="16">
        <v>7509</v>
      </c>
      <c r="I47" s="16">
        <v>8130</v>
      </c>
      <c r="J47" s="16">
        <v>8781</v>
      </c>
      <c r="K47" s="16">
        <v>7713</v>
      </c>
      <c r="L47" s="16">
        <v>7805</v>
      </c>
      <c r="M47" s="16">
        <v>7900</v>
      </c>
      <c r="N47" s="16">
        <v>6252</v>
      </c>
      <c r="O47" s="16">
        <v>5491</v>
      </c>
      <c r="P47" s="16">
        <v>6100</v>
      </c>
      <c r="Q47" s="89">
        <f t="shared" si="7"/>
        <v>-9.3610698365527489E-2</v>
      </c>
      <c r="R47" s="96">
        <f t="shared" si="8"/>
        <v>-0.21844971172325434</v>
      </c>
      <c r="S47" s="96">
        <f t="shared" si="9"/>
        <v>0.11090875978874522</v>
      </c>
      <c r="T47" s="98">
        <f t="shared" si="10"/>
        <v>2.7252217034869436E-2</v>
      </c>
    </row>
    <row r="48" spans="1:20" x14ac:dyDescent="0.2">
      <c r="A48" s="75" t="s">
        <v>39</v>
      </c>
      <c r="B48" s="75">
        <v>1459</v>
      </c>
      <c r="C48" s="75">
        <v>1073</v>
      </c>
      <c r="D48" s="75">
        <v>1199</v>
      </c>
      <c r="E48" s="75">
        <v>1370</v>
      </c>
      <c r="F48" s="75">
        <v>1285</v>
      </c>
      <c r="G48" s="16">
        <v>1368</v>
      </c>
      <c r="H48" s="16">
        <v>1390</v>
      </c>
      <c r="I48" s="16">
        <v>1431</v>
      </c>
      <c r="J48" s="16">
        <v>1530</v>
      </c>
      <c r="K48" s="16">
        <v>1865</v>
      </c>
      <c r="L48" s="16">
        <v>2364</v>
      </c>
      <c r="M48" s="16">
        <v>2680</v>
      </c>
      <c r="N48" s="16">
        <v>2572</v>
      </c>
      <c r="O48" s="16">
        <v>2406</v>
      </c>
      <c r="P48" s="16">
        <v>3290</v>
      </c>
      <c r="Q48" s="89">
        <f t="shared" si="7"/>
        <v>1.4049707602339181</v>
      </c>
      <c r="R48" s="96">
        <f t="shared" si="8"/>
        <v>0.39170896785109982</v>
      </c>
      <c r="S48" s="96">
        <f t="shared" si="9"/>
        <v>0.36741479634247715</v>
      </c>
      <c r="T48" s="98">
        <f t="shared" si="10"/>
        <v>1.4698326892577121E-2</v>
      </c>
    </row>
    <row r="49" spans="1:20" x14ac:dyDescent="0.2">
      <c r="A49" s="75" t="s">
        <v>40</v>
      </c>
      <c r="B49" s="75">
        <v>44343</v>
      </c>
      <c r="C49" s="75">
        <v>47418</v>
      </c>
      <c r="D49" s="75">
        <v>53411</v>
      </c>
      <c r="E49" s="75">
        <v>52981</v>
      </c>
      <c r="F49" s="75">
        <v>53580</v>
      </c>
      <c r="G49" s="16">
        <v>59140</v>
      </c>
      <c r="H49" s="16">
        <v>66828</v>
      </c>
      <c r="I49" s="16">
        <v>72144</v>
      </c>
      <c r="J49" s="16">
        <v>73251</v>
      </c>
      <c r="K49" s="16">
        <v>72843</v>
      </c>
      <c r="L49" s="16">
        <v>76446</v>
      </c>
      <c r="M49" s="16">
        <v>76033</v>
      </c>
      <c r="N49" s="16">
        <v>76881</v>
      </c>
      <c r="O49" s="16">
        <v>59057</v>
      </c>
      <c r="P49" s="16">
        <v>91660</v>
      </c>
      <c r="Q49" s="89">
        <f t="shared" si="7"/>
        <v>0.549881636794048</v>
      </c>
      <c r="R49" s="96">
        <f t="shared" si="8"/>
        <v>0.19901629908693719</v>
      </c>
      <c r="S49" s="96">
        <f t="shared" si="9"/>
        <v>0.55205987435867043</v>
      </c>
      <c r="T49" s="98">
        <f t="shared" si="10"/>
        <v>0.40949806777313646</v>
      </c>
    </row>
    <row r="50" spans="1:20" x14ac:dyDescent="0.2">
      <c r="A50" s="5" t="s">
        <v>4</v>
      </c>
      <c r="B50" s="5">
        <v>84800</v>
      </c>
      <c r="C50" s="5">
        <v>96406</v>
      </c>
      <c r="D50" s="5">
        <v>105514</v>
      </c>
      <c r="E50" s="5">
        <v>101649</v>
      </c>
      <c r="F50" s="5">
        <v>117839</v>
      </c>
      <c r="G50" s="5">
        <v>135145</v>
      </c>
      <c r="H50" s="5">
        <v>156236</v>
      </c>
      <c r="I50" s="5">
        <v>170654</v>
      </c>
      <c r="J50" s="5">
        <v>187766</v>
      </c>
      <c r="K50" s="5">
        <v>195964</v>
      </c>
      <c r="L50" s="5">
        <v>204367</v>
      </c>
      <c r="M50" s="5">
        <v>207962</v>
      </c>
      <c r="N50" s="5">
        <v>199863</v>
      </c>
      <c r="O50" s="5">
        <v>159147</v>
      </c>
      <c r="P50" s="5">
        <v>223835</v>
      </c>
      <c r="Q50" s="73">
        <f t="shared" si="7"/>
        <v>0.65625809315919936</v>
      </c>
      <c r="R50" s="97">
        <f t="shared" si="8"/>
        <v>9.5259997944873678E-2</v>
      </c>
      <c r="S50" s="97">
        <f t="shared" si="9"/>
        <v>0.40646697707151253</v>
      </c>
      <c r="T50" s="99">
        <f t="shared" si="10"/>
        <v>1</v>
      </c>
    </row>
    <row r="51" spans="1:20" x14ac:dyDescent="0.2">
      <c r="A51" s="67"/>
      <c r="B51" s="67"/>
      <c r="C51" s="67"/>
      <c r="D51" s="67"/>
      <c r="E51" s="67"/>
      <c r="F51" s="67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</row>
    <row r="52" spans="1:20" ht="15.75" x14ac:dyDescent="0.2">
      <c r="A52" s="35" t="s">
        <v>308</v>
      </c>
      <c r="B52" s="35"/>
      <c r="C52" s="35"/>
      <c r="D52" s="35"/>
      <c r="E52" s="35"/>
      <c r="F52" s="35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</row>
    <row r="53" spans="1:20" ht="25.5" x14ac:dyDescent="0.2">
      <c r="A53" s="78" t="s">
        <v>48</v>
      </c>
      <c r="B53" s="3">
        <v>2007</v>
      </c>
      <c r="C53" s="3">
        <v>2008</v>
      </c>
      <c r="D53" s="3">
        <v>2009</v>
      </c>
      <c r="E53" s="3">
        <v>2010</v>
      </c>
      <c r="F53" s="3">
        <v>2011</v>
      </c>
      <c r="G53" s="3">
        <v>2012</v>
      </c>
      <c r="H53" s="3">
        <v>2013</v>
      </c>
      <c r="I53" s="3">
        <v>2014</v>
      </c>
      <c r="J53" s="3">
        <v>2015</v>
      </c>
      <c r="K53" s="3">
        <v>2016</v>
      </c>
      <c r="L53" s="3">
        <v>2017</v>
      </c>
      <c r="M53" s="3">
        <v>2018</v>
      </c>
      <c r="N53" s="3">
        <v>2019</v>
      </c>
      <c r="O53" s="3">
        <v>2020</v>
      </c>
      <c r="P53" s="3">
        <v>2021</v>
      </c>
      <c r="Q53" s="12" t="s">
        <v>370</v>
      </c>
      <c r="R53" s="12" t="s">
        <v>371</v>
      </c>
      <c r="S53" s="12" t="s">
        <v>372</v>
      </c>
      <c r="T53" s="12" t="s">
        <v>373</v>
      </c>
    </row>
    <row r="54" spans="1:20" s="11" customFormat="1" x14ac:dyDescent="0.2">
      <c r="A54" s="5" t="s">
        <v>283</v>
      </c>
      <c r="B54" s="5">
        <v>12658</v>
      </c>
      <c r="C54" s="5">
        <v>19204</v>
      </c>
      <c r="D54" s="5">
        <v>16547</v>
      </c>
      <c r="E54" s="5">
        <v>14044</v>
      </c>
      <c r="F54" s="5">
        <v>22313</v>
      </c>
      <c r="G54" s="21">
        <v>25493</v>
      </c>
      <c r="H54" s="21">
        <v>28183</v>
      </c>
      <c r="I54" s="21">
        <v>27675</v>
      </c>
      <c r="J54" s="21">
        <v>30556</v>
      </c>
      <c r="K54" s="21">
        <v>33777</v>
      </c>
      <c r="L54" s="21">
        <v>32655</v>
      </c>
      <c r="M54" s="21">
        <v>35128</v>
      </c>
      <c r="N54" s="21">
        <v>33427</v>
      </c>
      <c r="O54" s="21">
        <v>23395</v>
      </c>
      <c r="P54" s="21">
        <v>34375</v>
      </c>
      <c r="Q54" s="73">
        <f t="shared" ref="Q54:Q76" si="11">(P54-G54)/G54</f>
        <v>0.34840936727729183</v>
      </c>
      <c r="R54" s="97">
        <f t="shared" ref="R54:R76" si="12">(P54-L54)/L54</f>
        <v>5.2671872607563924E-2</v>
      </c>
      <c r="S54" s="97">
        <f t="shared" ref="S54:S76" si="13">(P54-O54)/O54</f>
        <v>0.46933105364394101</v>
      </c>
      <c r="T54" s="99">
        <f t="shared" ref="T54:T76" si="14">P54/P$9</f>
        <v>0.1535729443563339</v>
      </c>
    </row>
    <row r="55" spans="1:20" x14ac:dyDescent="0.2">
      <c r="A55" s="75" t="s">
        <v>37</v>
      </c>
      <c r="B55" s="75">
        <v>12658</v>
      </c>
      <c r="C55" s="75">
        <v>19204</v>
      </c>
      <c r="D55" s="75">
        <v>16547</v>
      </c>
      <c r="E55" s="75">
        <v>14044</v>
      </c>
      <c r="F55" s="75">
        <v>22313</v>
      </c>
      <c r="G55" s="4">
        <v>25493</v>
      </c>
      <c r="H55" s="4">
        <v>28183</v>
      </c>
      <c r="I55" s="4">
        <v>27675</v>
      </c>
      <c r="J55" s="4">
        <v>30556</v>
      </c>
      <c r="K55" s="4">
        <v>33777</v>
      </c>
      <c r="L55" s="4">
        <v>32655</v>
      </c>
      <c r="M55" s="4">
        <v>35128</v>
      </c>
      <c r="N55" s="22">
        <v>33427</v>
      </c>
      <c r="O55" s="22">
        <v>23395</v>
      </c>
      <c r="P55" s="22">
        <v>34375</v>
      </c>
      <c r="Q55" s="89">
        <f>(P55-G55)/G55</f>
        <v>0.34840936727729183</v>
      </c>
      <c r="R55" s="96">
        <f t="shared" si="12"/>
        <v>5.2671872607563924E-2</v>
      </c>
      <c r="S55" s="96">
        <f t="shared" si="13"/>
        <v>0.46933105364394101</v>
      </c>
      <c r="T55" s="98">
        <f t="shared" si="14"/>
        <v>0.1535729443563339</v>
      </c>
    </row>
    <row r="56" spans="1:20" x14ac:dyDescent="0.2">
      <c r="A56" s="5" t="s">
        <v>284</v>
      </c>
      <c r="B56" s="75">
        <v>0</v>
      </c>
      <c r="C56" s="75">
        <v>0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22">
        <v>17</v>
      </c>
      <c r="O56" s="22">
        <v>82</v>
      </c>
      <c r="P56" s="22">
        <v>1025</v>
      </c>
      <c r="Q56" s="73" t="s">
        <v>24</v>
      </c>
      <c r="R56" s="73" t="s">
        <v>24</v>
      </c>
      <c r="S56" s="97">
        <f t="shared" si="13"/>
        <v>11.5</v>
      </c>
      <c r="T56" s="99">
        <f t="shared" si="14"/>
        <v>4.5792659771706837E-3</v>
      </c>
    </row>
    <row r="57" spans="1:20" x14ac:dyDescent="0.2">
      <c r="A57" s="75" t="s">
        <v>37</v>
      </c>
      <c r="B57" s="75">
        <v>0</v>
      </c>
      <c r="C57" s="75">
        <v>0</v>
      </c>
      <c r="D57" s="75">
        <v>0</v>
      </c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22">
        <v>17</v>
      </c>
      <c r="O57" s="22">
        <v>82</v>
      </c>
      <c r="P57" s="22">
        <v>1025</v>
      </c>
      <c r="Q57" s="89" t="s">
        <v>24</v>
      </c>
      <c r="R57" s="96" t="s">
        <v>24</v>
      </c>
      <c r="S57" s="96">
        <f t="shared" si="13"/>
        <v>11.5</v>
      </c>
      <c r="T57" s="98">
        <f t="shared" si="14"/>
        <v>4.5792659771706837E-3</v>
      </c>
    </row>
    <row r="58" spans="1:20" s="11" customFormat="1" x14ac:dyDescent="0.2">
      <c r="A58" s="5" t="s">
        <v>6</v>
      </c>
      <c r="B58" s="5">
        <v>17186</v>
      </c>
      <c r="C58" s="5">
        <v>18675</v>
      </c>
      <c r="D58" s="5">
        <v>23637</v>
      </c>
      <c r="E58" s="5">
        <v>23669</v>
      </c>
      <c r="F58" s="5">
        <v>30689</v>
      </c>
      <c r="G58" s="21">
        <v>37944</v>
      </c>
      <c r="H58" s="21">
        <v>47073</v>
      </c>
      <c r="I58" s="21">
        <v>55825</v>
      </c>
      <c r="J58" s="21">
        <v>67309</v>
      </c>
      <c r="K58" s="21">
        <v>72821</v>
      </c>
      <c r="L58" s="21">
        <v>78139</v>
      </c>
      <c r="M58" s="21">
        <v>79092</v>
      </c>
      <c r="N58" s="21">
        <v>74140</v>
      </c>
      <c r="O58" s="21">
        <v>63146</v>
      </c>
      <c r="P58" s="21">
        <v>80875</v>
      </c>
      <c r="Q58" s="73">
        <f t="shared" si="11"/>
        <v>1.1314305292009277</v>
      </c>
      <c r="R58" s="97">
        <f t="shared" si="12"/>
        <v>3.501452539704885E-2</v>
      </c>
      <c r="S58" s="97">
        <f t="shared" si="13"/>
        <v>0.28076204351819595</v>
      </c>
      <c r="T58" s="99">
        <f t="shared" si="14"/>
        <v>0.36131525454017466</v>
      </c>
    </row>
    <row r="59" spans="1:20" x14ac:dyDescent="0.2">
      <c r="A59" s="75" t="s">
        <v>37</v>
      </c>
      <c r="B59" s="75">
        <v>6883</v>
      </c>
      <c r="C59" s="75">
        <v>9183</v>
      </c>
      <c r="D59" s="75">
        <v>12112</v>
      </c>
      <c r="E59" s="75">
        <v>12506</v>
      </c>
      <c r="F59" s="75">
        <v>16761</v>
      </c>
      <c r="G59" s="16">
        <v>20967</v>
      </c>
      <c r="H59" s="16">
        <v>24887</v>
      </c>
      <c r="I59" s="16">
        <v>30434</v>
      </c>
      <c r="J59" s="16">
        <v>37485</v>
      </c>
      <c r="K59" s="16">
        <v>40746</v>
      </c>
      <c r="L59" s="16">
        <v>43220</v>
      </c>
      <c r="M59" s="16">
        <v>43082</v>
      </c>
      <c r="N59" s="16">
        <v>40976</v>
      </c>
      <c r="O59" s="16">
        <v>34556</v>
      </c>
      <c r="P59" s="16">
        <v>43167</v>
      </c>
      <c r="Q59" s="89">
        <f t="shared" si="11"/>
        <v>1.0588066962369438</v>
      </c>
      <c r="R59" s="96">
        <f t="shared" si="12"/>
        <v>-1.2262841277186488E-3</v>
      </c>
      <c r="S59" s="96">
        <f t="shared" si="13"/>
        <v>0.2491897210325269</v>
      </c>
      <c r="T59" s="98">
        <f t="shared" si="14"/>
        <v>0.19285187749905064</v>
      </c>
    </row>
    <row r="60" spans="1:20" x14ac:dyDescent="0.2">
      <c r="A60" s="75" t="s">
        <v>38</v>
      </c>
      <c r="B60" s="75">
        <v>10303</v>
      </c>
      <c r="C60" s="75">
        <v>9492</v>
      </c>
      <c r="D60" s="75">
        <v>11525</v>
      </c>
      <c r="E60" s="75">
        <v>11163</v>
      </c>
      <c r="F60" s="75">
        <v>13928</v>
      </c>
      <c r="G60" s="16">
        <v>16977</v>
      </c>
      <c r="H60" s="16">
        <v>22186</v>
      </c>
      <c r="I60" s="16">
        <v>25391</v>
      </c>
      <c r="J60" s="16">
        <v>29824</v>
      </c>
      <c r="K60" s="16">
        <v>32075</v>
      </c>
      <c r="L60" s="16">
        <v>34919</v>
      </c>
      <c r="M60" s="16">
        <v>36010</v>
      </c>
      <c r="N60" s="16">
        <v>33164</v>
      </c>
      <c r="O60" s="16">
        <v>28590</v>
      </c>
      <c r="P60" s="16">
        <v>37708</v>
      </c>
      <c r="Q60" s="89">
        <f t="shared" si="11"/>
        <v>1.2211226954114389</v>
      </c>
      <c r="R60" s="96">
        <f t="shared" si="12"/>
        <v>7.98705575761047E-2</v>
      </c>
      <c r="S60" s="96">
        <f t="shared" si="13"/>
        <v>0.31892270024484087</v>
      </c>
      <c r="T60" s="98">
        <f t="shared" si="14"/>
        <v>0.16846337704112405</v>
      </c>
    </row>
    <row r="61" spans="1:20" s="11" customFormat="1" x14ac:dyDescent="0.2">
      <c r="A61" s="5" t="s">
        <v>239</v>
      </c>
      <c r="B61" s="5">
        <v>20835</v>
      </c>
      <c r="C61" s="5">
        <v>20848</v>
      </c>
      <c r="D61" s="5">
        <v>23500</v>
      </c>
      <c r="E61" s="5">
        <v>23147</v>
      </c>
      <c r="F61" s="5">
        <v>21624</v>
      </c>
      <c r="G61" s="21">
        <v>21617</v>
      </c>
      <c r="H61" s="21">
        <v>21806</v>
      </c>
      <c r="I61" s="21">
        <v>22310</v>
      </c>
      <c r="J61" s="21">
        <v>23261</v>
      </c>
      <c r="K61" s="21">
        <v>22450</v>
      </c>
      <c r="L61" s="21">
        <v>24274</v>
      </c>
      <c r="M61" s="21">
        <v>23355</v>
      </c>
      <c r="N61" s="21">
        <v>23595</v>
      </c>
      <c r="O61" s="21">
        <v>19462</v>
      </c>
      <c r="P61" s="21">
        <v>26626</v>
      </c>
      <c r="Q61" s="73">
        <f t="shared" si="11"/>
        <v>0.23171577924781422</v>
      </c>
      <c r="R61" s="97">
        <f t="shared" si="12"/>
        <v>9.6893795830930218E-2</v>
      </c>
      <c r="S61" s="97">
        <f t="shared" si="13"/>
        <v>0.36810194224642895</v>
      </c>
      <c r="T61" s="99">
        <f t="shared" si="14"/>
        <v>0.11895369356892353</v>
      </c>
    </row>
    <row r="62" spans="1:20" x14ac:dyDescent="0.2">
      <c r="A62" s="75" t="s">
        <v>37</v>
      </c>
      <c r="B62" s="75">
        <v>1066</v>
      </c>
      <c r="C62" s="75">
        <v>922</v>
      </c>
      <c r="D62" s="75">
        <v>1301</v>
      </c>
      <c r="E62" s="75">
        <v>1489</v>
      </c>
      <c r="F62" s="75">
        <v>1273</v>
      </c>
      <c r="G62" s="16">
        <v>1050</v>
      </c>
      <c r="H62" s="16">
        <v>1176</v>
      </c>
      <c r="I62" s="16">
        <v>1677</v>
      </c>
      <c r="J62" s="16">
        <v>2311</v>
      </c>
      <c r="K62" s="16">
        <v>2736</v>
      </c>
      <c r="L62" s="16">
        <v>2902</v>
      </c>
      <c r="M62" s="16">
        <v>3244</v>
      </c>
      <c r="N62" s="16">
        <v>3074</v>
      </c>
      <c r="O62" s="16">
        <v>2722</v>
      </c>
      <c r="P62" s="16">
        <v>2799</v>
      </c>
      <c r="Q62" s="89">
        <f t="shared" si="11"/>
        <v>1.6657142857142857</v>
      </c>
      <c r="R62" s="96">
        <f t="shared" si="12"/>
        <v>-3.5492763611302547E-2</v>
      </c>
      <c r="S62" s="96">
        <f t="shared" si="13"/>
        <v>2.828802351212344E-2</v>
      </c>
      <c r="T62" s="98">
        <f t="shared" si="14"/>
        <v>1.2504746800098287E-2</v>
      </c>
    </row>
    <row r="63" spans="1:20" x14ac:dyDescent="0.2">
      <c r="A63" s="75" t="s">
        <v>38</v>
      </c>
      <c r="B63" s="75">
        <v>3013</v>
      </c>
      <c r="C63" s="75">
        <v>3409</v>
      </c>
      <c r="D63" s="75">
        <v>3397</v>
      </c>
      <c r="E63" s="75">
        <v>2561</v>
      </c>
      <c r="F63" s="75">
        <v>2705</v>
      </c>
      <c r="G63" s="16">
        <v>2206</v>
      </c>
      <c r="H63" s="16">
        <v>2309</v>
      </c>
      <c r="I63" s="16">
        <v>2389</v>
      </c>
      <c r="J63" s="16">
        <v>3133</v>
      </c>
      <c r="K63" s="16">
        <v>2451</v>
      </c>
      <c r="L63" s="16">
        <v>2567</v>
      </c>
      <c r="M63" s="16">
        <v>2626</v>
      </c>
      <c r="N63" s="16">
        <v>2116</v>
      </c>
      <c r="O63" s="16">
        <v>1935</v>
      </c>
      <c r="P63" s="16">
        <v>1959</v>
      </c>
      <c r="Q63" s="89">
        <f t="shared" si="11"/>
        <v>-0.11196736174070716</v>
      </c>
      <c r="R63" s="96">
        <f t="shared" si="12"/>
        <v>-0.23685235683677444</v>
      </c>
      <c r="S63" s="96">
        <f t="shared" si="13"/>
        <v>1.2403100775193798E-2</v>
      </c>
      <c r="T63" s="98">
        <f t="shared" si="14"/>
        <v>8.7519824870998728E-3</v>
      </c>
    </row>
    <row r="64" spans="1:20" x14ac:dyDescent="0.2">
      <c r="A64" s="75" t="s">
        <v>39</v>
      </c>
      <c r="B64" s="75">
        <v>449</v>
      </c>
      <c r="C64" s="75">
        <v>436</v>
      </c>
      <c r="D64" s="75">
        <v>428</v>
      </c>
      <c r="E64" s="75">
        <v>484</v>
      </c>
      <c r="F64" s="75">
        <v>397</v>
      </c>
      <c r="G64" s="16">
        <v>524</v>
      </c>
      <c r="H64" s="16">
        <v>379</v>
      </c>
      <c r="I64" s="16">
        <v>395</v>
      </c>
      <c r="J64" s="16">
        <v>335</v>
      </c>
      <c r="K64" s="16">
        <v>359</v>
      </c>
      <c r="L64" s="16">
        <v>426</v>
      </c>
      <c r="M64" s="16">
        <v>334</v>
      </c>
      <c r="N64" s="16">
        <v>523</v>
      </c>
      <c r="O64" s="16">
        <v>616</v>
      </c>
      <c r="P64" s="16">
        <v>556</v>
      </c>
      <c r="Q64" s="89">
        <f t="shared" si="11"/>
        <v>6.1068702290076333E-2</v>
      </c>
      <c r="R64" s="96">
        <f t="shared" si="12"/>
        <v>0.30516431924882631</v>
      </c>
      <c r="S64" s="96">
        <f t="shared" si="13"/>
        <v>-9.7402597402597407E-2</v>
      </c>
      <c r="T64" s="98">
        <f t="shared" si="14"/>
        <v>2.4839725690799026E-3</v>
      </c>
    </row>
    <row r="65" spans="1:20" x14ac:dyDescent="0.2">
      <c r="A65" s="75" t="s">
        <v>40</v>
      </c>
      <c r="B65" s="75">
        <v>16307</v>
      </c>
      <c r="C65" s="75">
        <v>16081</v>
      </c>
      <c r="D65" s="75">
        <v>18374</v>
      </c>
      <c r="E65" s="75">
        <v>18613</v>
      </c>
      <c r="F65" s="75">
        <v>17249</v>
      </c>
      <c r="G65" s="16">
        <v>17837</v>
      </c>
      <c r="H65" s="16">
        <v>17942</v>
      </c>
      <c r="I65" s="16">
        <v>17849</v>
      </c>
      <c r="J65" s="16">
        <v>17482</v>
      </c>
      <c r="K65" s="16">
        <v>16904</v>
      </c>
      <c r="L65" s="16">
        <v>18379</v>
      </c>
      <c r="M65" s="16">
        <v>17151</v>
      </c>
      <c r="N65" s="16">
        <v>17882</v>
      </c>
      <c r="O65" s="16">
        <v>14189</v>
      </c>
      <c r="P65" s="16">
        <v>21312</v>
      </c>
      <c r="Q65" s="89">
        <f t="shared" si="11"/>
        <v>0.1948197566855413</v>
      </c>
      <c r="R65" s="96">
        <f t="shared" si="12"/>
        <v>0.15958430817781163</v>
      </c>
      <c r="S65" s="96">
        <f t="shared" si="13"/>
        <v>0.50200859820988086</v>
      </c>
      <c r="T65" s="98">
        <f t="shared" si="14"/>
        <v>9.5212991712645481E-2</v>
      </c>
    </row>
    <row r="66" spans="1:20" s="11" customFormat="1" x14ac:dyDescent="0.2">
      <c r="A66" s="5" t="s">
        <v>236</v>
      </c>
      <c r="B66" s="5">
        <v>11378</v>
      </c>
      <c r="C66" s="5">
        <v>11877</v>
      </c>
      <c r="D66" s="5">
        <v>13533</v>
      </c>
      <c r="E66" s="5">
        <v>13044</v>
      </c>
      <c r="F66" s="5">
        <v>12982</v>
      </c>
      <c r="G66" s="21">
        <v>14598</v>
      </c>
      <c r="H66" s="21">
        <v>15840</v>
      </c>
      <c r="I66" s="21">
        <v>16357</v>
      </c>
      <c r="J66" s="21">
        <v>16894</v>
      </c>
      <c r="K66" s="21">
        <v>16299</v>
      </c>
      <c r="L66" s="21">
        <v>18303</v>
      </c>
      <c r="M66" s="21">
        <v>17118</v>
      </c>
      <c r="N66" s="21">
        <v>19140</v>
      </c>
      <c r="O66" s="21">
        <v>17439</v>
      </c>
      <c r="P66" s="21">
        <v>25676</v>
      </c>
      <c r="Q66" s="73">
        <f t="shared" si="11"/>
        <v>0.75887107822989452</v>
      </c>
      <c r="R66" s="97">
        <f t="shared" si="12"/>
        <v>0.40283013713598864</v>
      </c>
      <c r="S66" s="97">
        <f t="shared" si="13"/>
        <v>0.47233212913584494</v>
      </c>
      <c r="T66" s="99">
        <f t="shared" si="14"/>
        <v>0.11470949583398485</v>
      </c>
    </row>
    <row r="67" spans="1:20" x14ac:dyDescent="0.2">
      <c r="A67" s="75" t="s">
        <v>37</v>
      </c>
      <c r="B67" s="75">
        <v>657</v>
      </c>
      <c r="C67" s="75">
        <v>686</v>
      </c>
      <c r="D67" s="75">
        <v>814</v>
      </c>
      <c r="E67" s="75">
        <v>704</v>
      </c>
      <c r="F67" s="75">
        <v>730</v>
      </c>
      <c r="G67" s="16">
        <v>934</v>
      </c>
      <c r="H67" s="16">
        <v>1308</v>
      </c>
      <c r="I67" s="16">
        <v>1171</v>
      </c>
      <c r="J67" s="16">
        <v>1613</v>
      </c>
      <c r="K67" s="16">
        <v>2021</v>
      </c>
      <c r="L67" s="16">
        <v>2327</v>
      </c>
      <c r="M67" s="16">
        <v>2166</v>
      </c>
      <c r="N67" s="16">
        <v>1916</v>
      </c>
      <c r="O67" s="16">
        <v>1734</v>
      </c>
      <c r="P67" s="16">
        <v>2315</v>
      </c>
      <c r="Q67" s="89">
        <f t="shared" si="11"/>
        <v>1.4785867237687367</v>
      </c>
      <c r="R67" s="96">
        <f t="shared" si="12"/>
        <v>-5.1568543188654919E-3</v>
      </c>
      <c r="S67" s="96">
        <f t="shared" si="13"/>
        <v>0.33506343713956172</v>
      </c>
      <c r="T67" s="98">
        <f t="shared" si="14"/>
        <v>1.0342439743561105E-2</v>
      </c>
    </row>
    <row r="68" spans="1:20" x14ac:dyDescent="0.2">
      <c r="A68" s="75" t="s">
        <v>38</v>
      </c>
      <c r="B68" s="75">
        <v>803</v>
      </c>
      <c r="C68" s="75">
        <v>1059</v>
      </c>
      <c r="D68" s="75">
        <v>840</v>
      </c>
      <c r="E68" s="75">
        <v>703</v>
      </c>
      <c r="F68" s="75">
        <v>775</v>
      </c>
      <c r="G68" s="16">
        <v>1058</v>
      </c>
      <c r="H68" s="16">
        <v>1054</v>
      </c>
      <c r="I68" s="16">
        <v>1196</v>
      </c>
      <c r="J68" s="16">
        <v>1352</v>
      </c>
      <c r="K68" s="16">
        <v>1103</v>
      </c>
      <c r="L68" s="16">
        <v>1040</v>
      </c>
      <c r="M68" s="16">
        <v>1181</v>
      </c>
      <c r="N68" s="16">
        <v>996</v>
      </c>
      <c r="O68" s="16">
        <v>1135</v>
      </c>
      <c r="P68" s="16">
        <v>966</v>
      </c>
      <c r="Q68" s="89">
        <f t="shared" si="11"/>
        <v>-8.6956521739130432E-2</v>
      </c>
      <c r="R68" s="96">
        <f t="shared" si="12"/>
        <v>-7.1153846153846151E-2</v>
      </c>
      <c r="S68" s="96">
        <f t="shared" si="13"/>
        <v>-0.14889867841409693</v>
      </c>
      <c r="T68" s="98">
        <f t="shared" si="14"/>
        <v>4.3156789599481764E-3</v>
      </c>
    </row>
    <row r="69" spans="1:20" x14ac:dyDescent="0.2">
      <c r="A69" s="75" t="s">
        <v>39</v>
      </c>
      <c r="B69" s="75">
        <v>503</v>
      </c>
      <c r="C69" s="75">
        <v>314</v>
      </c>
      <c r="D69" s="75">
        <v>416</v>
      </c>
      <c r="E69" s="75">
        <v>470</v>
      </c>
      <c r="F69" s="75">
        <v>475</v>
      </c>
      <c r="G69" s="16">
        <v>455</v>
      </c>
      <c r="H69" s="16">
        <v>385</v>
      </c>
      <c r="I69" s="16">
        <v>404</v>
      </c>
      <c r="J69" s="16">
        <v>388</v>
      </c>
      <c r="K69" s="16">
        <v>469</v>
      </c>
      <c r="L69" s="16">
        <v>519</v>
      </c>
      <c r="M69" s="16">
        <v>400</v>
      </c>
      <c r="N69" s="16">
        <v>467</v>
      </c>
      <c r="O69" s="16">
        <v>556</v>
      </c>
      <c r="P69" s="16">
        <v>858</v>
      </c>
      <c r="Q69" s="89">
        <f t="shared" si="11"/>
        <v>0.88571428571428568</v>
      </c>
      <c r="R69" s="96">
        <f t="shared" si="12"/>
        <v>0.65317919075144504</v>
      </c>
      <c r="S69" s="96">
        <f t="shared" si="13"/>
        <v>0.54316546762589923</v>
      </c>
      <c r="T69" s="98">
        <f t="shared" si="14"/>
        <v>3.8331806911340942E-3</v>
      </c>
    </row>
    <row r="70" spans="1:20" x14ac:dyDescent="0.2">
      <c r="A70" s="75" t="s">
        <v>40</v>
      </c>
      <c r="B70" s="75">
        <v>9415</v>
      </c>
      <c r="C70" s="75">
        <v>9818</v>
      </c>
      <c r="D70" s="75">
        <v>11463</v>
      </c>
      <c r="E70" s="75">
        <v>11167</v>
      </c>
      <c r="F70" s="75">
        <v>11002</v>
      </c>
      <c r="G70" s="16">
        <v>12151</v>
      </c>
      <c r="H70" s="16">
        <v>13093</v>
      </c>
      <c r="I70" s="16">
        <v>13586</v>
      </c>
      <c r="J70" s="16">
        <v>13541</v>
      </c>
      <c r="K70" s="16">
        <v>12706</v>
      </c>
      <c r="L70" s="16">
        <v>14417</v>
      </c>
      <c r="M70" s="16">
        <v>13371</v>
      </c>
      <c r="N70" s="16">
        <v>15761</v>
      </c>
      <c r="O70" s="16">
        <v>14014</v>
      </c>
      <c r="P70" s="16">
        <v>21537</v>
      </c>
      <c r="Q70" s="89">
        <f t="shared" si="11"/>
        <v>0.7724467122047568</v>
      </c>
      <c r="R70" s="96">
        <f t="shared" si="12"/>
        <v>0.49386141360893387</v>
      </c>
      <c r="S70" s="96">
        <f t="shared" si="13"/>
        <v>0.53682032253460821</v>
      </c>
      <c r="T70" s="98">
        <f t="shared" si="14"/>
        <v>9.6218196439341486E-2</v>
      </c>
    </row>
    <row r="71" spans="1:20" s="11" customFormat="1" x14ac:dyDescent="0.2">
      <c r="A71" s="5" t="s">
        <v>237</v>
      </c>
      <c r="B71" s="5">
        <v>22743</v>
      </c>
      <c r="C71" s="5">
        <v>25802</v>
      </c>
      <c r="D71" s="5">
        <v>28297</v>
      </c>
      <c r="E71" s="5">
        <v>27745</v>
      </c>
      <c r="F71" s="5">
        <v>30231</v>
      </c>
      <c r="G71" s="21">
        <v>35493</v>
      </c>
      <c r="H71" s="21">
        <v>43334</v>
      </c>
      <c r="I71" s="21">
        <v>48487</v>
      </c>
      <c r="J71" s="21">
        <v>49746</v>
      </c>
      <c r="K71" s="21">
        <v>50617</v>
      </c>
      <c r="L71" s="21">
        <v>50996</v>
      </c>
      <c r="M71" s="21">
        <v>53269</v>
      </c>
      <c r="N71" s="21">
        <v>49544</v>
      </c>
      <c r="O71" s="21">
        <v>35623</v>
      </c>
      <c r="P71" s="21">
        <v>55258</v>
      </c>
      <c r="Q71" s="73">
        <f t="shared" si="11"/>
        <v>0.55687036880511653</v>
      </c>
      <c r="R71" s="97">
        <f t="shared" si="12"/>
        <v>8.3575182367244497E-2</v>
      </c>
      <c r="S71" s="97">
        <f t="shared" si="13"/>
        <v>0.5511888386716447</v>
      </c>
      <c r="T71" s="99">
        <f t="shared" si="14"/>
        <v>0.24686934572341235</v>
      </c>
    </row>
    <row r="72" spans="1:20" x14ac:dyDescent="0.2">
      <c r="A72" s="75" t="s">
        <v>37</v>
      </c>
      <c r="B72" s="75">
        <v>1059</v>
      </c>
      <c r="C72" s="75">
        <v>1714</v>
      </c>
      <c r="D72" s="75">
        <v>2171</v>
      </c>
      <c r="E72" s="75">
        <v>1775</v>
      </c>
      <c r="F72" s="75">
        <v>1677</v>
      </c>
      <c r="G72" s="16">
        <v>2486</v>
      </c>
      <c r="H72" s="16">
        <v>2769</v>
      </c>
      <c r="I72" s="16">
        <v>2601</v>
      </c>
      <c r="J72" s="16">
        <v>2415</v>
      </c>
      <c r="K72" s="16">
        <v>2188</v>
      </c>
      <c r="L72" s="16">
        <v>1729</v>
      </c>
      <c r="M72" s="16">
        <v>1719</v>
      </c>
      <c r="N72" s="16">
        <v>1584</v>
      </c>
      <c r="O72" s="16">
        <v>1114</v>
      </c>
      <c r="P72" s="16">
        <v>1396</v>
      </c>
      <c r="Q72" s="89">
        <f t="shared" si="11"/>
        <v>-0.43845534995977475</v>
      </c>
      <c r="R72" s="96">
        <f t="shared" si="12"/>
        <v>-0.19259687680740312</v>
      </c>
      <c r="S72" s="96">
        <f t="shared" si="13"/>
        <v>0.25314183123877915</v>
      </c>
      <c r="T72" s="98">
        <f t="shared" si="14"/>
        <v>6.2367368820783163E-3</v>
      </c>
    </row>
    <row r="73" spans="1:20" x14ac:dyDescent="0.2">
      <c r="A73" s="75" t="s">
        <v>38</v>
      </c>
      <c r="B73" s="75">
        <v>2556</v>
      </c>
      <c r="C73" s="75">
        <v>2246</v>
      </c>
      <c r="D73" s="75">
        <v>2197</v>
      </c>
      <c r="E73" s="75">
        <v>2353</v>
      </c>
      <c r="F73" s="75">
        <v>2812</v>
      </c>
      <c r="G73" s="16">
        <v>3466</v>
      </c>
      <c r="H73" s="16">
        <v>4146</v>
      </c>
      <c r="I73" s="16">
        <v>4545</v>
      </c>
      <c r="J73" s="16">
        <v>4296</v>
      </c>
      <c r="K73" s="16">
        <v>4159</v>
      </c>
      <c r="L73" s="16">
        <v>4198</v>
      </c>
      <c r="M73" s="16">
        <v>4093</v>
      </c>
      <c r="N73" s="16">
        <v>3140</v>
      </c>
      <c r="O73" s="16">
        <v>2421</v>
      </c>
      <c r="P73" s="16">
        <v>3175</v>
      </c>
      <c r="Q73" s="89">
        <f t="shared" si="11"/>
        <v>-8.3958453548759374E-2</v>
      </c>
      <c r="R73" s="96">
        <f t="shared" si="12"/>
        <v>-0.24368747022391615</v>
      </c>
      <c r="S73" s="96">
        <f t="shared" si="13"/>
        <v>0.31144155307724081</v>
      </c>
      <c r="T73" s="98">
        <f t="shared" si="14"/>
        <v>1.4184555587821387E-2</v>
      </c>
    </row>
    <row r="74" spans="1:20" x14ac:dyDescent="0.2">
      <c r="A74" s="75" t="s">
        <v>39</v>
      </c>
      <c r="B74" s="75">
        <v>507</v>
      </c>
      <c r="C74" s="75">
        <v>323</v>
      </c>
      <c r="D74" s="75">
        <v>355</v>
      </c>
      <c r="E74" s="75">
        <v>416</v>
      </c>
      <c r="F74" s="75">
        <v>413</v>
      </c>
      <c r="G74" s="16">
        <v>389</v>
      </c>
      <c r="H74" s="16">
        <v>626</v>
      </c>
      <c r="I74" s="16">
        <v>632</v>
      </c>
      <c r="J74" s="16">
        <v>807</v>
      </c>
      <c r="K74" s="16">
        <v>1037</v>
      </c>
      <c r="L74" s="16">
        <v>1419</v>
      </c>
      <c r="M74" s="16">
        <v>1946</v>
      </c>
      <c r="N74" s="16">
        <v>1582</v>
      </c>
      <c r="O74" s="16">
        <v>1234</v>
      </c>
      <c r="P74" s="16">
        <v>1876</v>
      </c>
      <c r="Q74" s="89">
        <f t="shared" si="11"/>
        <v>3.8226221079691518</v>
      </c>
      <c r="R74" s="96">
        <f t="shared" si="12"/>
        <v>0.32205778717406625</v>
      </c>
      <c r="S74" s="96">
        <f t="shared" si="13"/>
        <v>0.52025931928687197</v>
      </c>
      <c r="T74" s="98">
        <f t="shared" si="14"/>
        <v>8.3811736323631241E-3</v>
      </c>
    </row>
    <row r="75" spans="1:20" x14ac:dyDescent="0.2">
      <c r="A75" s="75" t="s">
        <v>40</v>
      </c>
      <c r="B75" s="75">
        <v>18621</v>
      </c>
      <c r="C75" s="75">
        <v>21519</v>
      </c>
      <c r="D75" s="75">
        <v>23574</v>
      </c>
      <c r="E75" s="75">
        <v>23201</v>
      </c>
      <c r="F75" s="75">
        <v>25329</v>
      </c>
      <c r="G75" s="16">
        <v>29152</v>
      </c>
      <c r="H75" s="16">
        <v>35793</v>
      </c>
      <c r="I75" s="16">
        <v>40709</v>
      </c>
      <c r="J75" s="16">
        <v>42228</v>
      </c>
      <c r="K75" s="16">
        <v>43233</v>
      </c>
      <c r="L75" s="16">
        <v>43650</v>
      </c>
      <c r="M75" s="16">
        <v>45511</v>
      </c>
      <c r="N75" s="16">
        <v>43238</v>
      </c>
      <c r="O75" s="16">
        <v>30854</v>
      </c>
      <c r="P75" s="16">
        <v>48811</v>
      </c>
      <c r="Q75" s="89">
        <f t="shared" si="11"/>
        <v>0.6743619648737651</v>
      </c>
      <c r="R75" s="96">
        <f t="shared" si="12"/>
        <v>0.11823596792668957</v>
      </c>
      <c r="S75" s="96">
        <f t="shared" si="13"/>
        <v>0.58199909250016202</v>
      </c>
      <c r="T75" s="98">
        <f t="shared" si="14"/>
        <v>0.21806687962114951</v>
      </c>
    </row>
    <row r="76" spans="1:20" x14ac:dyDescent="0.2">
      <c r="A76" s="5" t="s">
        <v>4</v>
      </c>
      <c r="B76" s="5">
        <v>84800</v>
      </c>
      <c r="C76" s="5">
        <v>96406</v>
      </c>
      <c r="D76" s="5">
        <v>105514</v>
      </c>
      <c r="E76" s="5">
        <v>101649</v>
      </c>
      <c r="F76" s="5">
        <v>117839</v>
      </c>
      <c r="G76" s="5">
        <v>135145</v>
      </c>
      <c r="H76" s="5">
        <v>156236</v>
      </c>
      <c r="I76" s="5">
        <v>170654</v>
      </c>
      <c r="J76" s="5">
        <v>187766</v>
      </c>
      <c r="K76" s="5">
        <v>195964</v>
      </c>
      <c r="L76" s="5">
        <v>204367</v>
      </c>
      <c r="M76" s="5">
        <v>207962</v>
      </c>
      <c r="N76" s="5">
        <v>199863</v>
      </c>
      <c r="O76" s="5">
        <v>159147</v>
      </c>
      <c r="P76" s="5">
        <v>223835</v>
      </c>
      <c r="Q76" s="73">
        <f t="shared" si="11"/>
        <v>0.65625809315919936</v>
      </c>
      <c r="R76" s="97">
        <f t="shared" si="12"/>
        <v>9.5259997944873678E-2</v>
      </c>
      <c r="S76" s="97">
        <f t="shared" si="13"/>
        <v>0.40646697707151253</v>
      </c>
      <c r="T76" s="99">
        <f t="shared" si="14"/>
        <v>1</v>
      </c>
    </row>
    <row r="77" spans="1:20" x14ac:dyDescent="0.2">
      <c r="A77" s="124" t="s">
        <v>297</v>
      </c>
      <c r="B77" s="67"/>
      <c r="C77" s="67"/>
      <c r="D77" s="67"/>
      <c r="E77" s="67"/>
      <c r="F77" s="67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</row>
    <row r="78" spans="1:20" x14ac:dyDescent="0.2">
      <c r="A78" s="67"/>
      <c r="B78" s="67"/>
      <c r="C78" s="67"/>
      <c r="D78" s="67"/>
      <c r="E78" s="67"/>
      <c r="F78" s="67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</row>
    <row r="79" spans="1:20" ht="15.75" x14ac:dyDescent="0.2">
      <c r="A79" s="35" t="s">
        <v>309</v>
      </c>
      <c r="B79" s="35"/>
      <c r="C79" s="35"/>
      <c r="D79" s="35"/>
      <c r="E79" s="35"/>
      <c r="F79" s="35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 spans="1:20" ht="25.5" x14ac:dyDescent="0.2">
      <c r="A80" s="78" t="s">
        <v>41</v>
      </c>
      <c r="B80" s="3">
        <v>2007</v>
      </c>
      <c r="C80" s="3">
        <v>2008</v>
      </c>
      <c r="D80" s="3">
        <v>2009</v>
      </c>
      <c r="E80" s="3">
        <v>2010</v>
      </c>
      <c r="F80" s="3">
        <v>2011</v>
      </c>
      <c r="G80" s="3">
        <v>2012</v>
      </c>
      <c r="H80" s="3">
        <v>2013</v>
      </c>
      <c r="I80" s="3">
        <v>2014</v>
      </c>
      <c r="J80" s="3">
        <v>2015</v>
      </c>
      <c r="K80" s="3">
        <v>2016</v>
      </c>
      <c r="L80" s="3">
        <v>2017</v>
      </c>
      <c r="M80" s="3">
        <v>2018</v>
      </c>
      <c r="N80" s="3">
        <v>2019</v>
      </c>
      <c r="O80" s="3">
        <v>2020</v>
      </c>
      <c r="P80" s="3">
        <v>2021</v>
      </c>
      <c r="Q80" s="12" t="s">
        <v>370</v>
      </c>
      <c r="R80" s="12" t="s">
        <v>371</v>
      </c>
      <c r="S80" s="12" t="s">
        <v>372</v>
      </c>
      <c r="T80" s="12" t="s">
        <v>373</v>
      </c>
    </row>
    <row r="81" spans="1:20" x14ac:dyDescent="0.2">
      <c r="A81" s="4" t="s">
        <v>42</v>
      </c>
      <c r="B81" s="4">
        <v>63612</v>
      </c>
      <c r="C81" s="4">
        <v>74068</v>
      </c>
      <c r="D81" s="4">
        <v>76238</v>
      </c>
      <c r="E81" s="4">
        <v>73083</v>
      </c>
      <c r="F81" s="4">
        <v>82495</v>
      </c>
      <c r="G81" s="16">
        <v>93708</v>
      </c>
      <c r="H81" s="16">
        <v>104574</v>
      </c>
      <c r="I81" s="16">
        <v>111149</v>
      </c>
      <c r="J81" s="16">
        <v>118295</v>
      </c>
      <c r="K81" s="16">
        <v>123513</v>
      </c>
      <c r="L81" s="16">
        <v>128411</v>
      </c>
      <c r="M81" s="16">
        <v>128809</v>
      </c>
      <c r="N81" s="16">
        <v>127745</v>
      </c>
      <c r="O81" s="121">
        <v>94282</v>
      </c>
      <c r="P81" s="121">
        <v>144416</v>
      </c>
      <c r="Q81" s="96">
        <f t="shared" ref="Q81:Q86" si="15">(P81-G81)/G81</f>
        <v>0.54112775856917228</v>
      </c>
      <c r="R81" s="96">
        <f t="shared" ref="R81:R86" si="16">(P81-L81)/L81</f>
        <v>0.12463885492675861</v>
      </c>
      <c r="S81" s="96">
        <f t="shared" ref="S81:S86" si="17">(P81-O81)/O81</f>
        <v>0.5317451899620288</v>
      </c>
      <c r="T81" s="98">
        <f t="shared" ref="T81:T86" si="18">P81/P$9</f>
        <v>0.64518953693568926</v>
      </c>
    </row>
    <row r="82" spans="1:20" x14ac:dyDescent="0.2">
      <c r="A82" s="4" t="s">
        <v>43</v>
      </c>
      <c r="B82" s="4">
        <v>19823</v>
      </c>
      <c r="C82" s="4">
        <v>20930</v>
      </c>
      <c r="D82" s="4">
        <v>27350</v>
      </c>
      <c r="E82" s="4">
        <v>26781</v>
      </c>
      <c r="F82" s="4">
        <v>32873</v>
      </c>
      <c r="G82" s="16">
        <v>39411</v>
      </c>
      <c r="H82" s="16">
        <v>48204</v>
      </c>
      <c r="I82" s="16">
        <v>55030</v>
      </c>
      <c r="J82" s="16">
        <v>61898</v>
      </c>
      <c r="K82" s="16">
        <v>64579</v>
      </c>
      <c r="L82" s="16">
        <v>68282</v>
      </c>
      <c r="M82" s="16">
        <v>69709</v>
      </c>
      <c r="N82" s="16">
        <v>61093</v>
      </c>
      <c r="O82" s="16">
        <v>52360</v>
      </c>
      <c r="P82" s="16">
        <v>62854</v>
      </c>
      <c r="Q82" s="89">
        <f t="shared" si="15"/>
        <v>0.59483392961355963</v>
      </c>
      <c r="R82" s="96">
        <f t="shared" si="16"/>
        <v>-7.9493863682961838E-2</v>
      </c>
      <c r="S82" s="96">
        <f t="shared" si="17"/>
        <v>0.2004201680672269</v>
      </c>
      <c r="T82" s="98">
        <f t="shared" si="18"/>
        <v>0.28080505729666944</v>
      </c>
    </row>
    <row r="83" spans="1:20" x14ac:dyDescent="0.2">
      <c r="A83" s="4" t="s">
        <v>227</v>
      </c>
      <c r="B83" s="4">
        <v>156</v>
      </c>
      <c r="C83" s="4">
        <v>3</v>
      </c>
      <c r="D83" s="4">
        <v>43</v>
      </c>
      <c r="E83" s="4">
        <v>95</v>
      </c>
      <c r="F83" s="4">
        <v>914</v>
      </c>
      <c r="G83" s="16">
        <v>391</v>
      </c>
      <c r="H83" s="16">
        <v>612</v>
      </c>
      <c r="I83" s="16">
        <v>716</v>
      </c>
      <c r="J83" s="16">
        <v>1418</v>
      </c>
      <c r="K83" s="16">
        <v>1587</v>
      </c>
      <c r="L83" s="16">
        <v>1979</v>
      </c>
      <c r="M83" s="16">
        <v>2477</v>
      </c>
      <c r="N83" s="16">
        <v>1985</v>
      </c>
      <c r="O83" s="16">
        <v>2458</v>
      </c>
      <c r="P83" s="16">
        <v>2450</v>
      </c>
      <c r="Q83" s="89">
        <f t="shared" si="15"/>
        <v>5.2659846547314579</v>
      </c>
      <c r="R83" s="96">
        <f t="shared" si="16"/>
        <v>0.23799898938858008</v>
      </c>
      <c r="S83" s="96">
        <f t="shared" si="17"/>
        <v>-3.2546786004882017E-3</v>
      </c>
      <c r="T83" s="98">
        <f t="shared" si="18"/>
        <v>1.0945562579578707E-2</v>
      </c>
    </row>
    <row r="84" spans="1:20" x14ac:dyDescent="0.2">
      <c r="A84" s="100" t="s">
        <v>228</v>
      </c>
      <c r="B84" s="100">
        <v>624</v>
      </c>
      <c r="C84" s="100">
        <v>663</v>
      </c>
      <c r="D84" s="100">
        <v>722</v>
      </c>
      <c r="E84" s="100">
        <v>709</v>
      </c>
      <c r="F84" s="100">
        <v>731</v>
      </c>
      <c r="G84" s="121">
        <v>991</v>
      </c>
      <c r="H84" s="121">
        <v>1722</v>
      </c>
      <c r="I84" s="121">
        <v>1721</v>
      </c>
      <c r="J84" s="121">
        <v>3212</v>
      </c>
      <c r="K84" s="121">
        <v>3770</v>
      </c>
      <c r="L84" s="121">
        <v>3554</v>
      </c>
      <c r="M84" s="121">
        <v>4742</v>
      </c>
      <c r="N84" s="121">
        <v>6056</v>
      </c>
      <c r="O84" s="121">
        <v>7498</v>
      </c>
      <c r="P84" s="121">
        <v>11813</v>
      </c>
      <c r="Q84" s="96">
        <f t="shared" si="15"/>
        <v>10.920282542885973</v>
      </c>
      <c r="R84" s="96">
        <f t="shared" si="16"/>
        <v>2.3238604389420372</v>
      </c>
      <c r="S84" s="96">
        <f t="shared" si="17"/>
        <v>0.57548679647906109</v>
      </c>
      <c r="T84" s="98">
        <f t="shared" si="18"/>
        <v>5.277548193982174E-2</v>
      </c>
    </row>
    <row r="85" spans="1:20" x14ac:dyDescent="0.2">
      <c r="A85" s="4" t="s">
        <v>44</v>
      </c>
      <c r="B85" s="4">
        <v>585</v>
      </c>
      <c r="C85" s="4">
        <v>742</v>
      </c>
      <c r="D85" s="4">
        <v>1161</v>
      </c>
      <c r="E85" s="4">
        <v>981</v>
      </c>
      <c r="F85" s="4">
        <v>826</v>
      </c>
      <c r="G85" s="16">
        <v>644</v>
      </c>
      <c r="H85" s="16">
        <v>1124</v>
      </c>
      <c r="I85" s="16">
        <v>2038</v>
      </c>
      <c r="J85" s="16">
        <v>2943</v>
      </c>
      <c r="K85" s="16">
        <v>2515</v>
      </c>
      <c r="L85" s="16">
        <v>2141</v>
      </c>
      <c r="M85" s="16">
        <v>2225</v>
      </c>
      <c r="N85" s="16">
        <v>2984</v>
      </c>
      <c r="O85" s="16">
        <v>2549</v>
      </c>
      <c r="P85" s="16">
        <v>2302</v>
      </c>
      <c r="Q85" s="89">
        <f t="shared" si="15"/>
        <v>2.5745341614906834</v>
      </c>
      <c r="R85" s="96">
        <f t="shared" si="16"/>
        <v>7.5198505371321805E-2</v>
      </c>
      <c r="S85" s="96">
        <f t="shared" si="17"/>
        <v>-9.6900745390349152E-2</v>
      </c>
      <c r="T85" s="98">
        <f t="shared" si="18"/>
        <v>1.0284361248240892E-2</v>
      </c>
    </row>
    <row r="86" spans="1:20" x14ac:dyDescent="0.2">
      <c r="A86" s="5" t="s">
        <v>4</v>
      </c>
      <c r="B86" s="5">
        <v>84800</v>
      </c>
      <c r="C86" s="5">
        <v>96406</v>
      </c>
      <c r="D86" s="5">
        <v>105514</v>
      </c>
      <c r="E86" s="5">
        <v>101649</v>
      </c>
      <c r="F86" s="5">
        <v>117839</v>
      </c>
      <c r="G86" s="5">
        <v>135145</v>
      </c>
      <c r="H86" s="5">
        <v>156236</v>
      </c>
      <c r="I86" s="5">
        <v>170654</v>
      </c>
      <c r="J86" s="5">
        <v>187766</v>
      </c>
      <c r="K86" s="5">
        <v>195964</v>
      </c>
      <c r="L86" s="5">
        <v>204367</v>
      </c>
      <c r="M86" s="5">
        <v>207962</v>
      </c>
      <c r="N86" s="5">
        <v>199863</v>
      </c>
      <c r="O86" s="5">
        <v>159147</v>
      </c>
      <c r="P86" s="5">
        <v>223839</v>
      </c>
      <c r="Q86" s="73">
        <f t="shared" si="15"/>
        <v>0.65628769099855711</v>
      </c>
      <c r="R86" s="97">
        <f t="shared" si="16"/>
        <v>9.5279570576462927E-2</v>
      </c>
      <c r="S86" s="97">
        <f t="shared" si="17"/>
        <v>0.40649211106712663</v>
      </c>
      <c r="T86" s="99">
        <f t="shared" si="18"/>
        <v>1.0000178703062523</v>
      </c>
    </row>
    <row r="87" spans="1:20" x14ac:dyDescent="0.2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34"/>
      <c r="R87" s="34"/>
      <c r="S87" s="34"/>
      <c r="T87" s="34"/>
    </row>
    <row r="88" spans="1:20" ht="15.75" x14ac:dyDescent="0.2">
      <c r="A88" s="35" t="s">
        <v>310</v>
      </c>
      <c r="B88" s="35"/>
      <c r="C88" s="35"/>
      <c r="D88" s="35"/>
      <c r="E88" s="35"/>
      <c r="F88" s="35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</row>
    <row r="89" spans="1:20" ht="25.5" x14ac:dyDescent="0.2">
      <c r="A89" s="78" t="s">
        <v>10</v>
      </c>
      <c r="B89" s="3">
        <v>2007</v>
      </c>
      <c r="C89" s="3">
        <v>2008</v>
      </c>
      <c r="D89" s="3">
        <v>2009</v>
      </c>
      <c r="E89" s="3">
        <v>2010</v>
      </c>
      <c r="F89" s="3">
        <v>2011</v>
      </c>
      <c r="G89" s="3">
        <v>2012</v>
      </c>
      <c r="H89" s="3">
        <v>2013</v>
      </c>
      <c r="I89" s="3">
        <v>2014</v>
      </c>
      <c r="J89" s="3">
        <v>2015</v>
      </c>
      <c r="K89" s="3">
        <v>2016</v>
      </c>
      <c r="L89" s="3">
        <v>2017</v>
      </c>
      <c r="M89" s="3">
        <v>2018</v>
      </c>
      <c r="N89" s="3">
        <v>2019</v>
      </c>
      <c r="O89" s="3">
        <v>2020</v>
      </c>
      <c r="P89" s="3">
        <v>2021</v>
      </c>
      <c r="Q89" s="12" t="s">
        <v>370</v>
      </c>
      <c r="R89" s="12" t="s">
        <v>371</v>
      </c>
      <c r="S89" s="12" t="s">
        <v>372</v>
      </c>
      <c r="T89" s="12" t="s">
        <v>373</v>
      </c>
    </row>
    <row r="90" spans="1:20" x14ac:dyDescent="0.2">
      <c r="A90" s="4" t="s">
        <v>11</v>
      </c>
      <c r="B90" s="4">
        <v>15283</v>
      </c>
      <c r="C90" s="4">
        <v>15775</v>
      </c>
      <c r="D90" s="4">
        <v>17731</v>
      </c>
      <c r="E90" s="4">
        <v>18112</v>
      </c>
      <c r="F90" s="4">
        <v>22016</v>
      </c>
      <c r="G90" s="16">
        <v>25714</v>
      </c>
      <c r="H90" s="16">
        <v>30124</v>
      </c>
      <c r="I90" s="16">
        <v>33879</v>
      </c>
      <c r="J90" s="16">
        <v>37429</v>
      </c>
      <c r="K90" s="16">
        <v>41605</v>
      </c>
      <c r="L90" s="16">
        <v>43841</v>
      </c>
      <c r="M90" s="16">
        <v>46841</v>
      </c>
      <c r="N90" s="16">
        <v>46071</v>
      </c>
      <c r="O90" s="16">
        <v>41015</v>
      </c>
      <c r="P90" s="16">
        <v>51719</v>
      </c>
      <c r="Q90" s="89">
        <f t="shared" ref="Q90:Q100" si="19">(P90-G90)/G90</f>
        <v>1.0113167924088045</v>
      </c>
      <c r="R90" s="96">
        <f t="shared" ref="R90:R100" si="20">(P90-L90)/L90</f>
        <v>0.17969480623160969</v>
      </c>
      <c r="S90" s="96">
        <f t="shared" ref="S90:S100" si="21">(P90-O90)/O90</f>
        <v>0.26097769108862612</v>
      </c>
      <c r="T90" s="98">
        <f t="shared" ref="T90:T100" si="22">P90/P$9</f>
        <v>0.23105859226662498</v>
      </c>
    </row>
    <row r="91" spans="1:20" x14ac:dyDescent="0.2">
      <c r="A91" s="4" t="s">
        <v>12</v>
      </c>
      <c r="B91" s="4">
        <v>2704</v>
      </c>
      <c r="C91" s="4">
        <v>3323</v>
      </c>
      <c r="D91" s="4">
        <v>3229</v>
      </c>
      <c r="E91" s="4">
        <v>3003</v>
      </c>
      <c r="F91" s="4">
        <v>3201</v>
      </c>
      <c r="G91" s="16">
        <v>3532</v>
      </c>
      <c r="H91" s="16">
        <v>3713</v>
      </c>
      <c r="I91" s="16">
        <v>3980</v>
      </c>
      <c r="J91" s="16">
        <v>4029</v>
      </c>
      <c r="K91" s="16">
        <v>4004</v>
      </c>
      <c r="L91" s="16">
        <v>3915</v>
      </c>
      <c r="M91" s="16">
        <v>3851</v>
      </c>
      <c r="N91" s="16">
        <v>3879</v>
      </c>
      <c r="O91" s="16">
        <v>3074</v>
      </c>
      <c r="P91" s="16">
        <v>4797</v>
      </c>
      <c r="Q91" s="89">
        <f t="shared" si="19"/>
        <v>0.35815402038505095</v>
      </c>
      <c r="R91" s="96">
        <f t="shared" si="20"/>
        <v>0.22528735632183908</v>
      </c>
      <c r="S91" s="96">
        <f t="shared" si="21"/>
        <v>0.56050748210800261</v>
      </c>
      <c r="T91" s="98">
        <f t="shared" si="22"/>
        <v>2.1430964773158801E-2</v>
      </c>
    </row>
    <row r="92" spans="1:20" x14ac:dyDescent="0.2">
      <c r="A92" s="4" t="s">
        <v>13</v>
      </c>
      <c r="B92" s="4">
        <v>4889</v>
      </c>
      <c r="C92" s="4">
        <v>4995</v>
      </c>
      <c r="D92" s="4">
        <v>5654</v>
      </c>
      <c r="E92" s="4">
        <v>5221</v>
      </c>
      <c r="F92" s="4">
        <v>5900</v>
      </c>
      <c r="G92" s="16">
        <v>6393</v>
      </c>
      <c r="H92" s="16">
        <v>7398</v>
      </c>
      <c r="I92" s="16">
        <v>7206</v>
      </c>
      <c r="J92" s="16">
        <v>7313</v>
      </c>
      <c r="K92" s="16">
        <v>6730</v>
      </c>
      <c r="L92" s="16">
        <v>7372</v>
      </c>
      <c r="M92" s="16">
        <v>7210</v>
      </c>
      <c r="N92" s="16">
        <v>6605</v>
      </c>
      <c r="O92" s="16">
        <v>5771</v>
      </c>
      <c r="P92" s="16">
        <v>8294</v>
      </c>
      <c r="Q92" s="89">
        <f t="shared" si="19"/>
        <v>0.29735648365399658</v>
      </c>
      <c r="R92" s="96">
        <f t="shared" si="20"/>
        <v>0.12506782419967444</v>
      </c>
      <c r="S92" s="96">
        <f t="shared" si="21"/>
        <v>0.43718592964824121</v>
      </c>
      <c r="T92" s="98">
        <f t="shared" si="22"/>
        <v>3.7054080014296248E-2</v>
      </c>
    </row>
    <row r="93" spans="1:20" x14ac:dyDescent="0.2">
      <c r="A93" s="4" t="s">
        <v>14</v>
      </c>
      <c r="B93" s="4">
        <v>1394</v>
      </c>
      <c r="C93" s="4">
        <v>1381</v>
      </c>
      <c r="D93" s="4">
        <v>1378</v>
      </c>
      <c r="E93" s="4">
        <v>1282</v>
      </c>
      <c r="F93" s="4">
        <v>1393</v>
      </c>
      <c r="G93" s="16">
        <v>1594</v>
      </c>
      <c r="H93" s="16">
        <v>1503</v>
      </c>
      <c r="I93" s="16">
        <v>1685</v>
      </c>
      <c r="J93" s="16">
        <v>1908</v>
      </c>
      <c r="K93" s="16">
        <v>1896</v>
      </c>
      <c r="L93" s="16">
        <v>1892</v>
      </c>
      <c r="M93" s="16">
        <v>1822</v>
      </c>
      <c r="N93" s="16">
        <v>1889</v>
      </c>
      <c r="O93" s="16">
        <v>1545</v>
      </c>
      <c r="P93" s="16">
        <v>1887</v>
      </c>
      <c r="Q93" s="89">
        <f t="shared" si="19"/>
        <v>0.18381430363864493</v>
      </c>
      <c r="R93" s="96">
        <f t="shared" si="20"/>
        <v>-2.6427061310782241E-3</v>
      </c>
      <c r="S93" s="96">
        <f t="shared" si="21"/>
        <v>0.22135922330097088</v>
      </c>
      <c r="T93" s="98">
        <f t="shared" si="22"/>
        <v>8.4303169745571522E-3</v>
      </c>
    </row>
    <row r="94" spans="1:20" x14ac:dyDescent="0.2">
      <c r="A94" s="4" t="s">
        <v>15</v>
      </c>
      <c r="B94" s="4">
        <v>9201</v>
      </c>
      <c r="C94" s="4">
        <v>10143</v>
      </c>
      <c r="D94" s="4">
        <v>10989</v>
      </c>
      <c r="E94" s="4">
        <v>9939</v>
      </c>
      <c r="F94" s="4">
        <v>11525</v>
      </c>
      <c r="G94" s="16">
        <v>13025</v>
      </c>
      <c r="H94" s="16">
        <v>14434</v>
      </c>
      <c r="I94" s="16">
        <v>15709</v>
      </c>
      <c r="J94" s="16">
        <v>16728</v>
      </c>
      <c r="K94" s="16">
        <v>16783</v>
      </c>
      <c r="L94" s="16">
        <v>17927</v>
      </c>
      <c r="M94" s="16">
        <v>18258</v>
      </c>
      <c r="N94" s="16">
        <v>17113</v>
      </c>
      <c r="O94" s="16">
        <v>16616</v>
      </c>
      <c r="P94" s="16">
        <v>23132</v>
      </c>
      <c r="Q94" s="89">
        <f t="shared" si="19"/>
        <v>0.77596928982725533</v>
      </c>
      <c r="R94" s="96">
        <f t="shared" si="20"/>
        <v>0.29034417359290454</v>
      </c>
      <c r="S94" s="96">
        <f t="shared" si="21"/>
        <v>0.39215214251324026</v>
      </c>
      <c r="T94" s="98">
        <f t="shared" si="22"/>
        <v>0.10334398105747537</v>
      </c>
    </row>
    <row r="95" spans="1:20" x14ac:dyDescent="0.2">
      <c r="A95" s="4" t="s">
        <v>16</v>
      </c>
      <c r="B95" s="4">
        <v>4525</v>
      </c>
      <c r="C95" s="4">
        <v>5589</v>
      </c>
      <c r="D95" s="4">
        <v>5846</v>
      </c>
      <c r="E95" s="4">
        <v>4538</v>
      </c>
      <c r="F95" s="4">
        <v>4558</v>
      </c>
      <c r="G95" s="16">
        <v>4285</v>
      </c>
      <c r="H95" s="16">
        <v>4150</v>
      </c>
      <c r="I95" s="16">
        <v>4395</v>
      </c>
      <c r="J95" s="16">
        <v>4289</v>
      </c>
      <c r="K95" s="16">
        <v>4384</v>
      </c>
      <c r="L95" s="16">
        <v>4900</v>
      </c>
      <c r="M95" s="16">
        <v>4400</v>
      </c>
      <c r="N95" s="16">
        <v>4536</v>
      </c>
      <c r="O95" s="16">
        <v>3343</v>
      </c>
      <c r="P95" s="16">
        <v>4243</v>
      </c>
      <c r="Q95" s="89">
        <f t="shared" si="19"/>
        <v>-9.8016336056009328E-3</v>
      </c>
      <c r="R95" s="96">
        <f t="shared" si="20"/>
        <v>-0.13408163265306122</v>
      </c>
      <c r="S95" s="96">
        <f t="shared" si="21"/>
        <v>0.26921926413401137</v>
      </c>
      <c r="T95" s="98">
        <f t="shared" si="22"/>
        <v>1.8955927357205082E-2</v>
      </c>
    </row>
    <row r="96" spans="1:20" x14ac:dyDescent="0.2">
      <c r="A96" s="4" t="s">
        <v>17</v>
      </c>
      <c r="B96" s="4">
        <v>16863</v>
      </c>
      <c r="C96" s="4">
        <v>17853</v>
      </c>
      <c r="D96" s="4">
        <v>19953</v>
      </c>
      <c r="E96" s="4">
        <v>19568</v>
      </c>
      <c r="F96" s="4">
        <v>20271</v>
      </c>
      <c r="G96" s="16">
        <v>22486</v>
      </c>
      <c r="H96" s="16">
        <v>25851</v>
      </c>
      <c r="I96" s="16">
        <v>26377</v>
      </c>
      <c r="J96" s="16">
        <v>27866</v>
      </c>
      <c r="K96" s="16">
        <v>28173</v>
      </c>
      <c r="L96" s="16">
        <v>30066</v>
      </c>
      <c r="M96" s="16">
        <v>29101</v>
      </c>
      <c r="N96" s="16">
        <v>31176</v>
      </c>
      <c r="O96" s="16">
        <v>25603</v>
      </c>
      <c r="P96" s="16">
        <v>31559</v>
      </c>
      <c r="Q96" s="89">
        <f t="shared" si="19"/>
        <v>0.40349550831628567</v>
      </c>
      <c r="R96" s="96">
        <f t="shared" si="20"/>
        <v>4.9657420341914456E-2</v>
      </c>
      <c r="S96" s="96">
        <f t="shared" si="21"/>
        <v>0.23262898879037613</v>
      </c>
      <c r="T96" s="98">
        <f t="shared" si="22"/>
        <v>0.14099224875466304</v>
      </c>
    </row>
    <row r="97" spans="1:20" x14ac:dyDescent="0.2">
      <c r="A97" s="4" t="s">
        <v>18</v>
      </c>
      <c r="B97" s="4">
        <v>662</v>
      </c>
      <c r="C97" s="4">
        <v>993</v>
      </c>
      <c r="D97" s="4">
        <v>1057</v>
      </c>
      <c r="E97" s="4">
        <v>1036</v>
      </c>
      <c r="F97" s="4">
        <v>1113</v>
      </c>
      <c r="G97" s="16">
        <v>1189</v>
      </c>
      <c r="H97" s="16">
        <v>1102</v>
      </c>
      <c r="I97" s="16">
        <v>1214</v>
      </c>
      <c r="J97" s="16">
        <v>1363</v>
      </c>
      <c r="K97" s="16">
        <v>1203</v>
      </c>
      <c r="L97" s="16">
        <v>1358</v>
      </c>
      <c r="M97" s="16">
        <v>1238</v>
      </c>
      <c r="N97" s="121">
        <v>1333</v>
      </c>
      <c r="O97" s="121">
        <v>1195</v>
      </c>
      <c r="P97" s="121">
        <v>1421</v>
      </c>
      <c r="Q97" s="89">
        <f t="shared" si="19"/>
        <v>0.1951219512195122</v>
      </c>
      <c r="R97" s="96">
        <f t="shared" si="20"/>
        <v>4.6391752577319589E-2</v>
      </c>
      <c r="S97" s="96">
        <f t="shared" si="21"/>
        <v>0.1891213389121339</v>
      </c>
      <c r="T97" s="98">
        <f t="shared" si="22"/>
        <v>6.3484262961556502E-3</v>
      </c>
    </row>
    <row r="98" spans="1:20" x14ac:dyDescent="0.2">
      <c r="A98" s="4" t="s">
        <v>19</v>
      </c>
      <c r="B98" s="4">
        <v>9645</v>
      </c>
      <c r="C98" s="4">
        <v>16001</v>
      </c>
      <c r="D98" s="4">
        <v>16208</v>
      </c>
      <c r="E98" s="4">
        <v>15636</v>
      </c>
      <c r="F98" s="4">
        <v>21407</v>
      </c>
      <c r="G98" s="16">
        <v>25701</v>
      </c>
      <c r="H98" s="16">
        <v>29808</v>
      </c>
      <c r="I98" s="16">
        <v>32111</v>
      </c>
      <c r="J98" s="16">
        <v>34533</v>
      </c>
      <c r="K98" s="16">
        <v>35950</v>
      </c>
      <c r="L98" s="16">
        <v>35899</v>
      </c>
      <c r="M98" s="16">
        <v>37230</v>
      </c>
      <c r="N98" s="121">
        <v>35486</v>
      </c>
      <c r="O98" s="121">
        <v>19111</v>
      </c>
      <c r="P98" s="121">
        <v>43788</v>
      </c>
      <c r="Q98" s="89">
        <f t="shared" si="19"/>
        <v>0.70374693591689041</v>
      </c>
      <c r="R98" s="96">
        <f t="shared" si="20"/>
        <v>0.21975542494219893</v>
      </c>
      <c r="S98" s="96">
        <f t="shared" si="21"/>
        <v>1.2912458793365078</v>
      </c>
      <c r="T98" s="98">
        <f t="shared" si="22"/>
        <v>0.1956262425447316</v>
      </c>
    </row>
    <row r="99" spans="1:20" x14ac:dyDescent="0.2">
      <c r="A99" s="4" t="s">
        <v>20</v>
      </c>
      <c r="B99" s="4">
        <v>19634</v>
      </c>
      <c r="C99" s="4">
        <v>20353</v>
      </c>
      <c r="D99" s="4">
        <v>23469</v>
      </c>
      <c r="E99" s="4">
        <v>23314</v>
      </c>
      <c r="F99" s="4">
        <v>26455</v>
      </c>
      <c r="G99" s="16">
        <v>31226</v>
      </c>
      <c r="H99" s="16">
        <v>38153</v>
      </c>
      <c r="I99" s="16">
        <v>44098</v>
      </c>
      <c r="J99" s="16">
        <v>52308</v>
      </c>
      <c r="K99" s="16">
        <v>55236</v>
      </c>
      <c r="L99" s="16">
        <v>57197</v>
      </c>
      <c r="M99" s="16">
        <v>58011</v>
      </c>
      <c r="N99" s="121">
        <v>51775</v>
      </c>
      <c r="O99" s="121">
        <v>41874</v>
      </c>
      <c r="P99" s="121">
        <v>52995</v>
      </c>
      <c r="Q99" s="89">
        <f t="shared" si="19"/>
        <v>0.69714340613591241</v>
      </c>
      <c r="R99" s="96">
        <f t="shared" si="20"/>
        <v>-7.3465391541514422E-2</v>
      </c>
      <c r="S99" s="96">
        <f t="shared" si="21"/>
        <v>0.26558246167072647</v>
      </c>
      <c r="T99" s="98">
        <f t="shared" si="22"/>
        <v>0.23675921996113208</v>
      </c>
    </row>
    <row r="100" spans="1:20" x14ac:dyDescent="0.2">
      <c r="A100" s="5" t="s">
        <v>4</v>
      </c>
      <c r="B100" s="5">
        <v>84800</v>
      </c>
      <c r="C100" s="5">
        <v>96406</v>
      </c>
      <c r="D100" s="5">
        <v>105514</v>
      </c>
      <c r="E100" s="5">
        <v>101649</v>
      </c>
      <c r="F100" s="5">
        <v>117839</v>
      </c>
      <c r="G100" s="5">
        <v>135145</v>
      </c>
      <c r="H100" s="5">
        <v>156236</v>
      </c>
      <c r="I100" s="5">
        <v>170654</v>
      </c>
      <c r="J100" s="5">
        <v>187766</v>
      </c>
      <c r="K100" s="5">
        <v>195964</v>
      </c>
      <c r="L100" s="5">
        <v>204367</v>
      </c>
      <c r="M100" s="5">
        <v>207962</v>
      </c>
      <c r="N100" s="5">
        <v>199863</v>
      </c>
      <c r="O100" s="5">
        <v>159147</v>
      </c>
      <c r="P100" s="5">
        <f>SUM(P90:P99)</f>
        <v>223835</v>
      </c>
      <c r="Q100" s="73">
        <f t="shared" si="19"/>
        <v>0.65625809315919936</v>
      </c>
      <c r="R100" s="97">
        <f t="shared" si="20"/>
        <v>9.5259997944873678E-2</v>
      </c>
      <c r="S100" s="97">
        <f t="shared" si="21"/>
        <v>0.40646697707151253</v>
      </c>
      <c r="T100" s="99">
        <f t="shared" si="22"/>
        <v>1</v>
      </c>
    </row>
    <row r="101" spans="1:20" x14ac:dyDescent="0.2">
      <c r="A101" s="67"/>
      <c r="B101" s="67"/>
      <c r="C101" s="67"/>
      <c r="D101" s="67"/>
      <c r="E101" s="67"/>
      <c r="F101" s="67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</row>
    <row r="102" spans="1:20" ht="15.75" x14ac:dyDescent="0.2">
      <c r="A102" s="117" t="s">
        <v>311</v>
      </c>
      <c r="B102" s="35"/>
      <c r="C102" s="35"/>
      <c r="D102" s="35"/>
      <c r="E102" s="35"/>
      <c r="F102" s="35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</row>
    <row r="103" spans="1:20" ht="25.5" x14ac:dyDescent="0.2">
      <c r="A103" s="78" t="s">
        <v>51</v>
      </c>
      <c r="B103" s="3">
        <v>2007</v>
      </c>
      <c r="C103" s="3">
        <v>2008</v>
      </c>
      <c r="D103" s="3">
        <v>2009</v>
      </c>
      <c r="E103" s="3">
        <v>2010</v>
      </c>
      <c r="F103" s="3">
        <v>2011</v>
      </c>
      <c r="G103" s="3">
        <v>2012</v>
      </c>
      <c r="H103" s="3">
        <v>2013</v>
      </c>
      <c r="I103" s="3">
        <v>2014</v>
      </c>
      <c r="J103" s="3">
        <v>2015</v>
      </c>
      <c r="K103" s="3">
        <v>2016</v>
      </c>
      <c r="L103" s="3">
        <v>2017</v>
      </c>
      <c r="M103" s="3">
        <v>2018</v>
      </c>
      <c r="N103" s="3">
        <v>2019</v>
      </c>
      <c r="O103" s="3">
        <v>2020</v>
      </c>
      <c r="P103" s="3">
        <v>2021</v>
      </c>
      <c r="Q103" s="12" t="s">
        <v>370</v>
      </c>
      <c r="R103" s="12" t="s">
        <v>371</v>
      </c>
      <c r="S103" s="12" t="s">
        <v>372</v>
      </c>
      <c r="T103" s="12" t="s">
        <v>373</v>
      </c>
    </row>
    <row r="104" spans="1:20" x14ac:dyDescent="0.2">
      <c r="A104" s="4" t="s">
        <v>52</v>
      </c>
      <c r="B104" s="4">
        <v>2187</v>
      </c>
      <c r="C104" s="4">
        <v>4772</v>
      </c>
      <c r="D104" s="4">
        <v>3886</v>
      </c>
      <c r="E104" s="4">
        <v>2343</v>
      </c>
      <c r="F104" s="4">
        <v>5297</v>
      </c>
      <c r="G104" s="4">
        <v>6494</v>
      </c>
      <c r="H104" s="4">
        <v>6712</v>
      </c>
      <c r="I104" s="4">
        <v>6103</v>
      </c>
      <c r="J104" s="4">
        <v>5949</v>
      </c>
      <c r="K104" s="4">
        <v>5856</v>
      </c>
      <c r="L104" s="4">
        <v>4621</v>
      </c>
      <c r="M104" s="4">
        <v>5278</v>
      </c>
      <c r="N104" s="4">
        <v>4714</v>
      </c>
      <c r="O104" s="4">
        <v>3239</v>
      </c>
      <c r="P104" s="4">
        <v>4854</v>
      </c>
      <c r="Q104" s="89">
        <f t="shared" ref="Q104:Q123" si="23">(P104-G104)/G104</f>
        <v>-0.2525408068986757</v>
      </c>
      <c r="R104" s="96">
        <f t="shared" ref="R104:R123" si="24">(P104-L104)/L104</f>
        <v>5.0421986582990692E-2</v>
      </c>
      <c r="S104" s="96">
        <f t="shared" ref="S104:S123" si="25">(P104-O104)/O104</f>
        <v>0.49861068230935474</v>
      </c>
      <c r="T104" s="98">
        <f>P104/P$6</f>
        <v>0.13711864406779661</v>
      </c>
    </row>
    <row r="105" spans="1:20" x14ac:dyDescent="0.2">
      <c r="A105" s="4" t="s">
        <v>54</v>
      </c>
      <c r="B105" s="4">
        <v>511</v>
      </c>
      <c r="C105" s="4">
        <v>770</v>
      </c>
      <c r="D105" s="4">
        <v>809</v>
      </c>
      <c r="E105" s="4">
        <v>983</v>
      </c>
      <c r="F105" s="4">
        <v>1465</v>
      </c>
      <c r="G105" s="4">
        <v>1598</v>
      </c>
      <c r="H105" s="4">
        <v>1942</v>
      </c>
      <c r="I105" s="4">
        <v>1817</v>
      </c>
      <c r="J105" s="4">
        <v>2344</v>
      </c>
      <c r="K105" s="4">
        <v>3744</v>
      </c>
      <c r="L105" s="4">
        <v>3216</v>
      </c>
      <c r="M105" s="4">
        <v>3410</v>
      </c>
      <c r="N105" s="4">
        <v>3640</v>
      </c>
      <c r="O105" s="4">
        <v>2783</v>
      </c>
      <c r="P105" s="4">
        <v>3787</v>
      </c>
      <c r="Q105" s="89">
        <f t="shared" si="23"/>
        <v>1.3698372966207759</v>
      </c>
      <c r="R105" s="96">
        <f t="shared" si="24"/>
        <v>0.17754975124378108</v>
      </c>
      <c r="S105" s="96">
        <f t="shared" si="25"/>
        <v>0.36076176787639236</v>
      </c>
      <c r="T105" s="98">
        <f t="shared" ref="T105:T123" si="26">P105/P$6</f>
        <v>0.1069774011299435</v>
      </c>
    </row>
    <row r="106" spans="1:20" x14ac:dyDescent="0.2">
      <c r="A106" s="4" t="s">
        <v>55</v>
      </c>
      <c r="B106" s="4">
        <v>243</v>
      </c>
      <c r="C106" s="4">
        <v>356</v>
      </c>
      <c r="D106" s="4">
        <v>342</v>
      </c>
      <c r="E106" s="4">
        <v>401</v>
      </c>
      <c r="F106" s="4">
        <v>831</v>
      </c>
      <c r="G106" s="4">
        <v>1140</v>
      </c>
      <c r="H106" s="4">
        <v>1671</v>
      </c>
      <c r="I106" s="4">
        <v>1709</v>
      </c>
      <c r="J106" s="4">
        <v>1734</v>
      </c>
      <c r="K106" s="4">
        <v>1911</v>
      </c>
      <c r="L106" s="4">
        <v>1949</v>
      </c>
      <c r="M106" s="4">
        <v>2794</v>
      </c>
      <c r="N106" s="4">
        <v>2950</v>
      </c>
      <c r="O106" s="4">
        <v>2479</v>
      </c>
      <c r="P106" s="4">
        <v>3556</v>
      </c>
      <c r="Q106" s="89">
        <f t="shared" si="23"/>
        <v>2.119298245614035</v>
      </c>
      <c r="R106" s="96">
        <f t="shared" si="24"/>
        <v>0.82452539763981525</v>
      </c>
      <c r="S106" s="96">
        <f t="shared" si="25"/>
        <v>0.4344493747478822</v>
      </c>
      <c r="T106" s="98">
        <f t="shared" si="26"/>
        <v>0.10045197740112995</v>
      </c>
    </row>
    <row r="107" spans="1:20" x14ac:dyDescent="0.2">
      <c r="A107" s="4" t="s">
        <v>56</v>
      </c>
      <c r="B107" s="4">
        <v>918</v>
      </c>
      <c r="C107" s="4">
        <v>1065</v>
      </c>
      <c r="D107" s="4">
        <v>866</v>
      </c>
      <c r="E107" s="4">
        <v>712</v>
      </c>
      <c r="F107" s="4">
        <v>982</v>
      </c>
      <c r="G107" s="4">
        <v>1283</v>
      </c>
      <c r="H107" s="4">
        <v>1441</v>
      </c>
      <c r="I107" s="4">
        <v>1341</v>
      </c>
      <c r="J107" s="4">
        <v>1349</v>
      </c>
      <c r="K107" s="4">
        <v>1610</v>
      </c>
      <c r="L107" s="4">
        <v>2192</v>
      </c>
      <c r="M107" s="4">
        <v>2274</v>
      </c>
      <c r="N107" s="4">
        <v>2048</v>
      </c>
      <c r="O107" s="4">
        <v>926</v>
      </c>
      <c r="P107" s="4">
        <v>1760</v>
      </c>
      <c r="Q107" s="89">
        <f t="shared" si="23"/>
        <v>0.37178487918939984</v>
      </c>
      <c r="R107" s="96">
        <f t="shared" si="24"/>
        <v>-0.19708029197080293</v>
      </c>
      <c r="S107" s="96">
        <f t="shared" si="25"/>
        <v>0.90064794816414684</v>
      </c>
      <c r="T107" s="98">
        <f t="shared" si="26"/>
        <v>4.9717514124293788E-2</v>
      </c>
    </row>
    <row r="108" spans="1:20" x14ac:dyDescent="0.2">
      <c r="A108" s="30" t="s">
        <v>57</v>
      </c>
      <c r="B108" s="30">
        <v>151</v>
      </c>
      <c r="C108" s="4">
        <v>656</v>
      </c>
      <c r="D108" s="4">
        <v>683</v>
      </c>
      <c r="E108" s="4">
        <v>694</v>
      </c>
      <c r="F108" s="4">
        <v>891</v>
      </c>
      <c r="G108" s="4">
        <v>1071</v>
      </c>
      <c r="H108" s="4">
        <v>1143</v>
      </c>
      <c r="I108" s="4">
        <v>1404</v>
      </c>
      <c r="J108" s="4">
        <v>1755</v>
      </c>
      <c r="K108" s="4">
        <v>1916</v>
      </c>
      <c r="L108" s="4">
        <v>2015</v>
      </c>
      <c r="M108" s="4">
        <v>2036</v>
      </c>
      <c r="N108" s="4">
        <v>1971</v>
      </c>
      <c r="O108" s="4">
        <v>1073</v>
      </c>
      <c r="P108" s="4">
        <v>1717</v>
      </c>
      <c r="Q108" s="89">
        <f t="shared" si="23"/>
        <v>0.60317460317460314</v>
      </c>
      <c r="R108" s="96">
        <f t="shared" si="24"/>
        <v>-0.14789081885856079</v>
      </c>
      <c r="S108" s="96">
        <f t="shared" si="25"/>
        <v>0.60018639328984158</v>
      </c>
      <c r="T108" s="98">
        <f t="shared" si="26"/>
        <v>4.8502824858757065E-2</v>
      </c>
    </row>
    <row r="109" spans="1:20" x14ac:dyDescent="0.2">
      <c r="A109" s="30" t="s">
        <v>59</v>
      </c>
      <c r="B109" s="30">
        <v>306</v>
      </c>
      <c r="C109" s="4">
        <v>680</v>
      </c>
      <c r="D109" s="4">
        <v>374</v>
      </c>
      <c r="E109" s="4">
        <v>31</v>
      </c>
      <c r="F109" s="4">
        <v>495</v>
      </c>
      <c r="G109" s="4">
        <v>577</v>
      </c>
      <c r="H109" s="4">
        <v>688</v>
      </c>
      <c r="I109" s="4">
        <v>802</v>
      </c>
      <c r="J109" s="4">
        <v>811</v>
      </c>
      <c r="K109" s="4">
        <v>829</v>
      </c>
      <c r="L109" s="4">
        <v>899</v>
      </c>
      <c r="M109" s="4">
        <v>1100</v>
      </c>
      <c r="N109" s="4">
        <v>1111</v>
      </c>
      <c r="O109" s="4">
        <v>824</v>
      </c>
      <c r="P109" s="4">
        <v>1370</v>
      </c>
      <c r="Q109" s="89">
        <f t="shared" si="23"/>
        <v>1.3743500866551126</v>
      </c>
      <c r="R109" s="96">
        <f t="shared" si="24"/>
        <v>0.52391546162402669</v>
      </c>
      <c r="S109" s="96">
        <f t="shared" si="25"/>
        <v>0.66262135922330101</v>
      </c>
      <c r="T109" s="98">
        <f t="shared" si="26"/>
        <v>3.8700564971751415E-2</v>
      </c>
    </row>
    <row r="110" spans="1:20" x14ac:dyDescent="0.2">
      <c r="A110" s="4" t="s">
        <v>60</v>
      </c>
      <c r="B110" s="4">
        <v>203</v>
      </c>
      <c r="C110" s="4">
        <v>230</v>
      </c>
      <c r="D110" s="4">
        <v>310</v>
      </c>
      <c r="E110" s="4">
        <v>359</v>
      </c>
      <c r="F110" s="4">
        <v>537</v>
      </c>
      <c r="G110" s="4">
        <v>450</v>
      </c>
      <c r="H110" s="4">
        <v>598</v>
      </c>
      <c r="I110" s="4">
        <v>725</v>
      </c>
      <c r="J110" s="4">
        <v>794</v>
      </c>
      <c r="K110" s="4">
        <v>1185</v>
      </c>
      <c r="L110" s="4">
        <v>1443</v>
      </c>
      <c r="M110" s="4">
        <v>1444</v>
      </c>
      <c r="N110" s="4">
        <v>1393</v>
      </c>
      <c r="O110" s="4">
        <v>818</v>
      </c>
      <c r="P110" s="4">
        <v>1231</v>
      </c>
      <c r="Q110" s="89">
        <f t="shared" si="23"/>
        <v>1.7355555555555555</v>
      </c>
      <c r="R110" s="96">
        <f t="shared" si="24"/>
        <v>-0.14691614691614691</v>
      </c>
      <c r="S110" s="96">
        <f t="shared" si="25"/>
        <v>0.50488997555012227</v>
      </c>
      <c r="T110" s="98">
        <f t="shared" si="26"/>
        <v>3.4774011299435026E-2</v>
      </c>
    </row>
    <row r="111" spans="1:20" x14ac:dyDescent="0.2">
      <c r="A111" s="4" t="s">
        <v>62</v>
      </c>
      <c r="B111" s="4">
        <v>52</v>
      </c>
      <c r="C111" s="4">
        <v>235</v>
      </c>
      <c r="D111" s="4">
        <v>210</v>
      </c>
      <c r="E111" s="4">
        <v>280</v>
      </c>
      <c r="F111" s="4">
        <v>408</v>
      </c>
      <c r="G111" s="4">
        <v>403</v>
      </c>
      <c r="H111" s="4">
        <v>465</v>
      </c>
      <c r="I111" s="4">
        <v>594</v>
      </c>
      <c r="J111" s="4">
        <v>598</v>
      </c>
      <c r="K111" s="4">
        <v>822</v>
      </c>
      <c r="L111" s="4">
        <v>851</v>
      </c>
      <c r="M111" s="4">
        <v>989</v>
      </c>
      <c r="N111" s="4">
        <v>1021</v>
      </c>
      <c r="O111" s="4">
        <v>683</v>
      </c>
      <c r="P111" s="4">
        <v>1048</v>
      </c>
      <c r="Q111" s="89">
        <f t="shared" si="23"/>
        <v>1.6004962779156326</v>
      </c>
      <c r="R111" s="96">
        <f t="shared" si="24"/>
        <v>0.23149236192714454</v>
      </c>
      <c r="S111" s="96">
        <f t="shared" si="25"/>
        <v>0.53440702781844807</v>
      </c>
      <c r="T111" s="98">
        <f t="shared" si="26"/>
        <v>2.9604519774011299E-2</v>
      </c>
    </row>
    <row r="112" spans="1:20" x14ac:dyDescent="0.2">
      <c r="A112" s="4" t="s">
        <v>263</v>
      </c>
      <c r="B112" s="4">
        <v>61</v>
      </c>
      <c r="C112" s="4">
        <v>140</v>
      </c>
      <c r="D112" s="4">
        <v>213</v>
      </c>
      <c r="E112" s="4">
        <v>117</v>
      </c>
      <c r="F112" s="4">
        <v>141</v>
      </c>
      <c r="G112" s="4">
        <v>275</v>
      </c>
      <c r="H112" s="4">
        <v>271</v>
      </c>
      <c r="I112" s="4">
        <v>284</v>
      </c>
      <c r="J112" s="4">
        <v>366</v>
      </c>
      <c r="K112" s="4">
        <v>348</v>
      </c>
      <c r="L112" s="4">
        <v>486</v>
      </c>
      <c r="M112" s="4">
        <v>731</v>
      </c>
      <c r="N112" s="4">
        <v>739</v>
      </c>
      <c r="O112" s="4">
        <v>733</v>
      </c>
      <c r="P112" s="4">
        <v>1006</v>
      </c>
      <c r="Q112" s="89">
        <f t="shared" si="23"/>
        <v>2.6581818181818182</v>
      </c>
      <c r="R112" s="96">
        <f t="shared" si="24"/>
        <v>1.0699588477366255</v>
      </c>
      <c r="S112" s="96">
        <f t="shared" si="25"/>
        <v>0.37244201909959074</v>
      </c>
      <c r="T112" s="98">
        <f t="shared" si="26"/>
        <v>2.8418079096045198E-2</v>
      </c>
    </row>
    <row r="113" spans="1:20" x14ac:dyDescent="0.2">
      <c r="A113" s="4" t="s">
        <v>63</v>
      </c>
      <c r="B113" s="4">
        <v>278</v>
      </c>
      <c r="C113" s="4">
        <v>542</v>
      </c>
      <c r="D113" s="4">
        <v>344</v>
      </c>
      <c r="E113" s="4">
        <v>167</v>
      </c>
      <c r="F113" s="4">
        <v>409</v>
      </c>
      <c r="G113" s="4">
        <v>487</v>
      </c>
      <c r="H113" s="4">
        <v>523</v>
      </c>
      <c r="I113" s="4">
        <v>511</v>
      </c>
      <c r="J113" s="4">
        <v>609</v>
      </c>
      <c r="K113" s="4">
        <v>727</v>
      </c>
      <c r="L113" s="4">
        <v>706</v>
      </c>
      <c r="M113" s="4">
        <v>890</v>
      </c>
      <c r="N113" s="4">
        <v>806</v>
      </c>
      <c r="O113" s="4">
        <v>638</v>
      </c>
      <c r="P113" s="4">
        <v>996</v>
      </c>
      <c r="Q113" s="89">
        <f t="shared" si="23"/>
        <v>1.0451745379876796</v>
      </c>
      <c r="R113" s="96">
        <f t="shared" si="24"/>
        <v>0.41076487252124644</v>
      </c>
      <c r="S113" s="96">
        <f t="shared" si="25"/>
        <v>0.56112852664576807</v>
      </c>
      <c r="T113" s="98">
        <f t="shared" si="26"/>
        <v>2.8135593220338984E-2</v>
      </c>
    </row>
    <row r="114" spans="1:20" x14ac:dyDescent="0.2">
      <c r="A114" s="4" t="s">
        <v>61</v>
      </c>
      <c r="B114" s="4">
        <v>177</v>
      </c>
      <c r="C114" s="4">
        <v>254</v>
      </c>
      <c r="D114" s="4">
        <v>229</v>
      </c>
      <c r="E114" s="4">
        <v>224</v>
      </c>
      <c r="F114" s="4">
        <v>763</v>
      </c>
      <c r="G114" s="4">
        <v>703</v>
      </c>
      <c r="H114" s="4">
        <v>712</v>
      </c>
      <c r="I114" s="4">
        <v>655</v>
      </c>
      <c r="J114" s="4">
        <v>609</v>
      </c>
      <c r="K114" s="4">
        <v>645</v>
      </c>
      <c r="L114" s="4">
        <v>643</v>
      </c>
      <c r="M114" s="4">
        <v>648</v>
      </c>
      <c r="N114" s="4">
        <v>651</v>
      </c>
      <c r="O114" s="4">
        <v>424</v>
      </c>
      <c r="P114" s="4">
        <v>972</v>
      </c>
      <c r="Q114" s="89">
        <f t="shared" si="23"/>
        <v>0.38264580369843526</v>
      </c>
      <c r="R114" s="96">
        <f t="shared" si="24"/>
        <v>0.51166407465007779</v>
      </c>
      <c r="S114" s="96">
        <f t="shared" si="25"/>
        <v>1.2924528301886793</v>
      </c>
      <c r="T114" s="98">
        <f t="shared" si="26"/>
        <v>2.7457627118644069E-2</v>
      </c>
    </row>
    <row r="115" spans="1:20" x14ac:dyDescent="0.2">
      <c r="A115" s="4" t="s">
        <v>66</v>
      </c>
      <c r="B115" s="4">
        <v>195</v>
      </c>
      <c r="C115" s="4">
        <v>173</v>
      </c>
      <c r="D115" s="4">
        <v>201</v>
      </c>
      <c r="E115" s="4">
        <v>228</v>
      </c>
      <c r="F115" s="4">
        <v>352</v>
      </c>
      <c r="G115" s="4">
        <v>382</v>
      </c>
      <c r="H115" s="4">
        <v>388</v>
      </c>
      <c r="I115" s="4">
        <v>369</v>
      </c>
      <c r="J115" s="4">
        <v>485</v>
      </c>
      <c r="K115" s="4">
        <v>480</v>
      </c>
      <c r="L115" s="4">
        <v>611</v>
      </c>
      <c r="M115" s="4">
        <v>723</v>
      </c>
      <c r="N115" s="4">
        <v>840</v>
      </c>
      <c r="O115" s="4">
        <v>571</v>
      </c>
      <c r="P115" s="4">
        <v>903</v>
      </c>
      <c r="Q115" s="89">
        <f t="shared" si="23"/>
        <v>1.3638743455497382</v>
      </c>
      <c r="R115" s="96">
        <f t="shared" si="24"/>
        <v>0.47790507364975449</v>
      </c>
      <c r="S115" s="96">
        <f t="shared" si="25"/>
        <v>0.58143607705779332</v>
      </c>
      <c r="T115" s="98">
        <f t="shared" si="26"/>
        <v>2.5508474576271187E-2</v>
      </c>
    </row>
    <row r="116" spans="1:20" x14ac:dyDescent="0.2">
      <c r="A116" s="4" t="s">
        <v>65</v>
      </c>
      <c r="B116" s="4">
        <v>364</v>
      </c>
      <c r="C116" s="4">
        <v>387</v>
      </c>
      <c r="D116" s="4">
        <v>343</v>
      </c>
      <c r="E116" s="4">
        <v>330</v>
      </c>
      <c r="F116" s="4">
        <v>396</v>
      </c>
      <c r="G116" s="4">
        <v>346</v>
      </c>
      <c r="H116" s="4">
        <v>404</v>
      </c>
      <c r="I116" s="4">
        <v>366</v>
      </c>
      <c r="J116" s="4">
        <v>423</v>
      </c>
      <c r="K116" s="4">
        <v>571</v>
      </c>
      <c r="L116" s="4">
        <v>591</v>
      </c>
      <c r="M116" s="4">
        <v>794</v>
      </c>
      <c r="N116" s="4">
        <v>696</v>
      </c>
      <c r="O116" s="4">
        <v>655</v>
      </c>
      <c r="P116" s="4">
        <v>888</v>
      </c>
      <c r="Q116" s="89">
        <f t="shared" si="23"/>
        <v>1.5664739884393064</v>
      </c>
      <c r="R116" s="96">
        <f t="shared" si="24"/>
        <v>0.5025380710659898</v>
      </c>
      <c r="S116" s="96">
        <f t="shared" si="25"/>
        <v>0.35572519083969467</v>
      </c>
      <c r="T116" s="98">
        <f t="shared" si="26"/>
        <v>2.5084745762711864E-2</v>
      </c>
    </row>
    <row r="117" spans="1:20" x14ac:dyDescent="0.2">
      <c r="A117" s="4" t="s">
        <v>64</v>
      </c>
      <c r="B117" s="4">
        <v>213</v>
      </c>
      <c r="C117" s="4">
        <v>241</v>
      </c>
      <c r="D117" s="4">
        <v>206</v>
      </c>
      <c r="E117" s="4">
        <v>218</v>
      </c>
      <c r="F117" s="4">
        <v>410</v>
      </c>
      <c r="G117" s="4">
        <v>371</v>
      </c>
      <c r="H117" s="4">
        <v>477</v>
      </c>
      <c r="I117" s="4">
        <v>513</v>
      </c>
      <c r="J117" s="4">
        <v>609</v>
      </c>
      <c r="K117" s="4">
        <v>702</v>
      </c>
      <c r="L117" s="4">
        <v>759</v>
      </c>
      <c r="M117" s="4">
        <v>1028</v>
      </c>
      <c r="N117" s="4">
        <v>1121</v>
      </c>
      <c r="O117" s="4">
        <v>779</v>
      </c>
      <c r="P117" s="4">
        <v>858</v>
      </c>
      <c r="Q117" s="89">
        <f t="shared" si="23"/>
        <v>1.3126684636118597</v>
      </c>
      <c r="R117" s="96">
        <f t="shared" si="24"/>
        <v>0.13043478260869565</v>
      </c>
      <c r="S117" s="96">
        <f t="shared" si="25"/>
        <v>0.10141206675224647</v>
      </c>
      <c r="T117" s="98">
        <f t="shared" si="26"/>
        <v>2.423728813559322E-2</v>
      </c>
    </row>
    <row r="118" spans="1:20" x14ac:dyDescent="0.2">
      <c r="A118" s="4" t="s">
        <v>229</v>
      </c>
      <c r="B118" s="4">
        <v>274</v>
      </c>
      <c r="C118" s="4">
        <v>218</v>
      </c>
      <c r="D118" s="4">
        <v>199</v>
      </c>
      <c r="E118" s="4">
        <v>264</v>
      </c>
      <c r="F118" s="4">
        <v>314</v>
      </c>
      <c r="G118" s="4">
        <v>353</v>
      </c>
      <c r="H118" s="4">
        <v>345</v>
      </c>
      <c r="I118" s="4">
        <v>399</v>
      </c>
      <c r="J118" s="4">
        <v>430</v>
      </c>
      <c r="K118" s="4">
        <v>431</v>
      </c>
      <c r="L118" s="4">
        <v>506</v>
      </c>
      <c r="M118" s="4">
        <v>563</v>
      </c>
      <c r="N118" s="4">
        <v>659</v>
      </c>
      <c r="O118" s="4">
        <v>523</v>
      </c>
      <c r="P118" s="4">
        <v>815</v>
      </c>
      <c r="Q118" s="89">
        <f t="shared" si="23"/>
        <v>1.3087818696883853</v>
      </c>
      <c r="R118" s="96">
        <f t="shared" si="24"/>
        <v>0.61067193675889331</v>
      </c>
      <c r="S118" s="96">
        <f t="shared" si="25"/>
        <v>0.55831739961759086</v>
      </c>
      <c r="T118" s="98">
        <f t="shared" si="26"/>
        <v>2.3022598870056497E-2</v>
      </c>
    </row>
    <row r="119" spans="1:20" x14ac:dyDescent="0.2">
      <c r="A119" s="4" t="s">
        <v>75</v>
      </c>
      <c r="B119" s="4">
        <v>80</v>
      </c>
      <c r="C119" s="4">
        <v>72</v>
      </c>
      <c r="D119" s="4">
        <v>99</v>
      </c>
      <c r="E119" s="4">
        <v>84</v>
      </c>
      <c r="F119" s="4">
        <v>113</v>
      </c>
      <c r="G119" s="4">
        <v>102</v>
      </c>
      <c r="H119" s="4">
        <v>132</v>
      </c>
      <c r="I119" s="4">
        <v>180</v>
      </c>
      <c r="J119" s="4">
        <v>246</v>
      </c>
      <c r="K119" s="4">
        <v>317</v>
      </c>
      <c r="L119" s="4">
        <v>457</v>
      </c>
      <c r="M119" s="4">
        <v>423</v>
      </c>
      <c r="N119" s="4">
        <v>520</v>
      </c>
      <c r="O119" s="4">
        <v>640</v>
      </c>
      <c r="P119" s="4">
        <v>806</v>
      </c>
      <c r="Q119" s="89">
        <f t="shared" si="23"/>
        <v>6.9019607843137258</v>
      </c>
      <c r="R119" s="96">
        <f t="shared" si="24"/>
        <v>0.76367614879649892</v>
      </c>
      <c r="S119" s="96">
        <f t="shared" si="25"/>
        <v>0.25937500000000002</v>
      </c>
      <c r="T119" s="98">
        <f t="shared" si="26"/>
        <v>2.2768361581920905E-2</v>
      </c>
    </row>
    <row r="120" spans="1:20" x14ac:dyDescent="0.2">
      <c r="A120" s="30" t="s">
        <v>415</v>
      </c>
      <c r="B120" s="30">
        <v>86</v>
      </c>
      <c r="C120" s="4">
        <v>292</v>
      </c>
      <c r="D120" s="4">
        <v>275</v>
      </c>
      <c r="E120" s="4">
        <v>154</v>
      </c>
      <c r="F120" s="4">
        <v>362</v>
      </c>
      <c r="G120" s="4">
        <v>519</v>
      </c>
      <c r="H120" s="4">
        <v>576</v>
      </c>
      <c r="I120" s="4">
        <v>524</v>
      </c>
      <c r="J120" s="4">
        <v>556</v>
      </c>
      <c r="K120" s="4">
        <v>582</v>
      </c>
      <c r="L120" s="4">
        <v>541</v>
      </c>
      <c r="M120" s="4">
        <v>701</v>
      </c>
      <c r="N120" s="4">
        <v>774</v>
      </c>
      <c r="O120" s="4">
        <v>286</v>
      </c>
      <c r="P120" s="4">
        <v>746</v>
      </c>
      <c r="Q120" s="89">
        <f t="shared" si="23"/>
        <v>0.43737957610789979</v>
      </c>
      <c r="R120" s="96">
        <f t="shared" si="24"/>
        <v>0.37892791127541592</v>
      </c>
      <c r="S120" s="96">
        <f t="shared" si="25"/>
        <v>1.6083916083916083</v>
      </c>
      <c r="T120" s="98">
        <f t="shared" si="26"/>
        <v>2.1073446327683616E-2</v>
      </c>
    </row>
    <row r="121" spans="1:20" x14ac:dyDescent="0.2">
      <c r="A121" s="30" t="s">
        <v>58</v>
      </c>
      <c r="B121" s="30">
        <v>521</v>
      </c>
      <c r="C121" s="4">
        <v>453</v>
      </c>
      <c r="D121" s="4">
        <v>538</v>
      </c>
      <c r="E121" s="4">
        <v>733</v>
      </c>
      <c r="F121" s="4">
        <v>655</v>
      </c>
      <c r="G121" s="4">
        <v>713</v>
      </c>
      <c r="H121" s="4">
        <v>794</v>
      </c>
      <c r="I121" s="4">
        <v>781</v>
      </c>
      <c r="J121" s="4">
        <v>781</v>
      </c>
      <c r="K121" s="4">
        <v>813</v>
      </c>
      <c r="L121" s="4">
        <v>821</v>
      </c>
      <c r="M121" s="4">
        <v>601</v>
      </c>
      <c r="N121" s="4">
        <v>558</v>
      </c>
      <c r="O121" s="4">
        <v>430</v>
      </c>
      <c r="P121" s="4">
        <v>592</v>
      </c>
      <c r="Q121" s="89">
        <f t="shared" si="23"/>
        <v>-0.1697054698457223</v>
      </c>
      <c r="R121" s="96">
        <f t="shared" si="24"/>
        <v>-0.27892813641900122</v>
      </c>
      <c r="S121" s="96">
        <f t="shared" si="25"/>
        <v>0.37674418604651161</v>
      </c>
      <c r="T121" s="98">
        <f t="shared" si="26"/>
        <v>1.6723163841807911E-2</v>
      </c>
    </row>
    <row r="122" spans="1:20" x14ac:dyDescent="0.2">
      <c r="A122" s="4" t="s">
        <v>53</v>
      </c>
      <c r="B122" s="4">
        <v>410</v>
      </c>
      <c r="C122" s="4">
        <v>661</v>
      </c>
      <c r="D122" s="4">
        <v>710</v>
      </c>
      <c r="E122" s="4">
        <v>677</v>
      </c>
      <c r="F122" s="4">
        <v>1049</v>
      </c>
      <c r="G122" s="4">
        <v>1502</v>
      </c>
      <c r="H122" s="4">
        <v>1997</v>
      </c>
      <c r="I122" s="4">
        <v>2283</v>
      </c>
      <c r="J122" s="4">
        <v>3623</v>
      </c>
      <c r="K122" s="4">
        <v>3637</v>
      </c>
      <c r="L122" s="4">
        <v>2863</v>
      </c>
      <c r="M122" s="4">
        <v>2187</v>
      </c>
      <c r="N122" s="4">
        <v>1333</v>
      </c>
      <c r="O122" s="4">
        <v>540</v>
      </c>
      <c r="P122" s="4">
        <v>516</v>
      </c>
      <c r="Q122" s="89">
        <f t="shared" si="23"/>
        <v>-0.65645805592543272</v>
      </c>
      <c r="R122" s="96">
        <f t="shared" si="24"/>
        <v>-0.81976947258120847</v>
      </c>
      <c r="S122" s="96">
        <f t="shared" si="25"/>
        <v>-4.4444444444444446E-2</v>
      </c>
      <c r="T122" s="98">
        <f t="shared" si="26"/>
        <v>1.4576271186440677E-2</v>
      </c>
    </row>
    <row r="123" spans="1:20" x14ac:dyDescent="0.2">
      <c r="A123" s="4" t="s">
        <v>416</v>
      </c>
      <c r="B123" s="4">
        <v>47</v>
      </c>
      <c r="C123" s="4">
        <v>108</v>
      </c>
      <c r="D123" s="4">
        <v>135</v>
      </c>
      <c r="E123" s="4">
        <v>145</v>
      </c>
      <c r="F123" s="4">
        <v>332</v>
      </c>
      <c r="G123" s="4">
        <v>286</v>
      </c>
      <c r="H123" s="4">
        <v>379</v>
      </c>
      <c r="I123" s="4">
        <v>343</v>
      </c>
      <c r="J123" s="4">
        <v>384</v>
      </c>
      <c r="K123" s="4">
        <v>397</v>
      </c>
      <c r="L123" s="4">
        <v>417</v>
      </c>
      <c r="M123" s="4">
        <v>428</v>
      </c>
      <c r="N123" s="4">
        <v>379</v>
      </c>
      <c r="O123" s="4">
        <v>227</v>
      </c>
      <c r="P123" s="4">
        <v>505</v>
      </c>
      <c r="Q123" s="89">
        <f t="shared" si="23"/>
        <v>0.76573426573426573</v>
      </c>
      <c r="R123" s="96">
        <f t="shared" si="24"/>
        <v>0.21103117505995203</v>
      </c>
      <c r="S123" s="96">
        <f t="shared" si="25"/>
        <v>1.224669603524229</v>
      </c>
      <c r="T123" s="98">
        <f t="shared" si="26"/>
        <v>1.4265536723163842E-2</v>
      </c>
    </row>
    <row r="124" spans="1:20" x14ac:dyDescent="0.2">
      <c r="T124" s="131"/>
    </row>
    <row r="125" spans="1:20" ht="15.75" x14ac:dyDescent="0.2">
      <c r="A125" s="117" t="s">
        <v>312</v>
      </c>
      <c r="B125" s="35"/>
      <c r="C125" s="35"/>
      <c r="D125" s="35"/>
      <c r="E125" s="35"/>
      <c r="F125" s="35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</row>
    <row r="126" spans="1:20" ht="25.5" x14ac:dyDescent="0.2">
      <c r="A126" s="78" t="s">
        <v>51</v>
      </c>
      <c r="B126" s="3">
        <v>2007</v>
      </c>
      <c r="C126" s="3">
        <v>2008</v>
      </c>
      <c r="D126" s="3">
        <v>2009</v>
      </c>
      <c r="E126" s="3">
        <v>2010</v>
      </c>
      <c r="F126" s="3">
        <v>2011</v>
      </c>
      <c r="G126" s="3">
        <v>2012</v>
      </c>
      <c r="H126" s="3">
        <v>2013</v>
      </c>
      <c r="I126" s="3">
        <v>2014</v>
      </c>
      <c r="J126" s="3">
        <v>2015</v>
      </c>
      <c r="K126" s="3">
        <v>2016</v>
      </c>
      <c r="L126" s="3">
        <v>2017</v>
      </c>
      <c r="M126" s="3">
        <v>2018</v>
      </c>
      <c r="N126" s="3">
        <v>2019</v>
      </c>
      <c r="O126" s="3">
        <v>2020</v>
      </c>
      <c r="P126" s="3">
        <v>2021</v>
      </c>
      <c r="Q126" s="12" t="s">
        <v>370</v>
      </c>
      <c r="R126" s="12" t="s">
        <v>371</v>
      </c>
      <c r="S126" s="12" t="s">
        <v>372</v>
      </c>
      <c r="T126" s="12" t="s">
        <v>373</v>
      </c>
    </row>
    <row r="127" spans="1:20" x14ac:dyDescent="0.2">
      <c r="A127" s="4" t="s">
        <v>52</v>
      </c>
      <c r="B127" s="4">
        <v>993</v>
      </c>
      <c r="C127" s="4">
        <v>2390</v>
      </c>
      <c r="D127" s="4">
        <v>3063</v>
      </c>
      <c r="E127" s="4">
        <v>3445</v>
      </c>
      <c r="F127" s="4">
        <v>3750</v>
      </c>
      <c r="G127" s="4">
        <v>4629</v>
      </c>
      <c r="H127" s="4">
        <v>5482</v>
      </c>
      <c r="I127" s="4">
        <v>6144</v>
      </c>
      <c r="J127" s="4">
        <v>6744</v>
      </c>
      <c r="K127" s="4">
        <v>6851</v>
      </c>
      <c r="L127" s="4">
        <v>6660</v>
      </c>
      <c r="M127" s="4">
        <v>6395</v>
      </c>
      <c r="N127" s="4">
        <v>6174</v>
      </c>
      <c r="O127" s="4">
        <v>5000</v>
      </c>
      <c r="P127" s="4">
        <v>6442</v>
      </c>
      <c r="Q127" s="89">
        <f t="shared" ref="Q127:Q146" si="27">(P127-G127)/G127</f>
        <v>0.39166126593216677</v>
      </c>
      <c r="R127" s="96">
        <f t="shared" ref="R127:R146" si="28">(P127-L127)/L127</f>
        <v>-3.2732732732732736E-2</v>
      </c>
      <c r="S127" s="96">
        <f t="shared" ref="S127:S146" si="29">(P127-O127)/O127</f>
        <v>0.28839999999999999</v>
      </c>
      <c r="T127" s="98">
        <f>P127/P$7</f>
        <v>7.9653786707882535E-2</v>
      </c>
    </row>
    <row r="128" spans="1:20" x14ac:dyDescent="0.2">
      <c r="A128" s="4" t="s">
        <v>55</v>
      </c>
      <c r="B128" s="4">
        <v>136</v>
      </c>
      <c r="C128" s="4">
        <v>123</v>
      </c>
      <c r="D128" s="4">
        <v>158</v>
      </c>
      <c r="E128" s="4">
        <v>305</v>
      </c>
      <c r="F128" s="4">
        <v>771</v>
      </c>
      <c r="G128" s="4">
        <v>1004</v>
      </c>
      <c r="H128" s="4">
        <v>1382</v>
      </c>
      <c r="I128" s="4">
        <v>1601</v>
      </c>
      <c r="J128" s="4">
        <v>1969</v>
      </c>
      <c r="K128" s="4">
        <v>2155</v>
      </c>
      <c r="L128" s="4">
        <v>3320</v>
      </c>
      <c r="M128" s="4">
        <v>3668</v>
      </c>
      <c r="N128" s="4">
        <v>4454</v>
      </c>
      <c r="O128" s="4">
        <v>4165</v>
      </c>
      <c r="P128" s="4">
        <v>4650</v>
      </c>
      <c r="Q128" s="89">
        <f t="shared" si="27"/>
        <v>3.6314741035856573</v>
      </c>
      <c r="R128" s="96">
        <f t="shared" si="28"/>
        <v>0.4006024096385542</v>
      </c>
      <c r="S128" s="96">
        <f t="shared" si="29"/>
        <v>0.11644657863145258</v>
      </c>
      <c r="T128" s="98">
        <f t="shared" ref="T128:T146" si="30">P128/P$7</f>
        <v>5.7496136012364758E-2</v>
      </c>
    </row>
    <row r="129" spans="1:20" x14ac:dyDescent="0.2">
      <c r="A129" s="4" t="s">
        <v>54</v>
      </c>
      <c r="B129" s="4">
        <v>357</v>
      </c>
      <c r="C129" s="4">
        <v>437</v>
      </c>
      <c r="D129" s="4">
        <v>756</v>
      </c>
      <c r="E129" s="4">
        <v>987</v>
      </c>
      <c r="F129" s="4">
        <v>1492</v>
      </c>
      <c r="G129" s="4">
        <v>2156</v>
      </c>
      <c r="H129" s="4">
        <v>2663</v>
      </c>
      <c r="I129" s="4">
        <v>3768</v>
      </c>
      <c r="J129" s="4">
        <v>4504</v>
      </c>
      <c r="K129" s="4">
        <v>5696</v>
      </c>
      <c r="L129" s="4">
        <v>5413</v>
      </c>
      <c r="M129" s="4">
        <v>5531</v>
      </c>
      <c r="N129" s="4">
        <v>5016</v>
      </c>
      <c r="O129" s="4">
        <v>4693</v>
      </c>
      <c r="P129" s="4">
        <v>4528</v>
      </c>
      <c r="Q129" s="89">
        <f t="shared" si="27"/>
        <v>1.1001855287569573</v>
      </c>
      <c r="R129" s="96">
        <f t="shared" si="28"/>
        <v>-0.16349528911878811</v>
      </c>
      <c r="S129" s="96">
        <f t="shared" si="29"/>
        <v>-3.5158747070104412E-2</v>
      </c>
      <c r="T129" s="98">
        <f t="shared" si="30"/>
        <v>5.5987635239567235E-2</v>
      </c>
    </row>
    <row r="130" spans="1:20" x14ac:dyDescent="0.2">
      <c r="A130" s="4" t="s">
        <v>68</v>
      </c>
      <c r="B130" s="4">
        <v>452</v>
      </c>
      <c r="C130" s="4">
        <v>446</v>
      </c>
      <c r="D130" s="4">
        <v>404</v>
      </c>
      <c r="E130" s="4">
        <v>504</v>
      </c>
      <c r="F130" s="4">
        <v>878</v>
      </c>
      <c r="G130" s="4">
        <v>1367</v>
      </c>
      <c r="H130" s="4">
        <v>1619</v>
      </c>
      <c r="I130" s="4">
        <v>2118</v>
      </c>
      <c r="J130" s="4">
        <v>2761</v>
      </c>
      <c r="K130" s="4">
        <v>3028</v>
      </c>
      <c r="L130" s="4">
        <v>3251</v>
      </c>
      <c r="M130" s="4">
        <v>3902</v>
      </c>
      <c r="N130" s="4">
        <v>4323</v>
      </c>
      <c r="O130" s="4">
        <v>4223</v>
      </c>
      <c r="P130" s="4">
        <v>4412</v>
      </c>
      <c r="Q130" s="89">
        <f t="shared" si="27"/>
        <v>2.2275054864667156</v>
      </c>
      <c r="R130" s="96">
        <f t="shared" si="28"/>
        <v>0.35712088588126728</v>
      </c>
      <c r="S130" s="96">
        <f t="shared" si="29"/>
        <v>4.4754913568553163E-2</v>
      </c>
      <c r="T130" s="98">
        <f t="shared" si="30"/>
        <v>5.4553323029366309E-2</v>
      </c>
    </row>
    <row r="131" spans="1:20" x14ac:dyDescent="0.2">
      <c r="A131" s="30" t="s">
        <v>75</v>
      </c>
      <c r="B131" s="30">
        <v>139</v>
      </c>
      <c r="C131" s="4">
        <v>253</v>
      </c>
      <c r="D131" s="4">
        <v>325</v>
      </c>
      <c r="E131" s="4">
        <v>256</v>
      </c>
      <c r="F131" s="4">
        <v>504</v>
      </c>
      <c r="G131" s="4">
        <v>811</v>
      </c>
      <c r="H131" s="4">
        <v>924</v>
      </c>
      <c r="I131" s="4">
        <v>1079</v>
      </c>
      <c r="J131" s="4">
        <v>1307</v>
      </c>
      <c r="K131" s="4">
        <v>1664</v>
      </c>
      <c r="L131" s="4">
        <v>2082</v>
      </c>
      <c r="M131" s="4">
        <v>2317</v>
      </c>
      <c r="N131" s="4">
        <v>2582</v>
      </c>
      <c r="O131" s="4">
        <v>2322</v>
      </c>
      <c r="P131" s="4">
        <v>3073</v>
      </c>
      <c r="Q131" s="89">
        <f t="shared" si="27"/>
        <v>2.7891491985203452</v>
      </c>
      <c r="R131" s="96">
        <f t="shared" si="28"/>
        <v>0.4759846301633045</v>
      </c>
      <c r="S131" s="96">
        <f t="shared" si="29"/>
        <v>0.32342807924203271</v>
      </c>
      <c r="T131" s="98">
        <f t="shared" si="30"/>
        <v>3.7996908809891809E-2</v>
      </c>
    </row>
    <row r="132" spans="1:20" x14ac:dyDescent="0.2">
      <c r="A132" s="30" t="s">
        <v>73</v>
      </c>
      <c r="B132" s="30">
        <v>483</v>
      </c>
      <c r="C132" s="4">
        <v>519</v>
      </c>
      <c r="D132" s="4">
        <v>867</v>
      </c>
      <c r="E132" s="4">
        <v>864</v>
      </c>
      <c r="F132" s="4">
        <v>906</v>
      </c>
      <c r="G132" s="4">
        <v>921</v>
      </c>
      <c r="H132" s="4">
        <v>1099</v>
      </c>
      <c r="I132" s="4">
        <v>1266</v>
      </c>
      <c r="J132" s="4">
        <v>1393</v>
      </c>
      <c r="K132" s="4">
        <v>1517</v>
      </c>
      <c r="L132" s="4">
        <v>1760</v>
      </c>
      <c r="M132" s="4">
        <v>2013</v>
      </c>
      <c r="N132" s="4">
        <v>2075</v>
      </c>
      <c r="O132" s="4">
        <v>1508</v>
      </c>
      <c r="P132" s="4">
        <v>2794</v>
      </c>
      <c r="Q132" s="89">
        <f t="shared" si="27"/>
        <v>2.0336590662323561</v>
      </c>
      <c r="R132" s="96">
        <f t="shared" si="28"/>
        <v>0.58750000000000002</v>
      </c>
      <c r="S132" s="96">
        <f t="shared" si="29"/>
        <v>0.85278514588859411</v>
      </c>
      <c r="T132" s="98">
        <f t="shared" si="30"/>
        <v>3.4547140649149925E-2</v>
      </c>
    </row>
    <row r="133" spans="1:20" x14ac:dyDescent="0.2">
      <c r="A133" s="4" t="s">
        <v>67</v>
      </c>
      <c r="B133" s="4">
        <v>784</v>
      </c>
      <c r="C133" s="4">
        <v>748</v>
      </c>
      <c r="D133" s="4">
        <v>847</v>
      </c>
      <c r="E133" s="4">
        <v>948</v>
      </c>
      <c r="F133" s="4">
        <v>1423</v>
      </c>
      <c r="G133" s="4">
        <v>1865</v>
      </c>
      <c r="H133" s="4">
        <v>2990</v>
      </c>
      <c r="I133" s="4">
        <v>3464</v>
      </c>
      <c r="J133" s="4">
        <v>4465</v>
      </c>
      <c r="K133" s="4">
        <v>5376</v>
      </c>
      <c r="L133" s="4">
        <v>5941</v>
      </c>
      <c r="M133" s="4">
        <v>6255</v>
      </c>
      <c r="N133" s="4">
        <v>4397</v>
      </c>
      <c r="O133" s="4">
        <v>3042</v>
      </c>
      <c r="P133" s="4">
        <v>2704</v>
      </c>
      <c r="Q133" s="89">
        <f t="shared" si="27"/>
        <v>0.44986595174262733</v>
      </c>
      <c r="R133" s="96">
        <f t="shared" si="28"/>
        <v>-0.5448577680525164</v>
      </c>
      <c r="S133" s="96">
        <f t="shared" si="29"/>
        <v>-0.1111111111111111</v>
      </c>
      <c r="T133" s="98">
        <f t="shared" si="30"/>
        <v>3.3434312210200927E-2</v>
      </c>
    </row>
    <row r="134" spans="1:20" x14ac:dyDescent="0.2">
      <c r="A134" s="4" t="s">
        <v>69</v>
      </c>
      <c r="B134" s="4">
        <v>621</v>
      </c>
      <c r="C134" s="4">
        <v>390</v>
      </c>
      <c r="D134" s="4">
        <v>605</v>
      </c>
      <c r="E134" s="4">
        <v>550</v>
      </c>
      <c r="F134" s="4">
        <v>769</v>
      </c>
      <c r="G134" s="4">
        <v>1251</v>
      </c>
      <c r="H134" s="4">
        <v>1746</v>
      </c>
      <c r="I134" s="4">
        <v>2048</v>
      </c>
      <c r="J134" s="4">
        <v>2380</v>
      </c>
      <c r="K134" s="4">
        <v>2545</v>
      </c>
      <c r="L134" s="4">
        <v>2734</v>
      </c>
      <c r="M134" s="4">
        <v>3060</v>
      </c>
      <c r="N134" s="4">
        <v>1666</v>
      </c>
      <c r="O134" s="4">
        <v>1900</v>
      </c>
      <c r="P134" s="4">
        <v>2507</v>
      </c>
      <c r="Q134" s="89">
        <f t="shared" si="27"/>
        <v>1.0039968025579535</v>
      </c>
      <c r="R134" s="96">
        <f t="shared" si="28"/>
        <v>-8.3028529626920269E-2</v>
      </c>
      <c r="S134" s="96">
        <f t="shared" si="29"/>
        <v>0.3194736842105263</v>
      </c>
      <c r="T134" s="98">
        <f t="shared" si="30"/>
        <v>3.0998454404945905E-2</v>
      </c>
    </row>
    <row r="135" spans="1:20" x14ac:dyDescent="0.2">
      <c r="A135" s="4" t="s">
        <v>70</v>
      </c>
      <c r="B135" s="4">
        <v>812</v>
      </c>
      <c r="C135" s="4">
        <v>777</v>
      </c>
      <c r="D135" s="4">
        <v>760</v>
      </c>
      <c r="E135" s="4">
        <v>809</v>
      </c>
      <c r="F135" s="4">
        <v>1013</v>
      </c>
      <c r="G135" s="4">
        <v>1284</v>
      </c>
      <c r="H135" s="4">
        <v>1334</v>
      </c>
      <c r="I135" s="4">
        <v>1539</v>
      </c>
      <c r="J135" s="4">
        <v>1837</v>
      </c>
      <c r="K135" s="4">
        <v>1670</v>
      </c>
      <c r="L135" s="4">
        <v>1801</v>
      </c>
      <c r="M135" s="4">
        <v>2072</v>
      </c>
      <c r="N135" s="4">
        <v>2004</v>
      </c>
      <c r="O135" s="4">
        <v>1759</v>
      </c>
      <c r="P135" s="4">
        <v>2174</v>
      </c>
      <c r="Q135" s="89">
        <f t="shared" si="27"/>
        <v>0.69314641744548289</v>
      </c>
      <c r="R135" s="96">
        <f t="shared" si="28"/>
        <v>0.2071071626873959</v>
      </c>
      <c r="S135" s="96">
        <f t="shared" si="29"/>
        <v>0.23592950540079591</v>
      </c>
      <c r="T135" s="98">
        <f t="shared" si="30"/>
        <v>2.6880989180834623E-2</v>
      </c>
    </row>
    <row r="136" spans="1:20" x14ac:dyDescent="0.2">
      <c r="A136" s="4" t="s">
        <v>76</v>
      </c>
      <c r="B136" s="4">
        <v>313</v>
      </c>
      <c r="C136" s="4">
        <v>240</v>
      </c>
      <c r="D136" s="4">
        <v>293</v>
      </c>
      <c r="E136" s="4">
        <v>267</v>
      </c>
      <c r="F136" s="4">
        <v>395</v>
      </c>
      <c r="G136" s="4">
        <v>479</v>
      </c>
      <c r="H136" s="4">
        <v>682</v>
      </c>
      <c r="I136" s="4">
        <v>778</v>
      </c>
      <c r="J136" s="4">
        <v>1011</v>
      </c>
      <c r="K136" s="4">
        <v>1069</v>
      </c>
      <c r="L136" s="4">
        <v>1379</v>
      </c>
      <c r="M136" s="4">
        <v>1627</v>
      </c>
      <c r="N136" s="4">
        <v>1722</v>
      </c>
      <c r="O136" s="4">
        <v>1565</v>
      </c>
      <c r="P136" s="4">
        <v>2023</v>
      </c>
      <c r="Q136" s="89">
        <f t="shared" si="27"/>
        <v>3.2233820459290188</v>
      </c>
      <c r="R136" s="96">
        <f t="shared" si="28"/>
        <v>0.46700507614213199</v>
      </c>
      <c r="S136" s="96">
        <f t="shared" si="29"/>
        <v>0.2926517571884984</v>
      </c>
      <c r="T136" s="98">
        <f t="shared" si="30"/>
        <v>2.5013910355486862E-2</v>
      </c>
    </row>
    <row r="137" spans="1:20" x14ac:dyDescent="0.2">
      <c r="A137" s="4" t="s">
        <v>59</v>
      </c>
      <c r="B137" s="4">
        <v>41</v>
      </c>
      <c r="C137" s="4">
        <v>25</v>
      </c>
      <c r="D137" s="4">
        <v>63</v>
      </c>
      <c r="E137" s="4">
        <v>162</v>
      </c>
      <c r="F137" s="4">
        <v>232</v>
      </c>
      <c r="G137" s="4">
        <v>433</v>
      </c>
      <c r="H137" s="4">
        <v>512</v>
      </c>
      <c r="I137" s="4">
        <v>682</v>
      </c>
      <c r="J137" s="4">
        <v>914</v>
      </c>
      <c r="K137" s="4">
        <v>996</v>
      </c>
      <c r="L137" s="4">
        <v>1081</v>
      </c>
      <c r="M137" s="4">
        <v>1058</v>
      </c>
      <c r="N137" s="4">
        <v>1256</v>
      </c>
      <c r="O137" s="4">
        <v>1308</v>
      </c>
      <c r="P137" s="4">
        <v>1869</v>
      </c>
      <c r="Q137" s="89">
        <f t="shared" si="27"/>
        <v>3.3163972286374133</v>
      </c>
      <c r="R137" s="96">
        <f t="shared" si="28"/>
        <v>0.72895467160036997</v>
      </c>
      <c r="S137" s="96">
        <f t="shared" si="29"/>
        <v>0.42889908256880732</v>
      </c>
      <c r="T137" s="98">
        <f t="shared" si="30"/>
        <v>2.3109737248840804E-2</v>
      </c>
    </row>
    <row r="138" spans="1:20" x14ac:dyDescent="0.2">
      <c r="A138" s="4" t="s">
        <v>234</v>
      </c>
      <c r="B138" s="4">
        <v>83</v>
      </c>
      <c r="C138" s="4">
        <v>79</v>
      </c>
      <c r="D138" s="4">
        <v>106</v>
      </c>
      <c r="E138" s="4">
        <v>175</v>
      </c>
      <c r="F138" s="4">
        <v>200</v>
      </c>
      <c r="G138" s="4">
        <v>316</v>
      </c>
      <c r="H138" s="4">
        <v>384</v>
      </c>
      <c r="I138" s="4">
        <v>499</v>
      </c>
      <c r="J138" s="4">
        <v>598</v>
      </c>
      <c r="K138" s="4">
        <v>1251</v>
      </c>
      <c r="L138" s="4">
        <v>1109</v>
      </c>
      <c r="M138" s="4">
        <v>1551</v>
      </c>
      <c r="N138" s="4">
        <v>1370</v>
      </c>
      <c r="O138" s="4">
        <v>1343</v>
      </c>
      <c r="P138" s="4">
        <v>1850</v>
      </c>
      <c r="Q138" s="89">
        <f t="shared" si="27"/>
        <v>4.8544303797468356</v>
      </c>
      <c r="R138" s="96">
        <f t="shared" si="28"/>
        <v>0.66816952209197478</v>
      </c>
      <c r="S138" s="96">
        <f t="shared" si="29"/>
        <v>0.37751303052866714</v>
      </c>
      <c r="T138" s="98">
        <f t="shared" si="30"/>
        <v>2.2874806800618239E-2</v>
      </c>
    </row>
    <row r="139" spans="1:20" x14ac:dyDescent="0.2">
      <c r="A139" s="4" t="s">
        <v>72</v>
      </c>
      <c r="B139" s="4">
        <v>802</v>
      </c>
      <c r="C139" s="4">
        <v>616</v>
      </c>
      <c r="D139" s="4">
        <v>637</v>
      </c>
      <c r="E139" s="4">
        <v>563</v>
      </c>
      <c r="F139" s="4">
        <v>649</v>
      </c>
      <c r="G139" s="4">
        <v>827</v>
      </c>
      <c r="H139" s="4">
        <v>947</v>
      </c>
      <c r="I139" s="4">
        <v>1175</v>
      </c>
      <c r="J139" s="4">
        <v>1325</v>
      </c>
      <c r="K139" s="4">
        <v>1502</v>
      </c>
      <c r="L139" s="4">
        <v>1498</v>
      </c>
      <c r="M139" s="4">
        <v>1452</v>
      </c>
      <c r="N139" s="4">
        <v>1460</v>
      </c>
      <c r="O139" s="4">
        <v>1512</v>
      </c>
      <c r="P139" s="4">
        <v>1817</v>
      </c>
      <c r="Q139" s="89">
        <f t="shared" si="27"/>
        <v>1.1970979443772671</v>
      </c>
      <c r="R139" s="96">
        <f t="shared" si="28"/>
        <v>0.21295060080106809</v>
      </c>
      <c r="S139" s="96">
        <f t="shared" si="29"/>
        <v>0.20171957671957672</v>
      </c>
      <c r="T139" s="98">
        <f t="shared" si="30"/>
        <v>2.2466769706336941E-2</v>
      </c>
    </row>
    <row r="140" spans="1:20" x14ac:dyDescent="0.2">
      <c r="A140" s="4" t="s">
        <v>285</v>
      </c>
      <c r="B140" s="4">
        <v>315</v>
      </c>
      <c r="C140" s="4">
        <v>368</v>
      </c>
      <c r="D140" s="4">
        <v>358</v>
      </c>
      <c r="E140" s="4">
        <v>392</v>
      </c>
      <c r="F140" s="4">
        <v>461</v>
      </c>
      <c r="G140" s="4">
        <v>543</v>
      </c>
      <c r="H140" s="4">
        <v>522</v>
      </c>
      <c r="I140" s="4">
        <v>635</v>
      </c>
      <c r="J140" s="4">
        <v>771</v>
      </c>
      <c r="K140" s="4">
        <v>828</v>
      </c>
      <c r="L140" s="4">
        <v>937</v>
      </c>
      <c r="M140" s="4">
        <v>1022</v>
      </c>
      <c r="N140" s="4">
        <v>1011</v>
      </c>
      <c r="O140" s="4">
        <v>1065</v>
      </c>
      <c r="P140" s="4">
        <v>1512</v>
      </c>
      <c r="Q140" s="89">
        <f t="shared" si="27"/>
        <v>1.7845303867403315</v>
      </c>
      <c r="R140" s="96">
        <f t="shared" si="28"/>
        <v>0.61366061899679825</v>
      </c>
      <c r="S140" s="96">
        <f t="shared" si="29"/>
        <v>0.41971830985915493</v>
      </c>
      <c r="T140" s="98">
        <f t="shared" si="30"/>
        <v>1.8695517774343123E-2</v>
      </c>
    </row>
    <row r="141" spans="1:20" x14ac:dyDescent="0.2">
      <c r="A141" s="4" t="s">
        <v>64</v>
      </c>
      <c r="B141" s="4">
        <v>257</v>
      </c>
      <c r="C141" s="4">
        <v>259</v>
      </c>
      <c r="D141" s="4">
        <v>342</v>
      </c>
      <c r="E141" s="4">
        <v>541</v>
      </c>
      <c r="F141" s="4">
        <v>603</v>
      </c>
      <c r="G141" s="4">
        <v>768</v>
      </c>
      <c r="H141" s="4">
        <v>930</v>
      </c>
      <c r="I141" s="4">
        <v>1250</v>
      </c>
      <c r="J141" s="4">
        <v>1517</v>
      </c>
      <c r="K141" s="4">
        <v>1666</v>
      </c>
      <c r="L141" s="4">
        <v>1780</v>
      </c>
      <c r="M141" s="4">
        <v>1621</v>
      </c>
      <c r="N141" s="4">
        <v>1653</v>
      </c>
      <c r="O141" s="4">
        <v>1292</v>
      </c>
      <c r="P141" s="4">
        <v>1423</v>
      </c>
      <c r="Q141" s="89">
        <f t="shared" si="27"/>
        <v>0.85286458333333337</v>
      </c>
      <c r="R141" s="96">
        <f t="shared" si="28"/>
        <v>-0.200561797752809</v>
      </c>
      <c r="S141" s="96">
        <f t="shared" si="29"/>
        <v>0.10139318885448917</v>
      </c>
      <c r="T141" s="98">
        <f t="shared" si="30"/>
        <v>1.7595054095826894E-2</v>
      </c>
    </row>
    <row r="142" spans="1:20" x14ac:dyDescent="0.2">
      <c r="A142" s="4" t="s">
        <v>71</v>
      </c>
      <c r="B142" s="4">
        <v>217</v>
      </c>
      <c r="C142" s="4">
        <v>291</v>
      </c>
      <c r="D142" s="4">
        <v>388</v>
      </c>
      <c r="E142" s="4">
        <v>549</v>
      </c>
      <c r="F142" s="4">
        <v>570</v>
      </c>
      <c r="G142" s="4">
        <v>588</v>
      </c>
      <c r="H142" s="4">
        <v>1043</v>
      </c>
      <c r="I142" s="4">
        <v>1329</v>
      </c>
      <c r="J142" s="4">
        <v>1450</v>
      </c>
      <c r="K142" s="4">
        <v>1629</v>
      </c>
      <c r="L142" s="4">
        <v>2164</v>
      </c>
      <c r="M142" s="4">
        <v>1559</v>
      </c>
      <c r="N142" s="4">
        <v>1521</v>
      </c>
      <c r="O142" s="4">
        <v>1312</v>
      </c>
      <c r="P142" s="4">
        <v>1398</v>
      </c>
      <c r="Q142" s="89">
        <f t="shared" si="27"/>
        <v>1.3775510204081634</v>
      </c>
      <c r="R142" s="96">
        <f t="shared" si="28"/>
        <v>-0.35397412199630313</v>
      </c>
      <c r="S142" s="96">
        <f t="shared" si="29"/>
        <v>6.5548780487804881E-2</v>
      </c>
      <c r="T142" s="98">
        <f t="shared" si="30"/>
        <v>1.7285935085007729E-2</v>
      </c>
    </row>
    <row r="143" spans="1:20" x14ac:dyDescent="0.2">
      <c r="A143" s="30" t="s">
        <v>65</v>
      </c>
      <c r="B143" s="30">
        <v>98</v>
      </c>
      <c r="C143" s="4">
        <v>200</v>
      </c>
      <c r="D143" s="4">
        <v>364</v>
      </c>
      <c r="E143" s="4">
        <v>405</v>
      </c>
      <c r="F143" s="4">
        <v>512</v>
      </c>
      <c r="G143" s="4">
        <v>561</v>
      </c>
      <c r="H143" s="4">
        <v>817</v>
      </c>
      <c r="I143" s="4">
        <v>895</v>
      </c>
      <c r="J143" s="4">
        <v>931</v>
      </c>
      <c r="K143" s="4">
        <v>995</v>
      </c>
      <c r="L143" s="4">
        <v>1231</v>
      </c>
      <c r="M143" s="4">
        <v>1243</v>
      </c>
      <c r="N143" s="4">
        <v>1071</v>
      </c>
      <c r="O143" s="4">
        <v>920</v>
      </c>
      <c r="P143" s="4">
        <v>1311</v>
      </c>
      <c r="Q143" s="89">
        <f t="shared" si="27"/>
        <v>1.3368983957219251</v>
      </c>
      <c r="R143" s="96">
        <f t="shared" si="28"/>
        <v>6.4987814784727857E-2</v>
      </c>
      <c r="S143" s="96">
        <f t="shared" si="29"/>
        <v>0.42499999999999999</v>
      </c>
      <c r="T143" s="98">
        <f t="shared" si="30"/>
        <v>1.6210200927357032E-2</v>
      </c>
    </row>
    <row r="144" spans="1:20" x14ac:dyDescent="0.2">
      <c r="A144" s="30" t="s">
        <v>61</v>
      </c>
      <c r="B144" s="30">
        <v>83</v>
      </c>
      <c r="C144" s="4">
        <v>100</v>
      </c>
      <c r="D144" s="4">
        <v>207</v>
      </c>
      <c r="E144" s="4">
        <v>373</v>
      </c>
      <c r="F144" s="4">
        <v>444</v>
      </c>
      <c r="G144" s="4">
        <v>616</v>
      </c>
      <c r="H144" s="4">
        <v>832</v>
      </c>
      <c r="I144" s="4">
        <v>900</v>
      </c>
      <c r="J144" s="4">
        <v>1035</v>
      </c>
      <c r="K144" s="4">
        <v>1038</v>
      </c>
      <c r="L144" s="4">
        <v>1024</v>
      </c>
      <c r="M144" s="4">
        <v>1057</v>
      </c>
      <c r="N144" s="4">
        <v>1186</v>
      </c>
      <c r="O144" s="4">
        <v>958</v>
      </c>
      <c r="P144" s="4">
        <v>1189</v>
      </c>
      <c r="Q144" s="89">
        <f t="shared" si="27"/>
        <v>0.93019480519480524</v>
      </c>
      <c r="R144" s="96">
        <f t="shared" si="28"/>
        <v>0.1611328125</v>
      </c>
      <c r="S144" s="96">
        <f t="shared" si="29"/>
        <v>0.24112734864300625</v>
      </c>
      <c r="T144" s="98">
        <f t="shared" si="30"/>
        <v>1.4701700154559506E-2</v>
      </c>
    </row>
    <row r="145" spans="1:20" x14ac:dyDescent="0.2">
      <c r="A145" s="4" t="s">
        <v>263</v>
      </c>
      <c r="B145" s="4">
        <v>1</v>
      </c>
      <c r="C145" s="4">
        <v>11</v>
      </c>
      <c r="D145" s="4">
        <v>27</v>
      </c>
      <c r="E145" s="4">
        <v>36</v>
      </c>
      <c r="F145" s="4">
        <v>34</v>
      </c>
      <c r="G145" s="4">
        <v>71</v>
      </c>
      <c r="H145" s="4">
        <v>100</v>
      </c>
      <c r="I145" s="4">
        <v>160</v>
      </c>
      <c r="J145" s="4">
        <v>230</v>
      </c>
      <c r="K145" s="4">
        <v>295</v>
      </c>
      <c r="L145" s="4">
        <v>415</v>
      </c>
      <c r="M145" s="4">
        <v>555</v>
      </c>
      <c r="N145" s="4">
        <v>490</v>
      </c>
      <c r="O145" s="4">
        <v>670</v>
      </c>
      <c r="P145" s="4">
        <v>1117</v>
      </c>
      <c r="Q145" s="89">
        <f t="shared" si="27"/>
        <v>14.732394366197184</v>
      </c>
      <c r="R145" s="96">
        <f t="shared" si="28"/>
        <v>1.691566265060241</v>
      </c>
      <c r="S145" s="96">
        <f t="shared" si="29"/>
        <v>0.66716417910447756</v>
      </c>
      <c r="T145" s="98">
        <f t="shared" si="30"/>
        <v>1.3811437403400309E-2</v>
      </c>
    </row>
    <row r="146" spans="1:20" x14ac:dyDescent="0.2">
      <c r="A146" s="4" t="s">
        <v>229</v>
      </c>
      <c r="B146" s="4">
        <v>519</v>
      </c>
      <c r="C146" s="4">
        <v>431</v>
      </c>
      <c r="D146" s="4">
        <v>573</v>
      </c>
      <c r="E146" s="4">
        <v>225</v>
      </c>
      <c r="F146" s="4">
        <v>488</v>
      </c>
      <c r="G146" s="4">
        <v>496</v>
      </c>
      <c r="H146" s="4">
        <v>671</v>
      </c>
      <c r="I146" s="4">
        <v>678</v>
      </c>
      <c r="J146" s="4">
        <v>837</v>
      </c>
      <c r="K146" s="4">
        <v>914</v>
      </c>
      <c r="L146" s="4">
        <v>919</v>
      </c>
      <c r="M146" s="4">
        <v>1026</v>
      </c>
      <c r="N146" s="4">
        <v>969</v>
      </c>
      <c r="O146" s="4">
        <v>836</v>
      </c>
      <c r="P146" s="4">
        <v>1097</v>
      </c>
      <c r="Q146" s="89">
        <f t="shared" si="27"/>
        <v>1.2116935483870968</v>
      </c>
      <c r="R146" s="96">
        <f t="shared" si="28"/>
        <v>0.19368879216539717</v>
      </c>
      <c r="S146" s="96">
        <f t="shared" si="29"/>
        <v>0.31220095693779903</v>
      </c>
      <c r="T146" s="98">
        <f t="shared" si="30"/>
        <v>1.3564142194744977E-2</v>
      </c>
    </row>
    <row r="147" spans="1:20" x14ac:dyDescent="0.2">
      <c r="T147" s="131"/>
    </row>
    <row r="148" spans="1:20" ht="15.75" x14ac:dyDescent="0.2">
      <c r="A148" s="35" t="s">
        <v>313</v>
      </c>
      <c r="B148" s="35"/>
      <c r="C148" s="35"/>
      <c r="D148" s="35"/>
      <c r="E148" s="35"/>
      <c r="F148" s="35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</row>
    <row r="149" spans="1:20" ht="25.5" x14ac:dyDescent="0.2">
      <c r="A149" s="78" t="s">
        <v>51</v>
      </c>
      <c r="B149" s="3">
        <v>2007</v>
      </c>
      <c r="C149" s="3">
        <v>2008</v>
      </c>
      <c r="D149" s="3">
        <v>2009</v>
      </c>
      <c r="E149" s="3">
        <v>2010</v>
      </c>
      <c r="F149" s="3">
        <v>2011</v>
      </c>
      <c r="G149" s="3">
        <v>2012</v>
      </c>
      <c r="H149" s="3">
        <v>2013</v>
      </c>
      <c r="I149" s="3">
        <v>2014</v>
      </c>
      <c r="J149" s="3">
        <v>2015</v>
      </c>
      <c r="K149" s="3">
        <v>2016</v>
      </c>
      <c r="L149" s="3">
        <v>2017</v>
      </c>
      <c r="M149" s="3">
        <v>2018</v>
      </c>
      <c r="N149" s="3">
        <v>2019</v>
      </c>
      <c r="O149" s="3">
        <v>2020</v>
      </c>
      <c r="P149" s="3">
        <v>2021</v>
      </c>
      <c r="Q149" s="12" t="s">
        <v>370</v>
      </c>
      <c r="R149" s="12" t="s">
        <v>371</v>
      </c>
      <c r="S149" s="12" t="s">
        <v>372</v>
      </c>
      <c r="T149" s="12" t="s">
        <v>373</v>
      </c>
    </row>
    <row r="150" spans="1:20" x14ac:dyDescent="0.2">
      <c r="A150" s="4" t="s">
        <v>77</v>
      </c>
      <c r="B150" s="4">
        <v>3572</v>
      </c>
      <c r="C150" s="4">
        <v>3681</v>
      </c>
      <c r="D150" s="4">
        <v>3879</v>
      </c>
      <c r="E150" s="4">
        <v>3691</v>
      </c>
      <c r="F150" s="4">
        <v>4053</v>
      </c>
      <c r="G150" s="4">
        <v>4615</v>
      </c>
      <c r="H150" s="4">
        <v>5459</v>
      </c>
      <c r="I150" s="4">
        <v>6079</v>
      </c>
      <c r="J150" s="4">
        <v>6670</v>
      </c>
      <c r="K150" s="4">
        <v>6742</v>
      </c>
      <c r="L150" s="4">
        <v>7278</v>
      </c>
      <c r="M150" s="4">
        <v>7175</v>
      </c>
      <c r="N150" s="4">
        <v>7032</v>
      </c>
      <c r="O150" s="4">
        <v>6640</v>
      </c>
      <c r="P150" s="4">
        <v>8543</v>
      </c>
      <c r="Q150" s="89">
        <f t="shared" ref="Q150:Q169" si="31">(P150-G150)/G150</f>
        <v>0.85113759479956663</v>
      </c>
      <c r="R150" s="96">
        <f t="shared" ref="R150:R169" si="32">(P150-L150)/L150</f>
        <v>0.17381148667216267</v>
      </c>
      <c r="S150" s="96">
        <f t="shared" ref="S150:S169" si="33">(P150-O150)/O150</f>
        <v>0.28659638554216865</v>
      </c>
      <c r="T150" s="98">
        <f>P150/P$8</f>
        <v>7.9425436965414653E-2</v>
      </c>
    </row>
    <row r="151" spans="1:20" x14ac:dyDescent="0.2">
      <c r="A151" s="4" t="s">
        <v>79</v>
      </c>
      <c r="B151" s="4">
        <v>1287</v>
      </c>
      <c r="C151" s="4">
        <v>1549</v>
      </c>
      <c r="D151" s="4">
        <v>1662</v>
      </c>
      <c r="E151" s="4">
        <v>1777</v>
      </c>
      <c r="F151" s="4">
        <v>2107</v>
      </c>
      <c r="G151" s="4">
        <v>2624</v>
      </c>
      <c r="H151" s="4">
        <v>3430</v>
      </c>
      <c r="I151" s="4">
        <v>4384</v>
      </c>
      <c r="J151" s="4">
        <v>4806</v>
      </c>
      <c r="K151" s="4">
        <v>5314</v>
      </c>
      <c r="L151" s="4">
        <v>5603</v>
      </c>
      <c r="M151" s="4">
        <v>5911</v>
      </c>
      <c r="N151" s="4">
        <v>5346</v>
      </c>
      <c r="O151" s="4">
        <v>2122</v>
      </c>
      <c r="P151" s="4">
        <v>7332</v>
      </c>
      <c r="Q151" s="89">
        <f t="shared" si="31"/>
        <v>1.7942073170731707</v>
      </c>
      <c r="R151" s="96">
        <f t="shared" si="32"/>
        <v>0.308584686774942</v>
      </c>
      <c r="S151" s="96">
        <f t="shared" si="33"/>
        <v>2.4552309142318567</v>
      </c>
      <c r="T151" s="98">
        <f t="shared" ref="T151:T169" si="34">P151/P$8</f>
        <v>6.816660468575679E-2</v>
      </c>
    </row>
    <row r="152" spans="1:20" x14ac:dyDescent="0.2">
      <c r="A152" s="4" t="s">
        <v>80</v>
      </c>
      <c r="B152" s="4">
        <v>2529</v>
      </c>
      <c r="C152" s="4">
        <v>3086</v>
      </c>
      <c r="D152" s="4">
        <v>3296</v>
      </c>
      <c r="E152" s="4">
        <v>2848</v>
      </c>
      <c r="F152" s="4">
        <v>3024</v>
      </c>
      <c r="G152" s="4">
        <v>3053</v>
      </c>
      <c r="H152" s="4">
        <v>3411</v>
      </c>
      <c r="I152" s="4">
        <v>3720</v>
      </c>
      <c r="J152" s="4">
        <v>4060</v>
      </c>
      <c r="K152" s="4">
        <v>3953</v>
      </c>
      <c r="L152" s="4">
        <v>4064</v>
      </c>
      <c r="M152" s="4">
        <v>4389</v>
      </c>
      <c r="N152" s="4">
        <v>4893</v>
      </c>
      <c r="O152" s="4">
        <v>4242</v>
      </c>
      <c r="P152" s="4">
        <v>5951</v>
      </c>
      <c r="Q152" s="89">
        <f t="shared" si="31"/>
        <v>0.94923026531280708</v>
      </c>
      <c r="R152" s="96">
        <f t="shared" si="32"/>
        <v>0.46432086614173229</v>
      </c>
      <c r="S152" s="96">
        <f t="shared" si="33"/>
        <v>0.40287600188590289</v>
      </c>
      <c r="T152" s="98">
        <f t="shared" si="34"/>
        <v>5.5327259204165119E-2</v>
      </c>
    </row>
    <row r="153" spans="1:20" x14ac:dyDescent="0.2">
      <c r="A153" s="4" t="s">
        <v>78</v>
      </c>
      <c r="B153" s="4">
        <v>1724</v>
      </c>
      <c r="C153" s="4">
        <v>1574</v>
      </c>
      <c r="D153" s="4">
        <v>2129</v>
      </c>
      <c r="E153" s="4">
        <v>2054</v>
      </c>
      <c r="F153" s="4">
        <v>1953</v>
      </c>
      <c r="G153" s="4">
        <v>2618</v>
      </c>
      <c r="H153" s="4">
        <v>3551</v>
      </c>
      <c r="I153" s="4">
        <v>3770</v>
      </c>
      <c r="J153" s="4">
        <v>4321</v>
      </c>
      <c r="K153" s="4">
        <v>4359</v>
      </c>
      <c r="L153" s="4">
        <v>4462</v>
      </c>
      <c r="M153" s="4">
        <v>4473</v>
      </c>
      <c r="N153" s="4">
        <v>4078</v>
      </c>
      <c r="O153" s="4">
        <v>3924</v>
      </c>
      <c r="P153" s="4">
        <v>4481</v>
      </c>
      <c r="Q153" s="89">
        <f t="shared" si="31"/>
        <v>0.71161191749427044</v>
      </c>
      <c r="R153" s="96">
        <f t="shared" si="32"/>
        <v>4.2581801882563873E-3</v>
      </c>
      <c r="S153" s="96">
        <f t="shared" si="33"/>
        <v>0.14194699286442405</v>
      </c>
      <c r="T153" s="98">
        <f t="shared" si="34"/>
        <v>4.1660468575678691E-2</v>
      </c>
    </row>
    <row r="154" spans="1:20" x14ac:dyDescent="0.2">
      <c r="A154" s="4" t="s">
        <v>68</v>
      </c>
      <c r="B154" s="4">
        <v>1247</v>
      </c>
      <c r="C154" s="4">
        <v>1406</v>
      </c>
      <c r="D154" s="4">
        <v>1788</v>
      </c>
      <c r="E154" s="4">
        <v>1817</v>
      </c>
      <c r="F154" s="4">
        <v>2415</v>
      </c>
      <c r="G154" s="4">
        <v>2352</v>
      </c>
      <c r="H154" s="4">
        <v>3062</v>
      </c>
      <c r="I154" s="4">
        <v>3414</v>
      </c>
      <c r="J154" s="4">
        <v>3360</v>
      </c>
      <c r="K154" s="4">
        <v>3367</v>
      </c>
      <c r="L154" s="4">
        <v>3415</v>
      </c>
      <c r="M154" s="4">
        <v>3623</v>
      </c>
      <c r="N154" s="4">
        <v>3535</v>
      </c>
      <c r="O154" s="4">
        <v>3062</v>
      </c>
      <c r="P154" s="4">
        <v>3994</v>
      </c>
      <c r="Q154" s="89">
        <f t="shared" si="31"/>
        <v>0.6981292517006803</v>
      </c>
      <c r="R154" s="96">
        <f t="shared" si="32"/>
        <v>0.16954612005856515</v>
      </c>
      <c r="S154" s="96">
        <f t="shared" si="33"/>
        <v>0.30437622468974529</v>
      </c>
      <c r="T154" s="98">
        <f t="shared" si="34"/>
        <v>3.7132763108962442E-2</v>
      </c>
    </row>
    <row r="155" spans="1:20" x14ac:dyDescent="0.2">
      <c r="A155" s="4" t="s">
        <v>16</v>
      </c>
      <c r="B155" s="4">
        <v>1881</v>
      </c>
      <c r="C155" s="4">
        <v>2102</v>
      </c>
      <c r="D155" s="4">
        <v>2416</v>
      </c>
      <c r="E155" s="4">
        <v>2382</v>
      </c>
      <c r="F155" s="4">
        <v>2476</v>
      </c>
      <c r="G155" s="4">
        <v>2594</v>
      </c>
      <c r="H155" s="4">
        <v>2818</v>
      </c>
      <c r="I155" s="4">
        <v>3476</v>
      </c>
      <c r="J155" s="4">
        <v>3480</v>
      </c>
      <c r="K155" s="4">
        <v>3640</v>
      </c>
      <c r="L155" s="4">
        <v>4275</v>
      </c>
      <c r="M155" s="4">
        <v>3812</v>
      </c>
      <c r="N155" s="4">
        <v>3969</v>
      </c>
      <c r="O155" s="4">
        <v>2867</v>
      </c>
      <c r="P155" s="4">
        <v>3522</v>
      </c>
      <c r="Q155" s="89">
        <f t="shared" si="31"/>
        <v>0.35774865073245954</v>
      </c>
      <c r="R155" s="96">
        <f t="shared" si="32"/>
        <v>-0.17614035087719299</v>
      </c>
      <c r="S155" s="96">
        <f t="shared" si="33"/>
        <v>0.22846180676665503</v>
      </c>
      <c r="T155" s="98">
        <f t="shared" si="34"/>
        <v>3.2744514689475639E-2</v>
      </c>
    </row>
    <row r="156" spans="1:20" x14ac:dyDescent="0.2">
      <c r="A156" s="4" t="s">
        <v>82</v>
      </c>
      <c r="B156" s="4">
        <v>994</v>
      </c>
      <c r="C156" s="4">
        <v>1337</v>
      </c>
      <c r="D156" s="4">
        <v>1144</v>
      </c>
      <c r="E156" s="4">
        <v>1150</v>
      </c>
      <c r="F156" s="4">
        <v>1180</v>
      </c>
      <c r="G156" s="4">
        <v>1277</v>
      </c>
      <c r="H156" s="4">
        <v>1920</v>
      </c>
      <c r="I156" s="4">
        <v>1864</v>
      </c>
      <c r="J156" s="4">
        <v>2843</v>
      </c>
      <c r="K156" s="4">
        <v>2644</v>
      </c>
      <c r="L156" s="4">
        <v>2781</v>
      </c>
      <c r="M156" s="4">
        <v>3877</v>
      </c>
      <c r="N156" s="4">
        <v>5000</v>
      </c>
      <c r="O156" s="4">
        <v>2990</v>
      </c>
      <c r="P156" s="4">
        <v>3363</v>
      </c>
      <c r="Q156" s="89">
        <f t="shared" si="31"/>
        <v>1.6335160532498043</v>
      </c>
      <c r="R156" s="96">
        <f t="shared" si="32"/>
        <v>0.209277238403452</v>
      </c>
      <c r="S156" s="96">
        <f t="shared" si="33"/>
        <v>0.12474916387959867</v>
      </c>
      <c r="T156" s="98">
        <f t="shared" si="34"/>
        <v>3.1266269988843437E-2</v>
      </c>
    </row>
    <row r="157" spans="1:20" x14ac:dyDescent="0.2">
      <c r="A157" s="4" t="s">
        <v>69</v>
      </c>
      <c r="B157" s="4">
        <v>1769</v>
      </c>
      <c r="C157" s="4">
        <v>1667</v>
      </c>
      <c r="D157" s="4">
        <v>1627</v>
      </c>
      <c r="E157" s="4">
        <v>1588</v>
      </c>
      <c r="F157" s="4">
        <v>1875</v>
      </c>
      <c r="G157" s="4">
        <v>1952</v>
      </c>
      <c r="H157" s="4">
        <v>1957</v>
      </c>
      <c r="I157" s="4">
        <v>2421</v>
      </c>
      <c r="J157" s="4">
        <v>2189</v>
      </c>
      <c r="K157" s="4">
        <v>2175</v>
      </c>
      <c r="L157" s="4">
        <v>2378</v>
      </c>
      <c r="M157" s="4">
        <v>2330</v>
      </c>
      <c r="N157" s="4">
        <v>2128</v>
      </c>
      <c r="O157" s="4">
        <v>2243</v>
      </c>
      <c r="P157" s="4">
        <v>3278</v>
      </c>
      <c r="Q157" s="89">
        <f t="shared" si="31"/>
        <v>0.67930327868852458</v>
      </c>
      <c r="R157" s="96">
        <f t="shared" si="32"/>
        <v>0.37846930193439865</v>
      </c>
      <c r="S157" s="96">
        <f t="shared" si="33"/>
        <v>0.46143557735176105</v>
      </c>
      <c r="T157" s="98">
        <f t="shared" si="34"/>
        <v>3.0476013387876533E-2</v>
      </c>
    </row>
    <row r="158" spans="1:20" x14ac:dyDescent="0.2">
      <c r="A158" s="4" t="s">
        <v>417</v>
      </c>
      <c r="B158" s="4">
        <v>632</v>
      </c>
      <c r="C158" s="4">
        <v>838</v>
      </c>
      <c r="D158" s="4">
        <v>1001</v>
      </c>
      <c r="E158" s="4">
        <v>1109</v>
      </c>
      <c r="F158" s="4">
        <v>1511</v>
      </c>
      <c r="G158" s="4">
        <v>1805</v>
      </c>
      <c r="H158" s="4">
        <v>2432</v>
      </c>
      <c r="I158" s="4">
        <v>2832</v>
      </c>
      <c r="J158" s="4">
        <v>2963</v>
      </c>
      <c r="K158" s="4">
        <v>2846</v>
      </c>
      <c r="L158" s="4">
        <v>3094</v>
      </c>
      <c r="M158" s="4">
        <v>2838</v>
      </c>
      <c r="N158" s="4">
        <v>2555</v>
      </c>
      <c r="O158" s="4">
        <v>789</v>
      </c>
      <c r="P158" s="4">
        <v>3106</v>
      </c>
      <c r="Q158" s="89">
        <f t="shared" si="31"/>
        <v>0.72077562326869804</v>
      </c>
      <c r="R158" s="96">
        <f t="shared" si="32"/>
        <v>3.8784744667097609E-3</v>
      </c>
      <c r="S158" s="96">
        <f t="shared" si="33"/>
        <v>2.9366286438529783</v>
      </c>
      <c r="T158" s="98">
        <f t="shared" si="34"/>
        <v>2.8876905912978802E-2</v>
      </c>
    </row>
    <row r="159" spans="1:20" x14ac:dyDescent="0.2">
      <c r="A159" s="4" t="s">
        <v>83</v>
      </c>
      <c r="B159" s="4">
        <v>319</v>
      </c>
      <c r="C159" s="4">
        <v>412</v>
      </c>
      <c r="D159" s="4">
        <v>507</v>
      </c>
      <c r="E159" s="4">
        <v>617</v>
      </c>
      <c r="F159" s="4">
        <v>722</v>
      </c>
      <c r="G159" s="4">
        <v>784</v>
      </c>
      <c r="H159" s="4">
        <v>1163</v>
      </c>
      <c r="I159" s="4">
        <v>1407</v>
      </c>
      <c r="J159" s="4">
        <v>1420</v>
      </c>
      <c r="K159" s="4">
        <v>1625</v>
      </c>
      <c r="L159" s="4">
        <v>1839</v>
      </c>
      <c r="M159" s="4">
        <v>2006</v>
      </c>
      <c r="N159" s="4">
        <v>1744</v>
      </c>
      <c r="O159" s="4">
        <v>825</v>
      </c>
      <c r="P159" s="4">
        <v>2618</v>
      </c>
      <c r="Q159" s="89">
        <f t="shared" si="31"/>
        <v>2.3392857142857144</v>
      </c>
      <c r="R159" s="96">
        <f t="shared" si="32"/>
        <v>0.42359978249048397</v>
      </c>
      <c r="S159" s="96">
        <f t="shared" si="33"/>
        <v>2.1733333333333333</v>
      </c>
      <c r="T159" s="98">
        <f t="shared" si="34"/>
        <v>2.4339903309780586E-2</v>
      </c>
    </row>
    <row r="160" spans="1:20" x14ac:dyDescent="0.2">
      <c r="A160" s="4" t="s">
        <v>418</v>
      </c>
      <c r="B160" s="4">
        <v>909</v>
      </c>
      <c r="C160" s="4">
        <v>1096</v>
      </c>
      <c r="D160" s="4">
        <v>1136</v>
      </c>
      <c r="E160" s="4">
        <v>1254</v>
      </c>
      <c r="F160" s="4">
        <v>1283</v>
      </c>
      <c r="G160" s="4">
        <v>1318</v>
      </c>
      <c r="H160" s="4">
        <v>1502</v>
      </c>
      <c r="I160" s="4">
        <v>1564</v>
      </c>
      <c r="J160" s="4">
        <v>1632</v>
      </c>
      <c r="K160" s="4">
        <v>1598</v>
      </c>
      <c r="L160" s="4">
        <v>1637</v>
      </c>
      <c r="M160" s="4">
        <v>1801</v>
      </c>
      <c r="N160" s="4">
        <v>1817</v>
      </c>
      <c r="O160" s="4">
        <v>501</v>
      </c>
      <c r="P160" s="4">
        <v>2607</v>
      </c>
      <c r="Q160" s="89">
        <f t="shared" si="31"/>
        <v>0.97799696509863432</v>
      </c>
      <c r="R160" s="96">
        <f t="shared" si="32"/>
        <v>0.59254734270006104</v>
      </c>
      <c r="S160" s="96">
        <f t="shared" si="33"/>
        <v>4.2035928143712571</v>
      </c>
      <c r="T160" s="98">
        <f t="shared" si="34"/>
        <v>2.423763480847899E-2</v>
      </c>
    </row>
    <row r="161" spans="1:20" x14ac:dyDescent="0.2">
      <c r="A161" s="4" t="s">
        <v>419</v>
      </c>
      <c r="B161" s="4">
        <v>526</v>
      </c>
      <c r="C161" s="4">
        <v>679</v>
      </c>
      <c r="D161" s="4">
        <v>786</v>
      </c>
      <c r="E161" s="4">
        <v>794</v>
      </c>
      <c r="F161" s="4">
        <v>855</v>
      </c>
      <c r="G161" s="4">
        <v>1119</v>
      </c>
      <c r="H161" s="4">
        <v>1222</v>
      </c>
      <c r="I161" s="4">
        <v>1246</v>
      </c>
      <c r="J161" s="4">
        <v>1407</v>
      </c>
      <c r="K161" s="4">
        <v>1525</v>
      </c>
      <c r="L161" s="4">
        <v>1650</v>
      </c>
      <c r="M161" s="4">
        <v>1598</v>
      </c>
      <c r="N161" s="4">
        <v>1709</v>
      </c>
      <c r="O161" s="4">
        <v>418</v>
      </c>
      <c r="P161" s="4">
        <v>2570</v>
      </c>
      <c r="Q161" s="89">
        <f t="shared" si="31"/>
        <v>1.2966934763181412</v>
      </c>
      <c r="R161" s="96">
        <f t="shared" si="32"/>
        <v>0.55757575757575761</v>
      </c>
      <c r="S161" s="96">
        <f t="shared" si="33"/>
        <v>5.1483253588516744</v>
      </c>
      <c r="T161" s="98">
        <f t="shared" si="34"/>
        <v>2.3893640758646337E-2</v>
      </c>
    </row>
    <row r="162" spans="1:20" x14ac:dyDescent="0.2">
      <c r="A162" s="4" t="s">
        <v>74</v>
      </c>
      <c r="B162" s="4">
        <v>1902</v>
      </c>
      <c r="C162" s="4">
        <v>1887</v>
      </c>
      <c r="D162" s="4">
        <v>1938</v>
      </c>
      <c r="E162" s="4">
        <v>2033</v>
      </c>
      <c r="F162" s="4">
        <v>1564</v>
      </c>
      <c r="G162" s="4">
        <v>1577</v>
      </c>
      <c r="H162" s="4">
        <v>1636</v>
      </c>
      <c r="I162" s="4">
        <v>1772</v>
      </c>
      <c r="J162" s="4">
        <v>1556</v>
      </c>
      <c r="K162" s="4">
        <v>1464</v>
      </c>
      <c r="L162" s="4">
        <v>1643</v>
      </c>
      <c r="M162" s="4">
        <v>1955</v>
      </c>
      <c r="N162" s="4">
        <v>2162</v>
      </c>
      <c r="O162" s="4">
        <v>2528</v>
      </c>
      <c r="P162" s="4">
        <v>2469</v>
      </c>
      <c r="Q162" s="89">
        <f t="shared" si="31"/>
        <v>0.56563094483195941</v>
      </c>
      <c r="R162" s="96">
        <f t="shared" si="32"/>
        <v>0.50273889227023738</v>
      </c>
      <c r="S162" s="96">
        <f t="shared" si="33"/>
        <v>-2.3338607594936708E-2</v>
      </c>
      <c r="T162" s="98">
        <f t="shared" si="34"/>
        <v>2.2954629973968018E-2</v>
      </c>
    </row>
    <row r="163" spans="1:20" x14ac:dyDescent="0.2">
      <c r="A163" s="4" t="s">
        <v>70</v>
      </c>
      <c r="B163" s="4">
        <v>1634</v>
      </c>
      <c r="C163" s="4">
        <v>1497</v>
      </c>
      <c r="D163" s="4">
        <v>1435</v>
      </c>
      <c r="E163" s="4">
        <v>1448</v>
      </c>
      <c r="F163" s="4">
        <v>1555</v>
      </c>
      <c r="G163" s="4">
        <v>1846</v>
      </c>
      <c r="H163" s="4">
        <v>2033</v>
      </c>
      <c r="I163" s="4">
        <v>2142</v>
      </c>
      <c r="J163" s="4">
        <v>2223</v>
      </c>
      <c r="K163" s="4">
        <v>1958</v>
      </c>
      <c r="L163" s="4">
        <v>1900</v>
      </c>
      <c r="M163" s="4">
        <v>1723</v>
      </c>
      <c r="N163" s="4">
        <v>1748</v>
      </c>
      <c r="O163" s="4">
        <v>1720</v>
      </c>
      <c r="P163" s="4">
        <v>2432</v>
      </c>
      <c r="Q163" s="89">
        <f t="shared" si="31"/>
        <v>0.31744312026002169</v>
      </c>
      <c r="R163" s="96">
        <f t="shared" si="32"/>
        <v>0.28000000000000003</v>
      </c>
      <c r="S163" s="96">
        <f t="shared" si="33"/>
        <v>0.413953488372093</v>
      </c>
      <c r="T163" s="98">
        <f t="shared" si="34"/>
        <v>2.2610635924135366E-2</v>
      </c>
    </row>
    <row r="164" spans="1:20" x14ac:dyDescent="0.2">
      <c r="A164" s="4" t="s">
        <v>420</v>
      </c>
      <c r="B164" s="4">
        <v>244</v>
      </c>
      <c r="C164" s="4">
        <v>380</v>
      </c>
      <c r="D164" s="4">
        <v>462</v>
      </c>
      <c r="E164" s="4">
        <v>571</v>
      </c>
      <c r="F164" s="4">
        <v>567</v>
      </c>
      <c r="G164" s="4">
        <v>915</v>
      </c>
      <c r="H164" s="4">
        <v>926</v>
      </c>
      <c r="I164" s="4">
        <v>1278</v>
      </c>
      <c r="J164" s="4">
        <v>1379</v>
      </c>
      <c r="K164" s="4">
        <v>1624</v>
      </c>
      <c r="L164" s="4">
        <v>1647</v>
      </c>
      <c r="M164" s="4">
        <v>1668</v>
      </c>
      <c r="N164" s="4">
        <v>1716</v>
      </c>
      <c r="O164" s="4">
        <v>605</v>
      </c>
      <c r="P164" s="4">
        <v>2209</v>
      </c>
      <c r="Q164" s="89">
        <f t="shared" si="31"/>
        <v>1.4142076502732241</v>
      </c>
      <c r="R164" s="96">
        <f t="shared" si="32"/>
        <v>0.34122647237401338</v>
      </c>
      <c r="S164" s="96">
        <f t="shared" si="33"/>
        <v>2.6512396694214875</v>
      </c>
      <c r="T164" s="98">
        <f t="shared" si="34"/>
        <v>2.0537374488657494E-2</v>
      </c>
    </row>
    <row r="165" spans="1:20" x14ac:dyDescent="0.2">
      <c r="A165" s="4" t="s">
        <v>421</v>
      </c>
      <c r="B165" s="4">
        <v>108</v>
      </c>
      <c r="C165" s="4">
        <v>162</v>
      </c>
      <c r="D165" s="4">
        <v>188</v>
      </c>
      <c r="E165" s="4">
        <v>195</v>
      </c>
      <c r="F165" s="4">
        <v>211</v>
      </c>
      <c r="G165" s="4">
        <v>292</v>
      </c>
      <c r="H165" s="4">
        <v>346</v>
      </c>
      <c r="I165" s="4">
        <v>494</v>
      </c>
      <c r="J165" s="4">
        <v>673</v>
      </c>
      <c r="K165" s="4">
        <v>870</v>
      </c>
      <c r="L165" s="4">
        <v>1057</v>
      </c>
      <c r="M165" s="4">
        <v>1187</v>
      </c>
      <c r="N165" s="4">
        <v>1324</v>
      </c>
      <c r="O165" s="4">
        <v>499</v>
      </c>
      <c r="P165" s="4">
        <v>2030</v>
      </c>
      <c r="Q165" s="89">
        <f t="shared" si="31"/>
        <v>5.9520547945205475</v>
      </c>
      <c r="R165" s="96">
        <f t="shared" si="32"/>
        <v>0.92052980132450335</v>
      </c>
      <c r="S165" s="96">
        <f t="shared" si="33"/>
        <v>3.06813627254509</v>
      </c>
      <c r="T165" s="98">
        <f t="shared" si="34"/>
        <v>1.8873187058386018E-2</v>
      </c>
    </row>
    <row r="166" spans="1:20" x14ac:dyDescent="0.2">
      <c r="A166" s="4" t="s">
        <v>422</v>
      </c>
      <c r="B166" s="4">
        <v>426</v>
      </c>
      <c r="C166" s="4">
        <v>414</v>
      </c>
      <c r="D166" s="4">
        <v>424</v>
      </c>
      <c r="E166" s="4">
        <v>494</v>
      </c>
      <c r="F166" s="4">
        <v>655</v>
      </c>
      <c r="G166" s="4">
        <v>592</v>
      </c>
      <c r="H166" s="4">
        <v>861</v>
      </c>
      <c r="I166" s="4">
        <v>905</v>
      </c>
      <c r="J166" s="4">
        <v>954</v>
      </c>
      <c r="K166" s="4">
        <v>1066</v>
      </c>
      <c r="L166" s="4">
        <v>1174</v>
      </c>
      <c r="M166" s="4">
        <v>1339</v>
      </c>
      <c r="N166" s="4">
        <v>1355</v>
      </c>
      <c r="O166" s="4">
        <v>752</v>
      </c>
      <c r="P166" s="4">
        <v>1805</v>
      </c>
      <c r="Q166" s="89">
        <f t="shared" si="31"/>
        <v>2.0489864864864864</v>
      </c>
      <c r="R166" s="96">
        <f t="shared" si="32"/>
        <v>0.53747870528109032</v>
      </c>
      <c r="S166" s="96">
        <f t="shared" si="33"/>
        <v>1.4002659574468086</v>
      </c>
      <c r="T166" s="98">
        <f t="shared" si="34"/>
        <v>1.6781331349944216E-2</v>
      </c>
    </row>
    <row r="167" spans="1:20" x14ac:dyDescent="0.2">
      <c r="A167" s="4" t="s">
        <v>267</v>
      </c>
      <c r="B167" s="4">
        <v>626</v>
      </c>
      <c r="C167" s="4">
        <v>602</v>
      </c>
      <c r="D167" s="4">
        <v>716</v>
      </c>
      <c r="E167" s="4">
        <v>658</v>
      </c>
      <c r="F167" s="4">
        <v>686</v>
      </c>
      <c r="G167" s="4">
        <v>768</v>
      </c>
      <c r="H167" s="4">
        <v>989</v>
      </c>
      <c r="I167" s="4">
        <v>1184</v>
      </c>
      <c r="J167" s="4">
        <v>1200</v>
      </c>
      <c r="K167" s="4">
        <v>1073</v>
      </c>
      <c r="L167" s="4">
        <v>1133</v>
      </c>
      <c r="M167" s="4">
        <v>1436</v>
      </c>
      <c r="N167" s="4">
        <v>1444</v>
      </c>
      <c r="O167" s="4">
        <v>1363</v>
      </c>
      <c r="P167" s="4">
        <v>1655</v>
      </c>
      <c r="Q167" s="89">
        <f t="shared" si="31"/>
        <v>1.1549479166666667</v>
      </c>
      <c r="R167" s="96">
        <f t="shared" si="32"/>
        <v>0.46072374227714036</v>
      </c>
      <c r="S167" s="96">
        <f t="shared" si="33"/>
        <v>0.21423330887747616</v>
      </c>
      <c r="T167" s="98">
        <f t="shared" si="34"/>
        <v>1.5386760877649683E-2</v>
      </c>
    </row>
    <row r="168" spans="1:20" x14ac:dyDescent="0.2">
      <c r="A168" s="4" t="s">
        <v>81</v>
      </c>
      <c r="B168" s="4">
        <v>1519</v>
      </c>
      <c r="C168" s="4">
        <v>1625</v>
      </c>
      <c r="D168" s="4">
        <v>1984</v>
      </c>
      <c r="E168" s="4">
        <v>2051</v>
      </c>
      <c r="F168" s="4">
        <v>2256</v>
      </c>
      <c r="G168" s="4">
        <v>2605</v>
      </c>
      <c r="H168" s="4">
        <v>2771</v>
      </c>
      <c r="I168" s="4">
        <v>3001</v>
      </c>
      <c r="J168" s="4">
        <v>2910</v>
      </c>
      <c r="K168" s="4">
        <v>2714</v>
      </c>
      <c r="L168" s="4">
        <v>2370</v>
      </c>
      <c r="M168" s="4">
        <v>1993</v>
      </c>
      <c r="N168" s="4">
        <v>2098</v>
      </c>
      <c r="O168" s="4">
        <v>1719</v>
      </c>
      <c r="P168" s="4">
        <v>1604</v>
      </c>
      <c r="Q168" s="89">
        <f t="shared" si="31"/>
        <v>-0.38426103646833015</v>
      </c>
      <c r="R168" s="96">
        <f t="shared" si="32"/>
        <v>-0.3232067510548523</v>
      </c>
      <c r="S168" s="96">
        <f t="shared" si="33"/>
        <v>-6.689936009307737E-2</v>
      </c>
      <c r="T168" s="98">
        <f t="shared" si="34"/>
        <v>1.4912606917069542E-2</v>
      </c>
    </row>
    <row r="169" spans="1:20" x14ac:dyDescent="0.2">
      <c r="A169" s="4" t="s">
        <v>286</v>
      </c>
      <c r="B169" s="4">
        <v>1290</v>
      </c>
      <c r="C169" s="4">
        <v>1185</v>
      </c>
      <c r="D169" s="4">
        <v>1416</v>
      </c>
      <c r="E169" s="4">
        <v>1363</v>
      </c>
      <c r="F169" s="4">
        <v>1141</v>
      </c>
      <c r="G169" s="4">
        <v>1201</v>
      </c>
      <c r="H169" s="4">
        <v>1407</v>
      </c>
      <c r="I169" s="4">
        <v>1274</v>
      </c>
      <c r="J169" s="4">
        <v>1282</v>
      </c>
      <c r="K169" s="4">
        <v>1218</v>
      </c>
      <c r="L169" s="4">
        <v>1308</v>
      </c>
      <c r="M169" s="4">
        <v>1144</v>
      </c>
      <c r="N169" s="4">
        <v>1127</v>
      </c>
      <c r="O169" s="4">
        <v>1170</v>
      </c>
      <c r="P169" s="4">
        <v>1500</v>
      </c>
      <c r="Q169" s="89">
        <f t="shared" si="31"/>
        <v>0.24895920066611157</v>
      </c>
      <c r="R169" s="96">
        <f t="shared" si="32"/>
        <v>0.14678899082568808</v>
      </c>
      <c r="S169" s="96">
        <f t="shared" si="33"/>
        <v>0.28205128205128205</v>
      </c>
      <c r="T169" s="98">
        <f t="shared" si="34"/>
        <v>1.3945704722945334E-2</v>
      </c>
    </row>
    <row r="170" spans="1:20" x14ac:dyDescent="0.2">
      <c r="T170" s="131"/>
    </row>
    <row r="171" spans="1:20" ht="15.75" x14ac:dyDescent="0.2">
      <c r="A171" s="35" t="s">
        <v>314</v>
      </c>
      <c r="B171" s="35"/>
      <c r="C171" s="35"/>
      <c r="D171" s="35"/>
      <c r="E171" s="35"/>
      <c r="F171" s="35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</row>
    <row r="172" spans="1:20" ht="25.5" x14ac:dyDescent="0.2">
      <c r="A172" s="78" t="s">
        <v>225</v>
      </c>
      <c r="B172" s="3">
        <v>2007</v>
      </c>
      <c r="C172" s="3">
        <v>2008</v>
      </c>
      <c r="D172" s="3">
        <v>2009</v>
      </c>
      <c r="E172" s="3">
        <v>2010</v>
      </c>
      <c r="F172" s="3">
        <v>2011</v>
      </c>
      <c r="G172" s="3">
        <v>2012</v>
      </c>
      <c r="H172" s="3">
        <v>2013</v>
      </c>
      <c r="I172" s="3">
        <v>2014</v>
      </c>
      <c r="J172" s="3">
        <v>2015</v>
      </c>
      <c r="K172" s="3">
        <v>2016</v>
      </c>
      <c r="L172" s="3">
        <v>2017</v>
      </c>
      <c r="M172" s="3">
        <v>2018</v>
      </c>
      <c r="N172" s="3">
        <v>2019</v>
      </c>
      <c r="O172" s="3">
        <v>2020</v>
      </c>
      <c r="P172" s="3">
        <v>2021</v>
      </c>
      <c r="Q172" s="12" t="s">
        <v>370</v>
      </c>
      <c r="R172" s="12" t="s">
        <v>371</v>
      </c>
      <c r="S172" s="12" t="s">
        <v>372</v>
      </c>
      <c r="T172" s="12" t="s">
        <v>373</v>
      </c>
    </row>
    <row r="173" spans="1:20" x14ac:dyDescent="0.2">
      <c r="A173" s="4" t="s">
        <v>206</v>
      </c>
      <c r="B173" s="4">
        <v>46175</v>
      </c>
      <c r="C173" s="4">
        <v>54192</v>
      </c>
      <c r="D173" s="4">
        <v>58323</v>
      </c>
      <c r="E173" s="4">
        <v>55541</v>
      </c>
      <c r="F173" s="4">
        <v>65823</v>
      </c>
      <c r="G173" s="4">
        <v>76483</v>
      </c>
      <c r="H173" s="4">
        <v>88523</v>
      </c>
      <c r="I173" s="4">
        <v>95491</v>
      </c>
      <c r="J173" s="4">
        <v>104696</v>
      </c>
      <c r="K173" s="4">
        <v>111042</v>
      </c>
      <c r="L173" s="4">
        <v>115530</v>
      </c>
      <c r="M173" s="4">
        <v>117861</v>
      </c>
      <c r="N173" s="4">
        <v>113964</v>
      </c>
      <c r="O173" s="4">
        <v>90430</v>
      </c>
      <c r="P173" s="4">
        <v>130303</v>
      </c>
      <c r="Q173" s="89">
        <f>(P173-G173)/G173</f>
        <v>0.70368578638390233</v>
      </c>
      <c r="R173" s="96">
        <f>(P173-L173)/L173</f>
        <v>0.12787154851553709</v>
      </c>
      <c r="S173" s="96">
        <f>(P173-O173)/O173</f>
        <v>0.44092668362269161</v>
      </c>
      <c r="T173" s="98">
        <f>P173/P$9</f>
        <v>0.58213862890075274</v>
      </c>
    </row>
    <row r="174" spans="1:20" x14ac:dyDescent="0.2">
      <c r="A174" s="4" t="s">
        <v>207</v>
      </c>
      <c r="B174" s="4">
        <v>38625</v>
      </c>
      <c r="C174" s="4">
        <v>42214</v>
      </c>
      <c r="D174" s="4">
        <v>47191</v>
      </c>
      <c r="E174" s="4">
        <v>46108</v>
      </c>
      <c r="F174" s="4">
        <v>52016</v>
      </c>
      <c r="G174" s="4">
        <v>58662</v>
      </c>
      <c r="H174" s="4">
        <v>67713</v>
      </c>
      <c r="I174" s="4">
        <v>75163</v>
      </c>
      <c r="J174" s="4">
        <v>83070</v>
      </c>
      <c r="K174" s="4">
        <v>84922</v>
      </c>
      <c r="L174" s="4">
        <v>88837</v>
      </c>
      <c r="M174" s="4">
        <v>90101</v>
      </c>
      <c r="N174" s="4">
        <v>85899</v>
      </c>
      <c r="O174" s="4">
        <v>68717</v>
      </c>
      <c r="P174" s="4">
        <v>93532</v>
      </c>
      <c r="Q174" s="89">
        <f>(P174-G174)/G174</f>
        <v>0.59442228359074012</v>
      </c>
      <c r="R174" s="96">
        <f>(P174-L174)/L174</f>
        <v>5.2849600954557222E-2</v>
      </c>
      <c r="S174" s="96">
        <f>(P174-O174)/O174</f>
        <v>0.36111879156540594</v>
      </c>
      <c r="T174" s="98">
        <f>P174/P$9</f>
        <v>0.4178613710992472</v>
      </c>
    </row>
    <row r="175" spans="1:20" x14ac:dyDescent="0.2">
      <c r="A175" s="5" t="s">
        <v>4</v>
      </c>
      <c r="B175" s="5">
        <v>84800</v>
      </c>
      <c r="C175" s="5">
        <v>96406</v>
      </c>
      <c r="D175" s="5">
        <v>105514</v>
      </c>
      <c r="E175" s="5">
        <v>101649</v>
      </c>
      <c r="F175" s="5">
        <v>117839</v>
      </c>
      <c r="G175" s="5">
        <v>135145</v>
      </c>
      <c r="H175" s="5">
        <v>156236</v>
      </c>
      <c r="I175" s="5">
        <v>170654</v>
      </c>
      <c r="J175" s="5">
        <v>187766</v>
      </c>
      <c r="K175" s="5">
        <v>195964</v>
      </c>
      <c r="L175" s="5">
        <v>204367</v>
      </c>
      <c r="M175" s="5">
        <v>207962</v>
      </c>
      <c r="N175" s="5">
        <v>199863</v>
      </c>
      <c r="O175" s="5">
        <v>159147</v>
      </c>
      <c r="P175" s="5">
        <v>223835</v>
      </c>
      <c r="Q175" s="73">
        <f>(P175-G175)/G175</f>
        <v>0.65625809315919936</v>
      </c>
      <c r="R175" s="97">
        <f>(P175-L175)/L175</f>
        <v>9.5259997944873678E-2</v>
      </c>
      <c r="S175" s="97">
        <f>(P175-O175)/O175</f>
        <v>0.40646697707151253</v>
      </c>
      <c r="T175" s="99">
        <f>P175/P$9</f>
        <v>1</v>
      </c>
    </row>
    <row r="177" spans="1:20" ht="15.75" x14ac:dyDescent="0.2">
      <c r="A177" s="35" t="s">
        <v>315</v>
      </c>
      <c r="B177" s="35"/>
      <c r="C177" s="35"/>
      <c r="D177" s="35"/>
      <c r="E177" s="35"/>
      <c r="F177" s="35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</row>
    <row r="178" spans="1:20" ht="25.5" x14ac:dyDescent="0.2">
      <c r="A178" s="78" t="s">
        <v>225</v>
      </c>
      <c r="B178" s="3">
        <v>2007</v>
      </c>
      <c r="C178" s="3">
        <v>2008</v>
      </c>
      <c r="D178" s="3">
        <v>2009</v>
      </c>
      <c r="E178" s="3">
        <v>2010</v>
      </c>
      <c r="F178" s="3">
        <v>2011</v>
      </c>
      <c r="G178" s="3">
        <v>2012</v>
      </c>
      <c r="H178" s="3">
        <v>2013</v>
      </c>
      <c r="I178" s="3">
        <v>2014</v>
      </c>
      <c r="J178" s="3">
        <v>2015</v>
      </c>
      <c r="K178" s="3">
        <v>2016</v>
      </c>
      <c r="L178" s="3">
        <v>2017</v>
      </c>
      <c r="M178" s="3">
        <v>2018</v>
      </c>
      <c r="N178" s="3">
        <v>2019</v>
      </c>
      <c r="O178" s="3">
        <v>2020</v>
      </c>
      <c r="P178" s="3">
        <v>2021</v>
      </c>
      <c r="Q178" s="12" t="s">
        <v>370</v>
      </c>
      <c r="R178" s="12" t="s">
        <v>371</v>
      </c>
      <c r="S178" s="12" t="s">
        <v>372</v>
      </c>
      <c r="T178" s="12" t="s">
        <v>373</v>
      </c>
    </row>
    <row r="179" spans="1:20" x14ac:dyDescent="0.2">
      <c r="A179" s="32" t="s">
        <v>206</v>
      </c>
      <c r="B179" s="32">
        <v>7441</v>
      </c>
      <c r="C179" s="32">
        <v>11842</v>
      </c>
      <c r="D179" s="32">
        <v>9825</v>
      </c>
      <c r="E179" s="32">
        <v>7928</v>
      </c>
      <c r="F179" s="32">
        <v>13670</v>
      </c>
      <c r="G179" s="4">
        <v>15764</v>
      </c>
      <c r="H179" s="4">
        <v>17258</v>
      </c>
      <c r="I179" s="4">
        <v>16597</v>
      </c>
      <c r="J179" s="4">
        <v>17676</v>
      </c>
      <c r="K179" s="4">
        <v>19576</v>
      </c>
      <c r="L179" s="4">
        <v>18173</v>
      </c>
      <c r="M179" s="4">
        <v>19772</v>
      </c>
      <c r="N179" s="4">
        <v>18580</v>
      </c>
      <c r="O179" s="4">
        <v>13859</v>
      </c>
      <c r="P179" s="4">
        <v>21211</v>
      </c>
      <c r="Q179" s="89">
        <f>(P179-G179)/G179</f>
        <v>0.3455341283938087</v>
      </c>
      <c r="R179" s="96">
        <f>(P179-L179)/L179</f>
        <v>0.16717107797281683</v>
      </c>
      <c r="S179" s="96">
        <f>(P179-O179)/O179</f>
        <v>0.53048560502200737</v>
      </c>
      <c r="T179" s="98">
        <f>P179/P$6</f>
        <v>0.59918079096045196</v>
      </c>
    </row>
    <row r="180" spans="1:20" x14ac:dyDescent="0.2">
      <c r="A180" s="32" t="s">
        <v>207</v>
      </c>
      <c r="B180" s="32">
        <v>5217</v>
      </c>
      <c r="C180" s="32">
        <v>7362</v>
      </c>
      <c r="D180" s="32">
        <v>6722</v>
      </c>
      <c r="E180" s="32">
        <v>6116</v>
      </c>
      <c r="F180" s="32">
        <v>8643</v>
      </c>
      <c r="G180" s="4">
        <v>9729</v>
      </c>
      <c r="H180" s="4">
        <v>10925</v>
      </c>
      <c r="I180" s="4">
        <v>11078</v>
      </c>
      <c r="J180" s="4">
        <v>12880</v>
      </c>
      <c r="K180" s="4">
        <v>14201</v>
      </c>
      <c r="L180" s="4">
        <v>14482</v>
      </c>
      <c r="M180" s="4">
        <v>15356</v>
      </c>
      <c r="N180" s="4">
        <v>14864</v>
      </c>
      <c r="O180" s="4">
        <v>9618</v>
      </c>
      <c r="P180" s="4">
        <v>14189</v>
      </c>
      <c r="Q180" s="89">
        <f>(P180-G180)/G180</f>
        <v>0.45842327063418647</v>
      </c>
      <c r="R180" s="96">
        <f>(P180-L180)/L180</f>
        <v>-2.023201215301754E-2</v>
      </c>
      <c r="S180" s="96">
        <f>(P180-O180)/O180</f>
        <v>0.47525473071324598</v>
      </c>
      <c r="T180" s="98">
        <f>P180/P$6</f>
        <v>0.40081920903954804</v>
      </c>
    </row>
    <row r="181" spans="1:20" x14ac:dyDescent="0.2">
      <c r="A181" s="5" t="s">
        <v>4</v>
      </c>
      <c r="B181" s="5">
        <v>12658</v>
      </c>
      <c r="C181" s="5">
        <v>19204</v>
      </c>
      <c r="D181" s="5">
        <v>16547</v>
      </c>
      <c r="E181" s="5">
        <v>14044</v>
      </c>
      <c r="F181" s="5">
        <v>22313</v>
      </c>
      <c r="G181" s="5">
        <v>25493</v>
      </c>
      <c r="H181" s="5">
        <v>28183</v>
      </c>
      <c r="I181" s="5">
        <v>27675</v>
      </c>
      <c r="J181" s="5">
        <v>30556</v>
      </c>
      <c r="K181" s="5">
        <v>33777</v>
      </c>
      <c r="L181" s="5">
        <v>32655</v>
      </c>
      <c r="M181" s="5">
        <v>35128</v>
      </c>
      <c r="N181" s="5">
        <v>33444</v>
      </c>
      <c r="O181" s="5">
        <v>23477</v>
      </c>
      <c r="P181" s="5">
        <v>35400</v>
      </c>
      <c r="Q181" s="73">
        <f>(P181-G181)/G181</f>
        <v>0.38861648295610562</v>
      </c>
      <c r="R181" s="97">
        <f>(P181-L181)/L181</f>
        <v>8.4060633899862194E-2</v>
      </c>
      <c r="S181" s="97">
        <f>(P181-O181)/O181</f>
        <v>0.50785875537760361</v>
      </c>
      <c r="T181" s="99">
        <f>P181/P$6</f>
        <v>1</v>
      </c>
    </row>
    <row r="183" spans="1:20" ht="15.75" x14ac:dyDescent="0.2">
      <c r="A183" s="35" t="s">
        <v>316</v>
      </c>
      <c r="B183" s="35"/>
      <c r="C183" s="35"/>
      <c r="D183" s="35"/>
      <c r="E183" s="35"/>
      <c r="F183" s="35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</row>
    <row r="184" spans="1:20" ht="25.5" x14ac:dyDescent="0.2">
      <c r="A184" s="78" t="s">
        <v>225</v>
      </c>
      <c r="B184" s="3">
        <v>2007</v>
      </c>
      <c r="C184" s="3">
        <v>2008</v>
      </c>
      <c r="D184" s="3">
        <v>2009</v>
      </c>
      <c r="E184" s="3">
        <v>2010</v>
      </c>
      <c r="F184" s="3">
        <v>2011</v>
      </c>
      <c r="G184" s="3">
        <v>2012</v>
      </c>
      <c r="H184" s="3">
        <v>2013</v>
      </c>
      <c r="I184" s="3">
        <v>2014</v>
      </c>
      <c r="J184" s="3">
        <v>2015</v>
      </c>
      <c r="K184" s="3">
        <v>2016</v>
      </c>
      <c r="L184" s="3">
        <v>2017</v>
      </c>
      <c r="M184" s="3">
        <v>2018</v>
      </c>
      <c r="N184" s="3">
        <v>2019</v>
      </c>
      <c r="O184" s="3">
        <v>2020</v>
      </c>
      <c r="P184" s="3">
        <v>2021</v>
      </c>
      <c r="Q184" s="12" t="s">
        <v>370</v>
      </c>
      <c r="R184" s="12" t="s">
        <v>371</v>
      </c>
      <c r="S184" s="12" t="s">
        <v>372</v>
      </c>
      <c r="T184" s="12" t="s">
        <v>373</v>
      </c>
    </row>
    <row r="185" spans="1:20" x14ac:dyDescent="0.2">
      <c r="A185" s="32" t="s">
        <v>206</v>
      </c>
      <c r="B185" s="32">
        <v>8053</v>
      </c>
      <c r="C185" s="32">
        <v>9352</v>
      </c>
      <c r="D185" s="32">
        <v>12190</v>
      </c>
      <c r="E185" s="32">
        <v>12583</v>
      </c>
      <c r="F185" s="32">
        <v>16571</v>
      </c>
      <c r="G185" s="4">
        <v>21232</v>
      </c>
      <c r="H185" s="4">
        <v>26822</v>
      </c>
      <c r="I185" s="4">
        <v>31368</v>
      </c>
      <c r="J185" s="4">
        <v>37908</v>
      </c>
      <c r="K185" s="4">
        <v>41359</v>
      </c>
      <c r="L185" s="4">
        <v>44564</v>
      </c>
      <c r="M185" s="4">
        <v>44190</v>
      </c>
      <c r="N185" s="4">
        <v>41518</v>
      </c>
      <c r="O185" s="4">
        <v>36221</v>
      </c>
      <c r="P185" s="4">
        <v>45296</v>
      </c>
      <c r="Q185" s="89">
        <f>(P185-G185)/G185</f>
        <v>1.1333835719668426</v>
      </c>
      <c r="R185" s="96">
        <f>(P185-L185)/L185</f>
        <v>1.6425814558836731E-2</v>
      </c>
      <c r="S185" s="96">
        <f>(P185-O185)/O185</f>
        <v>0.25054526379724468</v>
      </c>
      <c r="T185" s="98">
        <f>P185/P$7</f>
        <v>0.56007418856259661</v>
      </c>
    </row>
    <row r="186" spans="1:20" x14ac:dyDescent="0.2">
      <c r="A186" s="32" t="s">
        <v>207</v>
      </c>
      <c r="B186" s="32">
        <v>9133</v>
      </c>
      <c r="C186" s="32">
        <v>9323</v>
      </c>
      <c r="D186" s="32">
        <v>11447</v>
      </c>
      <c r="E186" s="32">
        <v>11086</v>
      </c>
      <c r="F186" s="32">
        <v>14118</v>
      </c>
      <c r="G186" s="4">
        <v>16712</v>
      </c>
      <c r="H186" s="4">
        <v>20251</v>
      </c>
      <c r="I186" s="4">
        <v>24457</v>
      </c>
      <c r="J186" s="4">
        <v>29401</v>
      </c>
      <c r="K186" s="4">
        <v>31462</v>
      </c>
      <c r="L186" s="4">
        <v>33575</v>
      </c>
      <c r="M186" s="4">
        <v>34902</v>
      </c>
      <c r="N186" s="4">
        <v>32622</v>
      </c>
      <c r="O186" s="4">
        <v>26925</v>
      </c>
      <c r="P186" s="4">
        <v>35579</v>
      </c>
      <c r="Q186" s="89">
        <f>(P186-G186)/G186</f>
        <v>1.1289492580181906</v>
      </c>
      <c r="R186" s="96">
        <f>(P186-L186)/L186</f>
        <v>5.9687267311988083E-2</v>
      </c>
      <c r="S186" s="96">
        <f>(P186-O186)/O186</f>
        <v>0.32141132776230269</v>
      </c>
      <c r="T186" s="98">
        <f>P186/P$7</f>
        <v>0.43992581143740339</v>
      </c>
    </row>
    <row r="187" spans="1:20" x14ac:dyDescent="0.2">
      <c r="A187" s="5" t="s">
        <v>4</v>
      </c>
      <c r="B187" s="5">
        <v>17186</v>
      </c>
      <c r="C187" s="5">
        <v>18675</v>
      </c>
      <c r="D187" s="5">
        <v>23637</v>
      </c>
      <c r="E187" s="5">
        <v>23669</v>
      </c>
      <c r="F187" s="5">
        <v>30689</v>
      </c>
      <c r="G187" s="5">
        <v>37944</v>
      </c>
      <c r="H187" s="5">
        <v>47073</v>
      </c>
      <c r="I187" s="5">
        <v>55825</v>
      </c>
      <c r="J187" s="5">
        <v>67309</v>
      </c>
      <c r="K187" s="5">
        <v>72821</v>
      </c>
      <c r="L187" s="5">
        <v>78139</v>
      </c>
      <c r="M187" s="5">
        <v>79092</v>
      </c>
      <c r="N187" s="5">
        <v>74140</v>
      </c>
      <c r="O187" s="5">
        <v>63146</v>
      </c>
      <c r="P187" s="5">
        <v>80875</v>
      </c>
      <c r="Q187" s="73">
        <f>(P187-G187)/G187</f>
        <v>1.1314305292009277</v>
      </c>
      <c r="R187" s="97">
        <f>(P187-L187)/L187</f>
        <v>3.501452539704885E-2</v>
      </c>
      <c r="S187" s="97">
        <f>(P187-O187)/O187</f>
        <v>0.28076204351819595</v>
      </c>
      <c r="T187" s="99">
        <f>P187/P$7</f>
        <v>1</v>
      </c>
    </row>
    <row r="189" spans="1:20" ht="15.75" x14ac:dyDescent="0.2">
      <c r="A189" s="35" t="s">
        <v>317</v>
      </c>
      <c r="B189" s="35"/>
      <c r="C189" s="35"/>
      <c r="D189" s="35"/>
      <c r="E189" s="35"/>
      <c r="F189" s="35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</row>
    <row r="190" spans="1:20" ht="25.5" x14ac:dyDescent="0.2">
      <c r="A190" s="78" t="s">
        <v>225</v>
      </c>
      <c r="B190" s="3">
        <v>2007</v>
      </c>
      <c r="C190" s="3">
        <v>2008</v>
      </c>
      <c r="D190" s="3">
        <v>2009</v>
      </c>
      <c r="E190" s="3">
        <v>2010</v>
      </c>
      <c r="F190" s="3">
        <v>2011</v>
      </c>
      <c r="G190" s="3">
        <v>2012</v>
      </c>
      <c r="H190" s="3">
        <v>2013</v>
      </c>
      <c r="I190" s="3">
        <v>2014</v>
      </c>
      <c r="J190" s="3">
        <v>2015</v>
      </c>
      <c r="K190" s="3">
        <v>2016</v>
      </c>
      <c r="L190" s="3">
        <v>2017</v>
      </c>
      <c r="M190" s="3">
        <v>2018</v>
      </c>
      <c r="N190" s="3">
        <v>2019</v>
      </c>
      <c r="O190" s="3">
        <v>2020</v>
      </c>
      <c r="P190" s="3">
        <v>2021</v>
      </c>
      <c r="Q190" s="12" t="s">
        <v>370</v>
      </c>
      <c r="R190" s="12" t="s">
        <v>371</v>
      </c>
      <c r="S190" s="12" t="s">
        <v>372</v>
      </c>
      <c r="T190" s="12" t="s">
        <v>373</v>
      </c>
    </row>
    <row r="191" spans="1:20" x14ac:dyDescent="0.2">
      <c r="A191" s="32" t="s">
        <v>206</v>
      </c>
      <c r="B191" s="32">
        <v>30681</v>
      </c>
      <c r="C191" s="32">
        <v>32998</v>
      </c>
      <c r="D191" s="32">
        <v>36308</v>
      </c>
      <c r="E191" s="32">
        <v>35030</v>
      </c>
      <c r="F191" s="32">
        <v>35582</v>
      </c>
      <c r="G191" s="4">
        <v>39487</v>
      </c>
      <c r="H191" s="4">
        <v>44443</v>
      </c>
      <c r="I191" s="4">
        <v>47526</v>
      </c>
      <c r="J191" s="4">
        <v>49112</v>
      </c>
      <c r="K191" s="4">
        <v>50107</v>
      </c>
      <c r="L191" s="4">
        <v>52793</v>
      </c>
      <c r="M191" s="4">
        <v>53899</v>
      </c>
      <c r="N191" s="4">
        <v>53866</v>
      </c>
      <c r="O191" s="4">
        <v>40350</v>
      </c>
      <c r="P191" s="4">
        <v>63796</v>
      </c>
      <c r="Q191" s="89">
        <f>(P191-G191)/G191</f>
        <v>0.61562033074176314</v>
      </c>
      <c r="R191" s="96">
        <f>(P191-L191)/L191</f>
        <v>0.20841778266058</v>
      </c>
      <c r="S191" s="96">
        <f>(P191-O191)/O191</f>
        <v>0.58106567534076825</v>
      </c>
      <c r="T191" s="98">
        <f>P191/P$8</f>
        <v>0.59312011900334694</v>
      </c>
    </row>
    <row r="192" spans="1:20" x14ac:dyDescent="0.2">
      <c r="A192" s="32" t="s">
        <v>207</v>
      </c>
      <c r="B192" s="32">
        <v>24275</v>
      </c>
      <c r="C192" s="32">
        <v>25529</v>
      </c>
      <c r="D192" s="32">
        <v>29022</v>
      </c>
      <c r="E192" s="32">
        <v>28906</v>
      </c>
      <c r="F192" s="32">
        <v>29255</v>
      </c>
      <c r="G192" s="4">
        <v>32221</v>
      </c>
      <c r="H192" s="4">
        <v>36537</v>
      </c>
      <c r="I192" s="4">
        <v>39628</v>
      </c>
      <c r="J192" s="4">
        <v>40789</v>
      </c>
      <c r="K192" s="4">
        <v>39259</v>
      </c>
      <c r="L192" s="4">
        <v>40780</v>
      </c>
      <c r="M192" s="4">
        <v>39843</v>
      </c>
      <c r="N192" s="4">
        <v>38413</v>
      </c>
      <c r="O192" s="4">
        <v>32174</v>
      </c>
      <c r="P192" s="4">
        <v>43764</v>
      </c>
      <c r="Q192" s="89">
        <f>(P192-G192)/G192</f>
        <v>0.35824462307190963</v>
      </c>
      <c r="R192" s="96">
        <f>(P192-L192)/L192</f>
        <v>7.3173124080431584E-2</v>
      </c>
      <c r="S192" s="96">
        <f>(P192-O192)/O192</f>
        <v>0.36022875613849692</v>
      </c>
      <c r="T192" s="98">
        <f>P192/P$8</f>
        <v>0.40687988099665301</v>
      </c>
    </row>
    <row r="193" spans="1:21" x14ac:dyDescent="0.2">
      <c r="A193" s="5" t="s">
        <v>4</v>
      </c>
      <c r="B193" s="5">
        <v>54956</v>
      </c>
      <c r="C193" s="5">
        <v>58527</v>
      </c>
      <c r="D193" s="5">
        <v>65330</v>
      </c>
      <c r="E193" s="5">
        <v>63936</v>
      </c>
      <c r="F193" s="5">
        <v>64837</v>
      </c>
      <c r="G193" s="5">
        <v>71708</v>
      </c>
      <c r="H193" s="5">
        <v>80980</v>
      </c>
      <c r="I193" s="5">
        <v>87154</v>
      </c>
      <c r="J193" s="5">
        <v>89901</v>
      </c>
      <c r="K193" s="5">
        <v>89366</v>
      </c>
      <c r="L193" s="5">
        <v>93573</v>
      </c>
      <c r="M193" s="5">
        <v>93742</v>
      </c>
      <c r="N193" s="5">
        <v>92279</v>
      </c>
      <c r="O193" s="5">
        <v>72524</v>
      </c>
      <c r="P193" s="5">
        <v>107560</v>
      </c>
      <c r="Q193" s="73">
        <f>(P193-G193)/G193</f>
        <v>0.49997210910916495</v>
      </c>
      <c r="R193" s="97">
        <f>(P193-L193)/L193</f>
        <v>0.14947687901424556</v>
      </c>
      <c r="S193" s="97">
        <f>(P193-O193)/O193</f>
        <v>0.48309525122717994</v>
      </c>
      <c r="T193" s="99">
        <f>P193/P$8</f>
        <v>1</v>
      </c>
    </row>
    <row r="194" spans="1:21" x14ac:dyDescent="0.2">
      <c r="A194" s="67"/>
      <c r="B194" s="67"/>
      <c r="C194" s="67"/>
      <c r="D194" s="67"/>
      <c r="E194" s="67"/>
      <c r="F194" s="67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</row>
    <row r="195" spans="1:21" ht="15.75" x14ac:dyDescent="0.2">
      <c r="A195" s="35" t="s">
        <v>318</v>
      </c>
      <c r="B195" s="35"/>
      <c r="C195" s="35"/>
      <c r="D195" s="35"/>
      <c r="E195" s="35"/>
      <c r="F195" s="35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</row>
    <row r="196" spans="1:21" ht="25.5" x14ac:dyDescent="0.2">
      <c r="A196" s="78" t="s">
        <v>26</v>
      </c>
      <c r="B196" s="3">
        <v>2007</v>
      </c>
      <c r="C196" s="3">
        <v>2008</v>
      </c>
      <c r="D196" s="3">
        <v>2009</v>
      </c>
      <c r="E196" s="3">
        <v>2010</v>
      </c>
      <c r="F196" s="3">
        <v>2011</v>
      </c>
      <c r="G196" s="3">
        <v>2012</v>
      </c>
      <c r="H196" s="3">
        <v>2013</v>
      </c>
      <c r="I196" s="3">
        <v>2014</v>
      </c>
      <c r="J196" s="3">
        <v>2015</v>
      </c>
      <c r="K196" s="3">
        <v>2016</v>
      </c>
      <c r="L196" s="3">
        <v>2017</v>
      </c>
      <c r="M196" s="3">
        <v>2018</v>
      </c>
      <c r="N196" s="3">
        <v>2019</v>
      </c>
      <c r="O196" s="3">
        <v>2020</v>
      </c>
      <c r="P196" s="3">
        <v>2021</v>
      </c>
      <c r="Q196" s="12" t="s">
        <v>370</v>
      </c>
      <c r="R196" s="12" t="s">
        <v>371</v>
      </c>
      <c r="S196" s="12" t="s">
        <v>372</v>
      </c>
      <c r="T196" s="12" t="s">
        <v>373</v>
      </c>
    </row>
    <row r="197" spans="1:21" x14ac:dyDescent="0.2">
      <c r="A197" s="4" t="s">
        <v>27</v>
      </c>
      <c r="B197" s="4">
        <v>61</v>
      </c>
      <c r="C197" s="4">
        <v>817</v>
      </c>
      <c r="D197" s="4">
        <v>677</v>
      </c>
      <c r="E197" s="4">
        <v>74</v>
      </c>
      <c r="F197" s="4">
        <v>120</v>
      </c>
      <c r="G197" s="4">
        <v>168</v>
      </c>
      <c r="H197" s="4">
        <v>224</v>
      </c>
      <c r="I197" s="4">
        <v>313</v>
      </c>
      <c r="J197" s="4">
        <v>416</v>
      </c>
      <c r="K197" s="4">
        <v>492</v>
      </c>
      <c r="L197" s="4">
        <v>596</v>
      </c>
      <c r="M197" s="4">
        <v>536</v>
      </c>
      <c r="N197" s="4">
        <v>406</v>
      </c>
      <c r="O197" s="4">
        <v>315</v>
      </c>
      <c r="P197" s="4">
        <v>570</v>
      </c>
      <c r="Q197" s="89">
        <f t="shared" ref="Q197:Q204" si="35">(P197-G197)/G197</f>
        <v>2.3928571428571428</v>
      </c>
      <c r="R197" s="96">
        <f t="shared" ref="R197:R204" si="36">(P197-L197)/L197</f>
        <v>-4.3624161073825503E-2</v>
      </c>
      <c r="S197" s="96">
        <f t="shared" ref="S197:S204" si="37">(P197-O197)/O197</f>
        <v>0.80952380952380953</v>
      </c>
      <c r="T197" s="98">
        <f t="shared" ref="T197:T204" si="38">P197/P$9</f>
        <v>2.5465186409632094E-3</v>
      </c>
      <c r="U197" s="95"/>
    </row>
    <row r="198" spans="1:21" x14ac:dyDescent="0.2">
      <c r="A198" s="4" t="s">
        <v>28</v>
      </c>
      <c r="B198" s="4">
        <v>35360</v>
      </c>
      <c r="C198" s="4">
        <v>40573</v>
      </c>
      <c r="D198" s="4">
        <v>43660</v>
      </c>
      <c r="E198" s="4">
        <v>42598</v>
      </c>
      <c r="F198" s="4">
        <v>53311</v>
      </c>
      <c r="G198" s="4">
        <v>61809</v>
      </c>
      <c r="H198" s="4">
        <v>70001</v>
      </c>
      <c r="I198" s="4">
        <v>74609</v>
      </c>
      <c r="J198" s="4">
        <v>81008</v>
      </c>
      <c r="K198" s="4">
        <v>83841</v>
      </c>
      <c r="L198" s="4">
        <v>87526</v>
      </c>
      <c r="M198" s="4">
        <v>87109</v>
      </c>
      <c r="N198" s="4">
        <v>85331</v>
      </c>
      <c r="O198" s="4">
        <v>63533</v>
      </c>
      <c r="P198" s="4">
        <v>90847</v>
      </c>
      <c r="Q198" s="89">
        <f t="shared" si="35"/>
        <v>0.46980213237554402</v>
      </c>
      <c r="R198" s="96">
        <f t="shared" si="36"/>
        <v>3.7943011219523343E-2</v>
      </c>
      <c r="S198" s="96">
        <f t="shared" si="37"/>
        <v>0.4299183101695182</v>
      </c>
      <c r="T198" s="98">
        <f t="shared" si="38"/>
        <v>0.40586592802734156</v>
      </c>
      <c r="U198" s="95"/>
    </row>
    <row r="199" spans="1:21" x14ac:dyDescent="0.2">
      <c r="A199" s="4" t="s">
        <v>29</v>
      </c>
      <c r="B199" s="4">
        <v>31648</v>
      </c>
      <c r="C199" s="4">
        <v>33845</v>
      </c>
      <c r="D199" s="4">
        <v>37032</v>
      </c>
      <c r="E199" s="4">
        <v>35991</v>
      </c>
      <c r="F199" s="4">
        <v>38852</v>
      </c>
      <c r="G199" s="4">
        <v>43894</v>
      </c>
      <c r="H199" s="4">
        <v>51415</v>
      </c>
      <c r="I199" s="4">
        <v>56605</v>
      </c>
      <c r="J199" s="4">
        <v>61785</v>
      </c>
      <c r="K199" s="4">
        <v>63703</v>
      </c>
      <c r="L199" s="4">
        <v>66294</v>
      </c>
      <c r="M199" s="4">
        <v>67158</v>
      </c>
      <c r="N199" s="4">
        <v>63683</v>
      </c>
      <c r="O199" s="4">
        <v>49628</v>
      </c>
      <c r="P199" s="4">
        <v>72892</v>
      </c>
      <c r="Q199" s="89">
        <f t="shared" si="35"/>
        <v>0.66063698911012891</v>
      </c>
      <c r="R199" s="96">
        <f t="shared" si="36"/>
        <v>9.9526352309409594E-2</v>
      </c>
      <c r="S199" s="96">
        <f t="shared" si="37"/>
        <v>0.46876763117594905</v>
      </c>
      <c r="T199" s="98">
        <f t="shared" si="38"/>
        <v>0.32565059083700049</v>
      </c>
      <c r="U199" s="95"/>
    </row>
    <row r="200" spans="1:21" x14ac:dyDescent="0.2">
      <c r="A200" s="4" t="s">
        <v>30</v>
      </c>
      <c r="B200" s="4">
        <v>9087</v>
      </c>
      <c r="C200" s="4">
        <v>10090</v>
      </c>
      <c r="D200" s="4">
        <v>11322</v>
      </c>
      <c r="E200" s="4">
        <v>10890</v>
      </c>
      <c r="F200" s="4">
        <v>12279</v>
      </c>
      <c r="G200" s="4">
        <v>14324</v>
      </c>
      <c r="H200" s="4">
        <v>17364</v>
      </c>
      <c r="I200" s="4">
        <v>19474</v>
      </c>
      <c r="J200" s="4">
        <v>21502</v>
      </c>
      <c r="K200" s="4">
        <v>22778</v>
      </c>
      <c r="L200" s="4">
        <v>23682</v>
      </c>
      <c r="M200" s="4">
        <v>25119</v>
      </c>
      <c r="N200" s="4">
        <v>23939</v>
      </c>
      <c r="O200" s="4">
        <v>20796</v>
      </c>
      <c r="P200" s="4">
        <v>27244</v>
      </c>
      <c r="Q200" s="89">
        <f t="shared" si="35"/>
        <v>0.90198268640044676</v>
      </c>
      <c r="R200" s="96">
        <f t="shared" si="36"/>
        <v>0.15040959378430876</v>
      </c>
      <c r="S200" s="96">
        <f t="shared" si="37"/>
        <v>0.31005962685131755</v>
      </c>
      <c r="T200" s="98">
        <f t="shared" si="38"/>
        <v>0.12171465588491523</v>
      </c>
      <c r="U200" s="95"/>
    </row>
    <row r="201" spans="1:21" x14ac:dyDescent="0.2">
      <c r="A201" s="4" t="s">
        <v>31</v>
      </c>
      <c r="B201" s="4">
        <v>4062</v>
      </c>
      <c r="C201" s="4">
        <v>4929</v>
      </c>
      <c r="D201" s="4">
        <v>5938</v>
      </c>
      <c r="E201" s="4">
        <v>5778</v>
      </c>
      <c r="F201" s="4">
        <v>6336</v>
      </c>
      <c r="G201" s="4">
        <v>7163</v>
      </c>
      <c r="H201" s="4">
        <v>8404</v>
      </c>
      <c r="I201" s="4">
        <v>9593</v>
      </c>
      <c r="J201" s="4">
        <v>10893</v>
      </c>
      <c r="K201" s="4">
        <v>11823</v>
      </c>
      <c r="L201" s="4">
        <v>12758</v>
      </c>
      <c r="M201" s="4">
        <v>13614</v>
      </c>
      <c r="N201" s="4">
        <v>12717</v>
      </c>
      <c r="O201" s="4">
        <v>11519</v>
      </c>
      <c r="P201" s="4">
        <v>14685</v>
      </c>
      <c r="Q201" s="89">
        <f t="shared" si="35"/>
        <v>1.0501186653636745</v>
      </c>
      <c r="R201" s="96">
        <f t="shared" si="36"/>
        <v>0.15104248314782881</v>
      </c>
      <c r="S201" s="96">
        <f t="shared" si="37"/>
        <v>0.27485024741731051</v>
      </c>
      <c r="T201" s="98">
        <f t="shared" si="38"/>
        <v>6.560636182902585E-2</v>
      </c>
      <c r="U201" s="95"/>
    </row>
    <row r="202" spans="1:21" x14ac:dyDescent="0.2">
      <c r="A202" s="4" t="s">
        <v>32</v>
      </c>
      <c r="B202" s="4">
        <v>4398</v>
      </c>
      <c r="C202" s="4">
        <v>6020</v>
      </c>
      <c r="D202" s="4">
        <v>6860</v>
      </c>
      <c r="E202" s="4">
        <v>6300</v>
      </c>
      <c r="F202" s="4">
        <v>6922</v>
      </c>
      <c r="G202" s="4">
        <v>7770</v>
      </c>
      <c r="H202" s="4">
        <v>8818</v>
      </c>
      <c r="I202" s="4">
        <v>9985</v>
      </c>
      <c r="J202" s="4">
        <v>12141</v>
      </c>
      <c r="K202" s="4">
        <v>13324</v>
      </c>
      <c r="L202" s="4">
        <v>13509</v>
      </c>
      <c r="M202" s="4">
        <v>14424</v>
      </c>
      <c r="N202" s="4">
        <v>13785</v>
      </c>
      <c r="O202" s="4">
        <v>13356</v>
      </c>
      <c r="P202" s="4">
        <v>17593</v>
      </c>
      <c r="Q202" s="89">
        <f t="shared" si="35"/>
        <v>1.2642213642213642</v>
      </c>
      <c r="R202" s="96">
        <f t="shared" si="36"/>
        <v>0.30231697386927231</v>
      </c>
      <c r="S202" s="96">
        <f t="shared" si="37"/>
        <v>0.31723569931117102</v>
      </c>
      <c r="T202" s="98">
        <f t="shared" si="38"/>
        <v>7.8598074474501303E-2</v>
      </c>
      <c r="U202" s="95"/>
    </row>
    <row r="203" spans="1:21" x14ac:dyDescent="0.2">
      <c r="A203" s="4" t="s">
        <v>33</v>
      </c>
      <c r="B203" s="4">
        <v>184</v>
      </c>
      <c r="C203" s="4">
        <v>132</v>
      </c>
      <c r="D203" s="4">
        <v>25</v>
      </c>
      <c r="E203" s="4">
        <v>18</v>
      </c>
      <c r="F203" s="4">
        <v>19</v>
      </c>
      <c r="G203" s="4">
        <v>17</v>
      </c>
      <c r="H203" s="4">
        <v>10</v>
      </c>
      <c r="I203" s="4">
        <v>75</v>
      </c>
      <c r="J203" s="4">
        <v>21</v>
      </c>
      <c r="K203" s="4">
        <v>3</v>
      </c>
      <c r="L203" s="4">
        <v>2</v>
      </c>
      <c r="M203" s="4">
        <v>2</v>
      </c>
      <c r="N203" s="4">
        <v>2</v>
      </c>
      <c r="O203" s="4">
        <v>0</v>
      </c>
      <c r="P203" s="4">
        <v>4</v>
      </c>
      <c r="Q203" s="89">
        <f t="shared" si="35"/>
        <v>-0.76470588235294112</v>
      </c>
      <c r="R203" s="96">
        <f t="shared" si="36"/>
        <v>1</v>
      </c>
      <c r="S203" s="96" t="s">
        <v>24</v>
      </c>
      <c r="T203" s="98">
        <f t="shared" si="38"/>
        <v>1.7870306252373399E-5</v>
      </c>
      <c r="U203" s="95"/>
    </row>
    <row r="204" spans="1:21" x14ac:dyDescent="0.2">
      <c r="A204" s="5" t="s">
        <v>4</v>
      </c>
      <c r="B204" s="5">
        <v>84800</v>
      </c>
      <c r="C204" s="5">
        <v>96406</v>
      </c>
      <c r="D204" s="5">
        <v>105514</v>
      </c>
      <c r="E204" s="5">
        <v>101649</v>
      </c>
      <c r="F204" s="5">
        <v>117839</v>
      </c>
      <c r="G204" s="5">
        <v>135145</v>
      </c>
      <c r="H204" s="5">
        <v>156236</v>
      </c>
      <c r="I204" s="5">
        <v>170654</v>
      </c>
      <c r="J204" s="5">
        <v>187766</v>
      </c>
      <c r="K204" s="5">
        <v>195964</v>
      </c>
      <c r="L204" s="5">
        <v>204367</v>
      </c>
      <c r="M204" s="5">
        <v>207962</v>
      </c>
      <c r="N204" s="5">
        <v>199863</v>
      </c>
      <c r="O204" s="5">
        <v>159147</v>
      </c>
      <c r="P204" s="5">
        <v>223835</v>
      </c>
      <c r="Q204" s="73">
        <f t="shared" si="35"/>
        <v>0.65625809315919936</v>
      </c>
      <c r="R204" s="97">
        <f t="shared" si="36"/>
        <v>9.5259997944873678E-2</v>
      </c>
      <c r="S204" s="97">
        <f t="shared" si="37"/>
        <v>0.40646697707151253</v>
      </c>
      <c r="T204" s="99">
        <f t="shared" si="38"/>
        <v>1</v>
      </c>
    </row>
    <row r="205" spans="1:21" x14ac:dyDescent="0.2">
      <c r="A205" s="83" t="s">
        <v>302</v>
      </c>
      <c r="B205" s="83">
        <v>26.917261510825377</v>
      </c>
      <c r="C205" s="90">
        <v>27.073914037019339</v>
      </c>
      <c r="D205" s="90">
        <v>27.246420411271895</v>
      </c>
      <c r="E205" s="90">
        <v>27.221784919653892</v>
      </c>
      <c r="F205" s="90">
        <v>26.910231158178362</v>
      </c>
      <c r="G205" s="90">
        <v>26.900368539458885</v>
      </c>
      <c r="H205" s="90">
        <v>26.954821860637793</v>
      </c>
      <c r="I205" s="90">
        <v>27.057551046729081</v>
      </c>
      <c r="J205" s="90">
        <v>27.197310181363019</v>
      </c>
      <c r="K205" s="90">
        <v>27.308836962456816</v>
      </c>
      <c r="L205" s="90">
        <v>27.290524306999732</v>
      </c>
      <c r="M205" s="90">
        <v>27.46639738411233</v>
      </c>
      <c r="N205" s="90">
        <v>27.407873472063084</v>
      </c>
      <c r="O205" s="90">
        <v>27.969060051399023</v>
      </c>
      <c r="P205" s="90">
        <v>27.762628722049723</v>
      </c>
      <c r="Q205" s="90"/>
      <c r="R205" s="90"/>
      <c r="S205" s="90"/>
      <c r="T205" s="82"/>
    </row>
    <row r="206" spans="1:21" x14ac:dyDescent="0.2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</row>
    <row r="207" spans="1:21" x14ac:dyDescent="0.2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</row>
    <row r="208" spans="1:21" x14ac:dyDescent="0.2">
      <c r="A208" s="61" t="s">
        <v>238</v>
      </c>
      <c r="B208" s="61"/>
      <c r="C208" s="61"/>
      <c r="D208" s="61"/>
      <c r="E208" s="61"/>
      <c r="F208" s="61"/>
      <c r="G208" s="34"/>
      <c r="H208" s="34"/>
      <c r="I208" s="34"/>
      <c r="J208" s="34"/>
      <c r="K208" s="34"/>
      <c r="L208" s="34"/>
      <c r="M208" s="34"/>
      <c r="N208" s="67"/>
      <c r="O208" s="34"/>
      <c r="P208" s="67"/>
      <c r="Q208" s="34"/>
      <c r="R208" s="67"/>
      <c r="S208" s="34"/>
      <c r="T208" s="67"/>
      <c r="U208" s="34"/>
    </row>
    <row r="209" spans="1:20" x14ac:dyDescent="0.2">
      <c r="A209" s="67"/>
      <c r="B209" s="67"/>
      <c r="C209" s="67"/>
      <c r="D209" s="67"/>
      <c r="E209" s="67"/>
      <c r="F209" s="67"/>
      <c r="G209" s="34"/>
      <c r="H209" s="34"/>
      <c r="I209" s="34"/>
      <c r="J209" s="34"/>
      <c r="K209" s="34"/>
      <c r="L209" s="34"/>
      <c r="M209" s="34"/>
      <c r="N209" s="67"/>
      <c r="O209" s="67"/>
      <c r="P209" s="67"/>
      <c r="Q209" s="67"/>
      <c r="R209" s="67"/>
      <c r="S209" s="67"/>
      <c r="T209" s="67"/>
    </row>
    <row r="210" spans="1:20" x14ac:dyDescent="0.2">
      <c r="A210" s="69" t="s">
        <v>21</v>
      </c>
      <c r="B210" s="69"/>
      <c r="C210" s="69"/>
      <c r="D210" s="69"/>
      <c r="E210" s="69"/>
      <c r="F210" s="69"/>
      <c r="G210" s="34"/>
      <c r="H210" s="34"/>
      <c r="I210" s="34"/>
      <c r="J210" s="34"/>
      <c r="K210" s="34"/>
      <c r="L210" s="34"/>
      <c r="M210" s="34"/>
      <c r="N210" s="67"/>
      <c r="O210" s="67"/>
      <c r="P210" s="67"/>
      <c r="Q210" s="67"/>
      <c r="R210" s="67"/>
      <c r="S210" s="67"/>
      <c r="T210" s="67"/>
    </row>
    <row r="211" spans="1:20" x14ac:dyDescent="0.2">
      <c r="A211" s="67"/>
      <c r="B211" s="67"/>
      <c r="C211" s="67"/>
      <c r="D211" s="67"/>
      <c r="E211" s="67"/>
      <c r="F211" s="67"/>
      <c r="G211" s="34"/>
      <c r="H211" s="34"/>
      <c r="I211" s="34"/>
      <c r="J211" s="34"/>
      <c r="K211" s="34"/>
      <c r="L211" s="34"/>
      <c r="M211" s="34"/>
      <c r="N211" s="67"/>
      <c r="O211" s="67"/>
      <c r="P211" s="67"/>
      <c r="Q211" s="67"/>
      <c r="R211" s="67"/>
      <c r="S211" s="67"/>
      <c r="T211" s="67"/>
    </row>
  </sheetData>
  <sortState ref="A150:S169">
    <sortCondition descending="1" ref="N150:N169"/>
  </sortState>
  <hyperlinks>
    <hyperlink ref="A210" location="Indice!A5" display="Volver al índice"/>
  </hyperlink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37.28515625" style="1" customWidth="1"/>
    <col min="2" max="3" width="12.7109375" style="38" customWidth="1"/>
    <col min="4" max="4" width="15.28515625" style="38" customWidth="1"/>
    <col min="5" max="16384" width="10.85546875" style="2"/>
  </cols>
  <sheetData>
    <row r="1" spans="1:4" ht="21" x14ac:dyDescent="0.25">
      <c r="A1" s="58" t="s">
        <v>386</v>
      </c>
      <c r="B1" s="39"/>
      <c r="C1" s="39"/>
      <c r="D1" s="39"/>
    </row>
    <row r="2" spans="1:4" ht="26.25" customHeight="1" x14ac:dyDescent="0.25">
      <c r="A2" s="34"/>
      <c r="B2" s="39"/>
      <c r="C2" s="39"/>
      <c r="D2" s="39"/>
    </row>
    <row r="3" spans="1:4" x14ac:dyDescent="0.25">
      <c r="A3" s="34"/>
      <c r="B3" s="39"/>
      <c r="C3" s="39"/>
      <c r="D3" s="39"/>
    </row>
    <row r="4" spans="1:4" ht="15.75" x14ac:dyDescent="0.25">
      <c r="A4" s="23" t="s">
        <v>387</v>
      </c>
      <c r="B4" s="39"/>
      <c r="C4" s="39"/>
      <c r="D4" s="39"/>
    </row>
    <row r="5" spans="1:4" x14ac:dyDescent="0.25">
      <c r="A5" s="78" t="s">
        <v>241</v>
      </c>
      <c r="B5" s="40" t="s">
        <v>85</v>
      </c>
      <c r="C5" s="40" t="s">
        <v>86</v>
      </c>
      <c r="D5" s="40" t="s">
        <v>8</v>
      </c>
    </row>
    <row r="6" spans="1:4" x14ac:dyDescent="0.25">
      <c r="A6" s="30" t="s">
        <v>235</v>
      </c>
      <c r="B6" s="36">
        <v>376</v>
      </c>
      <c r="C6" s="36">
        <v>3991</v>
      </c>
      <c r="D6" s="36">
        <v>4367</v>
      </c>
    </row>
    <row r="7" spans="1:4" x14ac:dyDescent="0.25">
      <c r="A7" s="30" t="s">
        <v>236</v>
      </c>
      <c r="B7" s="36">
        <v>419</v>
      </c>
      <c r="C7" s="36">
        <v>4555</v>
      </c>
      <c r="D7" s="36">
        <v>4974</v>
      </c>
    </row>
    <row r="8" spans="1:4" x14ac:dyDescent="0.25">
      <c r="A8" s="30" t="s">
        <v>237</v>
      </c>
      <c r="B8" s="36">
        <v>108</v>
      </c>
      <c r="C8" s="36">
        <v>9761</v>
      </c>
      <c r="D8" s="36">
        <v>9869</v>
      </c>
    </row>
    <row r="9" spans="1:4" x14ac:dyDescent="0.25">
      <c r="A9" s="5" t="s">
        <v>4</v>
      </c>
      <c r="B9" s="37">
        <v>903</v>
      </c>
      <c r="C9" s="37">
        <v>18307</v>
      </c>
      <c r="D9" s="37">
        <v>19210</v>
      </c>
    </row>
    <row r="10" spans="1:4" x14ac:dyDescent="0.25">
      <c r="A10" s="124" t="s">
        <v>367</v>
      </c>
      <c r="B10" s="39"/>
      <c r="C10" s="39"/>
      <c r="D10" s="39"/>
    </row>
    <row r="11" spans="1:4" x14ac:dyDescent="0.25">
      <c r="A11" s="107"/>
      <c r="B11" s="39"/>
      <c r="C11" s="39"/>
      <c r="D11" s="39"/>
    </row>
    <row r="12" spans="1:4" ht="15.75" x14ac:dyDescent="0.25">
      <c r="A12" s="23" t="s">
        <v>388</v>
      </c>
      <c r="B12" s="39"/>
      <c r="C12" s="39"/>
      <c r="D12" s="39"/>
    </row>
    <row r="13" spans="1:4" x14ac:dyDescent="0.25">
      <c r="A13" s="78" t="s">
        <v>225</v>
      </c>
      <c r="B13" s="40" t="s">
        <v>85</v>
      </c>
      <c r="C13" s="40" t="s">
        <v>86</v>
      </c>
      <c r="D13" s="40" t="s">
        <v>8</v>
      </c>
    </row>
    <row r="14" spans="1:4" x14ac:dyDescent="0.25">
      <c r="A14" s="4" t="s">
        <v>389</v>
      </c>
      <c r="B14" s="36">
        <v>379</v>
      </c>
      <c r="C14" s="36">
        <v>9360</v>
      </c>
      <c r="D14" s="36">
        <v>9739</v>
      </c>
    </row>
    <row r="15" spans="1:4" x14ac:dyDescent="0.25">
      <c r="A15" s="4" t="s">
        <v>390</v>
      </c>
      <c r="B15" s="36">
        <v>524</v>
      </c>
      <c r="C15" s="36">
        <v>8947</v>
      </c>
      <c r="D15" s="36">
        <v>9471</v>
      </c>
    </row>
    <row r="16" spans="1:4" x14ac:dyDescent="0.25">
      <c r="A16" s="5" t="s">
        <v>276</v>
      </c>
      <c r="B16" s="37">
        <v>903</v>
      </c>
      <c r="C16" s="37">
        <v>18307</v>
      </c>
      <c r="D16" s="37">
        <v>19210</v>
      </c>
    </row>
    <row r="18" spans="1:4" ht="15.75" x14ac:dyDescent="0.25">
      <c r="A18" s="23" t="s">
        <v>391</v>
      </c>
      <c r="B18" s="39"/>
      <c r="C18" s="39"/>
      <c r="D18" s="39"/>
    </row>
    <row r="19" spans="1:4" x14ac:dyDescent="0.25">
      <c r="A19" s="78" t="s">
        <v>26</v>
      </c>
      <c r="B19" s="40" t="s">
        <v>85</v>
      </c>
      <c r="C19" s="40" t="s">
        <v>86</v>
      </c>
      <c r="D19" s="40" t="s">
        <v>8</v>
      </c>
    </row>
    <row r="20" spans="1:4" x14ac:dyDescent="0.25">
      <c r="A20" s="4" t="s">
        <v>28</v>
      </c>
      <c r="B20" s="115">
        <v>0</v>
      </c>
      <c r="C20" s="115">
        <v>1010</v>
      </c>
      <c r="D20" s="115">
        <v>1010</v>
      </c>
    </row>
    <row r="21" spans="1:4" x14ac:dyDescent="0.25">
      <c r="A21" s="4" t="s">
        <v>29</v>
      </c>
      <c r="B21" s="115">
        <v>65</v>
      </c>
      <c r="C21" s="115">
        <v>3714</v>
      </c>
      <c r="D21" s="115">
        <v>3779</v>
      </c>
    </row>
    <row r="22" spans="1:4" x14ac:dyDescent="0.25">
      <c r="A22" s="4" t="s">
        <v>30</v>
      </c>
      <c r="B22" s="115">
        <v>316</v>
      </c>
      <c r="C22" s="115">
        <v>4768</v>
      </c>
      <c r="D22" s="115">
        <v>5084</v>
      </c>
    </row>
    <row r="23" spans="1:4" x14ac:dyDescent="0.25">
      <c r="A23" s="4" t="s">
        <v>31</v>
      </c>
      <c r="B23" s="115">
        <v>251</v>
      </c>
      <c r="C23" s="115">
        <v>3724</v>
      </c>
      <c r="D23" s="115">
        <v>3975</v>
      </c>
    </row>
    <row r="24" spans="1:4" x14ac:dyDescent="0.25">
      <c r="A24" s="4" t="s">
        <v>32</v>
      </c>
      <c r="B24" s="115">
        <v>270</v>
      </c>
      <c r="C24" s="115">
        <v>5090</v>
      </c>
      <c r="D24" s="115">
        <v>5360</v>
      </c>
    </row>
    <row r="25" spans="1:4" x14ac:dyDescent="0.25">
      <c r="A25" s="4" t="s">
        <v>33</v>
      </c>
      <c r="B25" s="115">
        <v>1</v>
      </c>
      <c r="C25" s="115">
        <v>1</v>
      </c>
      <c r="D25" s="115">
        <v>2</v>
      </c>
    </row>
    <row r="26" spans="1:4" x14ac:dyDescent="0.25">
      <c r="A26" s="5" t="s">
        <v>4</v>
      </c>
      <c r="B26" s="116">
        <f>SUM(B20:B25)</f>
        <v>903</v>
      </c>
      <c r="C26" s="116">
        <f>SUM(C20:C25)</f>
        <v>18307</v>
      </c>
      <c r="D26" s="116">
        <f>SUM(D20:D25)</f>
        <v>19210</v>
      </c>
    </row>
    <row r="27" spans="1:4" x14ac:dyDescent="0.25">
      <c r="A27" s="83" t="s">
        <v>35</v>
      </c>
      <c r="B27" s="84">
        <v>37.5964523281596</v>
      </c>
      <c r="C27" s="84">
        <v>35.646837102589302</v>
      </c>
      <c r="D27" s="84">
        <v>35.738390254060803</v>
      </c>
    </row>
    <row r="28" spans="1:4" x14ac:dyDescent="0.25">
      <c r="B28" s="1"/>
      <c r="C28" s="1"/>
      <c r="D28" s="1"/>
    </row>
    <row r="29" spans="1:4" ht="15.75" x14ac:dyDescent="0.25">
      <c r="A29" s="23" t="s">
        <v>392</v>
      </c>
      <c r="B29" s="39"/>
      <c r="C29" s="39"/>
      <c r="D29" s="39"/>
    </row>
    <row r="30" spans="1:4" x14ac:dyDescent="0.25">
      <c r="A30" s="78" t="s">
        <v>10</v>
      </c>
      <c r="B30" s="40" t="s">
        <v>85</v>
      </c>
      <c r="C30" s="40" t="s">
        <v>86</v>
      </c>
      <c r="D30" s="40" t="s">
        <v>8</v>
      </c>
    </row>
    <row r="31" spans="1:4" x14ac:dyDescent="0.25">
      <c r="A31" s="4" t="s">
        <v>11</v>
      </c>
      <c r="B31" s="36">
        <v>15</v>
      </c>
      <c r="C31" s="36">
        <v>6221</v>
      </c>
      <c r="D31" s="36">
        <v>6236</v>
      </c>
    </row>
    <row r="32" spans="1:4" x14ac:dyDescent="0.25">
      <c r="A32" s="4" t="s">
        <v>12</v>
      </c>
      <c r="B32" s="36">
        <v>48</v>
      </c>
      <c r="C32" s="36">
        <v>170</v>
      </c>
      <c r="D32" s="36">
        <v>218</v>
      </c>
    </row>
    <row r="33" spans="1:4" x14ac:dyDescent="0.25">
      <c r="A33" s="4" t="s">
        <v>13</v>
      </c>
      <c r="B33" s="36">
        <v>16</v>
      </c>
      <c r="C33" s="36">
        <v>469</v>
      </c>
      <c r="D33" s="36">
        <v>485</v>
      </c>
    </row>
    <row r="34" spans="1:4" x14ac:dyDescent="0.25">
      <c r="A34" s="4" t="s">
        <v>14</v>
      </c>
      <c r="B34" s="36">
        <v>271</v>
      </c>
      <c r="C34" s="36">
        <v>596</v>
      </c>
      <c r="D34" s="36">
        <v>867</v>
      </c>
    </row>
    <row r="35" spans="1:4" x14ac:dyDescent="0.25">
      <c r="A35" s="4" t="s">
        <v>15</v>
      </c>
      <c r="B35" s="36">
        <v>133</v>
      </c>
      <c r="C35" s="36">
        <v>2688</v>
      </c>
      <c r="D35" s="36">
        <v>2821</v>
      </c>
    </row>
    <row r="36" spans="1:4" x14ac:dyDescent="0.25">
      <c r="A36" s="4" t="s">
        <v>16</v>
      </c>
      <c r="B36" s="36">
        <v>21</v>
      </c>
      <c r="C36" s="36">
        <v>1106</v>
      </c>
      <c r="D36" s="36">
        <v>1127</v>
      </c>
    </row>
    <row r="37" spans="1:4" x14ac:dyDescent="0.25">
      <c r="A37" s="4" t="s">
        <v>17</v>
      </c>
      <c r="B37" s="36">
        <v>40</v>
      </c>
      <c r="C37" s="36">
        <v>4318</v>
      </c>
      <c r="D37" s="36">
        <v>4358</v>
      </c>
    </row>
    <row r="38" spans="1:4" x14ac:dyDescent="0.25">
      <c r="A38" s="4" t="s">
        <v>18</v>
      </c>
      <c r="B38" s="36">
        <v>115</v>
      </c>
      <c r="C38" s="36">
        <v>319</v>
      </c>
      <c r="D38" s="36">
        <v>434</v>
      </c>
    </row>
    <row r="39" spans="1:4" x14ac:dyDescent="0.25">
      <c r="A39" s="4" t="s">
        <v>19</v>
      </c>
      <c r="B39" s="36">
        <v>86</v>
      </c>
      <c r="C39" s="36">
        <v>920</v>
      </c>
      <c r="D39" s="36">
        <v>1006</v>
      </c>
    </row>
    <row r="40" spans="1:4" x14ac:dyDescent="0.25">
      <c r="A40" s="4" t="s">
        <v>20</v>
      </c>
      <c r="B40" s="36">
        <v>158</v>
      </c>
      <c r="C40" s="36">
        <v>1500</v>
      </c>
      <c r="D40" s="36">
        <v>1658</v>
      </c>
    </row>
    <row r="41" spans="1:4" x14ac:dyDescent="0.25">
      <c r="A41" s="5" t="s">
        <v>4</v>
      </c>
      <c r="B41" s="37">
        <v>903</v>
      </c>
      <c r="C41" s="37">
        <v>18307</v>
      </c>
      <c r="D41" s="37">
        <v>19210</v>
      </c>
    </row>
    <row r="42" spans="1:4" x14ac:dyDescent="0.25">
      <c r="A42" s="34"/>
      <c r="B42" s="39"/>
      <c r="C42" s="39"/>
      <c r="D42" s="39"/>
    </row>
    <row r="43" spans="1:4" ht="15.75" x14ac:dyDescent="0.25">
      <c r="A43" s="23" t="s">
        <v>393</v>
      </c>
      <c r="B43" s="39"/>
      <c r="C43" s="39"/>
      <c r="D43" s="39"/>
    </row>
    <row r="44" spans="1:4" x14ac:dyDescent="0.25">
      <c r="A44" s="78" t="s">
        <v>41</v>
      </c>
      <c r="B44" s="40" t="s">
        <v>85</v>
      </c>
      <c r="C44" s="40" t="s">
        <v>86</v>
      </c>
      <c r="D44" s="40" t="s">
        <v>8</v>
      </c>
    </row>
    <row r="45" spans="1:4" x14ac:dyDescent="0.25">
      <c r="A45" s="4" t="s">
        <v>42</v>
      </c>
      <c r="B45" s="36">
        <v>778</v>
      </c>
      <c r="C45" s="36">
        <v>7010</v>
      </c>
      <c r="D45" s="37">
        <v>7788</v>
      </c>
    </row>
    <row r="46" spans="1:4" x14ac:dyDescent="0.25">
      <c r="A46" s="4" t="s">
        <v>43</v>
      </c>
      <c r="B46" s="36">
        <v>82</v>
      </c>
      <c r="C46" s="36">
        <v>5999</v>
      </c>
      <c r="D46" s="37">
        <v>6081</v>
      </c>
    </row>
    <row r="47" spans="1:4" x14ac:dyDescent="0.25">
      <c r="A47" s="30" t="s">
        <v>227</v>
      </c>
      <c r="B47" s="36">
        <v>9</v>
      </c>
      <c r="C47" s="36">
        <v>575</v>
      </c>
      <c r="D47" s="37">
        <v>584</v>
      </c>
    </row>
    <row r="48" spans="1:4" x14ac:dyDescent="0.25">
      <c r="A48" s="30" t="s">
        <v>230</v>
      </c>
      <c r="B48" s="36">
        <v>26</v>
      </c>
      <c r="C48" s="36">
        <v>2981</v>
      </c>
      <c r="D48" s="37">
        <v>3007</v>
      </c>
    </row>
    <row r="49" spans="1:4" x14ac:dyDescent="0.25">
      <c r="A49" s="4" t="s">
        <v>44</v>
      </c>
      <c r="B49" s="36">
        <v>8</v>
      </c>
      <c r="C49" s="36">
        <v>1742</v>
      </c>
      <c r="D49" s="37">
        <v>1750</v>
      </c>
    </row>
    <row r="50" spans="1:4" x14ac:dyDescent="0.25">
      <c r="A50" s="5" t="s">
        <v>4</v>
      </c>
      <c r="B50" s="37">
        <v>903</v>
      </c>
      <c r="C50" s="37">
        <v>18307</v>
      </c>
      <c r="D50" s="37">
        <v>19210</v>
      </c>
    </row>
    <row r="51" spans="1:4" x14ac:dyDescent="0.25">
      <c r="A51" s="34"/>
      <c r="B51" s="39"/>
      <c r="C51" s="39"/>
      <c r="D51" s="39"/>
    </row>
    <row r="52" spans="1:4" ht="15.75" x14ac:dyDescent="0.25">
      <c r="A52" s="23" t="s">
        <v>394</v>
      </c>
      <c r="B52" s="39"/>
      <c r="C52" s="39"/>
      <c r="D52" s="39"/>
    </row>
    <row r="53" spans="1:4" x14ac:dyDescent="0.25">
      <c r="A53" s="78" t="s">
        <v>9</v>
      </c>
      <c r="B53" s="40" t="s">
        <v>85</v>
      </c>
      <c r="C53" s="40" t="s">
        <v>86</v>
      </c>
      <c r="D53" s="40" t="s">
        <v>8</v>
      </c>
    </row>
    <row r="54" spans="1:4" x14ac:dyDescent="0.25">
      <c r="A54" s="4" t="s">
        <v>246</v>
      </c>
      <c r="B54" s="36">
        <v>2</v>
      </c>
      <c r="C54" s="36">
        <v>89</v>
      </c>
      <c r="D54" s="36">
        <v>91</v>
      </c>
    </row>
    <row r="55" spans="1:4" x14ac:dyDescent="0.25">
      <c r="A55" s="4" t="s">
        <v>247</v>
      </c>
      <c r="B55" s="36">
        <v>5</v>
      </c>
      <c r="C55" s="36">
        <v>255</v>
      </c>
      <c r="D55" s="36">
        <v>260</v>
      </c>
    </row>
    <row r="56" spans="1:4" x14ac:dyDescent="0.25">
      <c r="A56" s="4" t="s">
        <v>248</v>
      </c>
      <c r="B56" s="36">
        <v>23</v>
      </c>
      <c r="C56" s="36">
        <v>204</v>
      </c>
      <c r="D56" s="36">
        <v>227</v>
      </c>
    </row>
    <row r="57" spans="1:4" x14ac:dyDescent="0.25">
      <c r="A57" s="4" t="s">
        <v>249</v>
      </c>
      <c r="B57" s="36">
        <v>0</v>
      </c>
      <c r="C57" s="36">
        <v>41</v>
      </c>
      <c r="D57" s="36">
        <v>41</v>
      </c>
    </row>
    <row r="58" spans="1:4" x14ac:dyDescent="0.25">
      <c r="A58" s="4" t="s">
        <v>250</v>
      </c>
      <c r="B58" s="36">
        <v>13</v>
      </c>
      <c r="C58" s="36">
        <v>199</v>
      </c>
      <c r="D58" s="36">
        <v>212</v>
      </c>
    </row>
    <row r="59" spans="1:4" x14ac:dyDescent="0.25">
      <c r="A59" s="4" t="s">
        <v>251</v>
      </c>
      <c r="B59" s="36">
        <v>102</v>
      </c>
      <c r="C59" s="36">
        <v>1344</v>
      </c>
      <c r="D59" s="36">
        <v>1446</v>
      </c>
    </row>
    <row r="60" spans="1:4" x14ac:dyDescent="0.25">
      <c r="A60" s="30" t="s">
        <v>262</v>
      </c>
      <c r="B60" s="36">
        <v>542</v>
      </c>
      <c r="C60" s="36">
        <v>13078</v>
      </c>
      <c r="D60" s="36">
        <v>13620</v>
      </c>
    </row>
    <row r="61" spans="1:4" x14ac:dyDescent="0.25">
      <c r="A61" s="30" t="s">
        <v>298</v>
      </c>
      <c r="B61" s="126">
        <v>0</v>
      </c>
      <c r="C61" s="126">
        <v>0</v>
      </c>
      <c r="D61" s="126">
        <v>0</v>
      </c>
    </row>
    <row r="62" spans="1:4" x14ac:dyDescent="0.25">
      <c r="A62" s="4" t="s">
        <v>252</v>
      </c>
      <c r="B62" s="36">
        <v>32</v>
      </c>
      <c r="C62" s="36">
        <v>371</v>
      </c>
      <c r="D62" s="36">
        <v>403</v>
      </c>
    </row>
    <row r="63" spans="1:4" x14ac:dyDescent="0.25">
      <c r="A63" s="4" t="s">
        <v>266</v>
      </c>
      <c r="B63" s="36">
        <v>9</v>
      </c>
      <c r="C63" s="36">
        <v>118</v>
      </c>
      <c r="D63" s="36">
        <v>127</v>
      </c>
    </row>
    <row r="64" spans="1:4" x14ac:dyDescent="0.25">
      <c r="A64" s="4" t="s">
        <v>253</v>
      </c>
      <c r="B64" s="36">
        <v>98</v>
      </c>
      <c r="C64" s="36">
        <v>1408</v>
      </c>
      <c r="D64" s="36">
        <v>1506</v>
      </c>
    </row>
    <row r="65" spans="1:4" x14ac:dyDescent="0.25">
      <c r="A65" s="4" t="s">
        <v>254</v>
      </c>
      <c r="B65" s="36">
        <v>37</v>
      </c>
      <c r="C65" s="36">
        <v>656</v>
      </c>
      <c r="D65" s="36">
        <v>693</v>
      </c>
    </row>
    <row r="66" spans="1:4" x14ac:dyDescent="0.25">
      <c r="A66" s="4" t="s">
        <v>255</v>
      </c>
      <c r="B66" s="36">
        <v>33</v>
      </c>
      <c r="C66" s="36">
        <v>273</v>
      </c>
      <c r="D66" s="36">
        <v>306</v>
      </c>
    </row>
    <row r="67" spans="1:4" x14ac:dyDescent="0.25">
      <c r="A67" s="4" t="s">
        <v>256</v>
      </c>
      <c r="B67" s="36">
        <v>7</v>
      </c>
      <c r="C67" s="36">
        <v>271</v>
      </c>
      <c r="D67" s="36">
        <v>278</v>
      </c>
    </row>
    <row r="68" spans="1:4" x14ac:dyDescent="0.25">
      <c r="A68" s="4" t="s">
        <v>257</v>
      </c>
      <c r="B68" s="126">
        <v>0</v>
      </c>
      <c r="C68" s="126">
        <v>0</v>
      </c>
      <c r="D68" s="126">
        <v>0</v>
      </c>
    </row>
    <row r="69" spans="1:4" x14ac:dyDescent="0.25">
      <c r="A69" s="4" t="s">
        <v>259</v>
      </c>
      <c r="B69" s="126">
        <v>0</v>
      </c>
      <c r="C69" s="126">
        <v>0</v>
      </c>
      <c r="D69" s="126">
        <v>0</v>
      </c>
    </row>
    <row r="70" spans="1:4" x14ac:dyDescent="0.25">
      <c r="A70" s="5" t="s">
        <v>4</v>
      </c>
      <c r="B70" s="37">
        <v>903</v>
      </c>
      <c r="C70" s="37">
        <v>18307</v>
      </c>
      <c r="D70" s="37">
        <v>19210</v>
      </c>
    </row>
    <row r="72" spans="1:4" ht="15.75" x14ac:dyDescent="0.25">
      <c r="A72" s="23" t="s">
        <v>395</v>
      </c>
      <c r="B72" s="39"/>
      <c r="C72" s="39"/>
      <c r="D72" s="39"/>
    </row>
    <row r="73" spans="1:4" x14ac:dyDescent="0.25">
      <c r="A73" s="78" t="s">
        <v>10</v>
      </c>
      <c r="B73" s="40" t="s">
        <v>206</v>
      </c>
      <c r="C73" s="40" t="s">
        <v>207</v>
      </c>
      <c r="D73" s="40" t="s">
        <v>8</v>
      </c>
    </row>
    <row r="74" spans="1:4" x14ac:dyDescent="0.25">
      <c r="A74" s="17" t="s">
        <v>11</v>
      </c>
      <c r="B74" s="41">
        <v>2672</v>
      </c>
      <c r="C74" s="41">
        <v>3564</v>
      </c>
      <c r="D74" s="41">
        <v>6236</v>
      </c>
    </row>
    <row r="75" spans="1:4" x14ac:dyDescent="0.25">
      <c r="A75" s="17" t="s">
        <v>12</v>
      </c>
      <c r="B75" s="41">
        <v>90</v>
      </c>
      <c r="C75" s="41">
        <v>128</v>
      </c>
      <c r="D75" s="41">
        <v>218</v>
      </c>
    </row>
    <row r="76" spans="1:4" x14ac:dyDescent="0.25">
      <c r="A76" s="17" t="s">
        <v>13</v>
      </c>
      <c r="B76" s="41">
        <v>247</v>
      </c>
      <c r="C76" s="41">
        <v>238</v>
      </c>
      <c r="D76" s="41">
        <v>485</v>
      </c>
    </row>
    <row r="77" spans="1:4" x14ac:dyDescent="0.25">
      <c r="A77" s="17" t="s">
        <v>14</v>
      </c>
      <c r="B77" s="41">
        <v>306</v>
      </c>
      <c r="C77" s="41">
        <v>561</v>
      </c>
      <c r="D77" s="41">
        <v>867</v>
      </c>
    </row>
    <row r="78" spans="1:4" x14ac:dyDescent="0.25">
      <c r="A78" s="17" t="s">
        <v>15</v>
      </c>
      <c r="B78" s="41">
        <v>1579</v>
      </c>
      <c r="C78" s="41">
        <v>1242</v>
      </c>
      <c r="D78" s="41">
        <v>2821</v>
      </c>
    </row>
    <row r="79" spans="1:4" x14ac:dyDescent="0.25">
      <c r="A79" s="17" t="s">
        <v>16</v>
      </c>
      <c r="B79" s="41">
        <v>519</v>
      </c>
      <c r="C79" s="41">
        <v>608</v>
      </c>
      <c r="D79" s="41">
        <v>1127</v>
      </c>
    </row>
    <row r="80" spans="1:4" x14ac:dyDescent="0.25">
      <c r="A80" s="17" t="s">
        <v>17</v>
      </c>
      <c r="B80" s="41">
        <v>3017</v>
      </c>
      <c r="C80" s="41">
        <v>1341</v>
      </c>
      <c r="D80" s="41">
        <v>4358</v>
      </c>
    </row>
    <row r="81" spans="1:4" x14ac:dyDescent="0.25">
      <c r="A81" s="17" t="s">
        <v>18</v>
      </c>
      <c r="B81" s="41">
        <v>206</v>
      </c>
      <c r="C81" s="41">
        <v>228</v>
      </c>
      <c r="D81" s="41">
        <v>434</v>
      </c>
    </row>
    <row r="82" spans="1:4" x14ac:dyDescent="0.25">
      <c r="A82" s="17" t="s">
        <v>19</v>
      </c>
      <c r="B82" s="41">
        <v>655</v>
      </c>
      <c r="C82" s="41">
        <v>351</v>
      </c>
      <c r="D82" s="41">
        <v>1006</v>
      </c>
    </row>
    <row r="83" spans="1:4" x14ac:dyDescent="0.25">
      <c r="A83" s="17" t="s">
        <v>20</v>
      </c>
      <c r="B83" s="41">
        <v>448</v>
      </c>
      <c r="C83" s="41">
        <v>1210</v>
      </c>
      <c r="D83" s="41">
        <v>1658</v>
      </c>
    </row>
    <row r="84" spans="1:4" x14ac:dyDescent="0.25">
      <c r="A84" s="18" t="s">
        <v>4</v>
      </c>
      <c r="B84" s="42">
        <v>9739</v>
      </c>
      <c r="C84" s="42">
        <v>9471</v>
      </c>
      <c r="D84" s="42">
        <v>19210</v>
      </c>
    </row>
    <row r="86" spans="1:4" ht="15.75" x14ac:dyDescent="0.25">
      <c r="A86" s="23" t="s">
        <v>396</v>
      </c>
      <c r="B86" s="39"/>
      <c r="C86" s="39"/>
      <c r="D86" s="39"/>
    </row>
    <row r="87" spans="1:4" x14ac:dyDescent="0.25">
      <c r="A87" s="78" t="s">
        <v>9</v>
      </c>
      <c r="B87" s="40" t="s">
        <v>206</v>
      </c>
      <c r="C87" s="40" t="s">
        <v>207</v>
      </c>
      <c r="D87" s="40" t="s">
        <v>8</v>
      </c>
    </row>
    <row r="88" spans="1:4" x14ac:dyDescent="0.25">
      <c r="A88" s="17" t="s">
        <v>246</v>
      </c>
      <c r="B88" s="56">
        <v>59</v>
      </c>
      <c r="C88" s="56">
        <v>32</v>
      </c>
      <c r="D88" s="56">
        <v>91</v>
      </c>
    </row>
    <row r="89" spans="1:4" x14ac:dyDescent="0.25">
      <c r="A89" s="17" t="s">
        <v>247</v>
      </c>
      <c r="B89" s="56">
        <v>144</v>
      </c>
      <c r="C89" s="56">
        <v>116</v>
      </c>
      <c r="D89" s="56">
        <v>260</v>
      </c>
    </row>
    <row r="90" spans="1:4" x14ac:dyDescent="0.25">
      <c r="A90" s="17" t="s">
        <v>248</v>
      </c>
      <c r="B90" s="56">
        <v>74</v>
      </c>
      <c r="C90" s="56">
        <v>153</v>
      </c>
      <c r="D90" s="56">
        <v>227</v>
      </c>
    </row>
    <row r="91" spans="1:4" x14ac:dyDescent="0.25">
      <c r="A91" s="17" t="s">
        <v>249</v>
      </c>
      <c r="B91" s="56">
        <v>25</v>
      </c>
      <c r="C91" s="56">
        <v>16</v>
      </c>
      <c r="D91" s="56">
        <v>41</v>
      </c>
    </row>
    <row r="92" spans="1:4" x14ac:dyDescent="0.25">
      <c r="A92" s="17" t="s">
        <v>250</v>
      </c>
      <c r="B92" s="56">
        <v>107</v>
      </c>
      <c r="C92" s="56">
        <v>105</v>
      </c>
      <c r="D92" s="56">
        <v>212</v>
      </c>
    </row>
    <row r="93" spans="1:4" x14ac:dyDescent="0.25">
      <c r="A93" s="17" t="s">
        <v>251</v>
      </c>
      <c r="B93" s="56">
        <v>697</v>
      </c>
      <c r="C93" s="56">
        <v>749</v>
      </c>
      <c r="D93" s="56">
        <v>1446</v>
      </c>
    </row>
    <row r="94" spans="1:4" x14ac:dyDescent="0.25">
      <c r="A94" s="85" t="s">
        <v>262</v>
      </c>
      <c r="B94" s="56">
        <v>6761</v>
      </c>
      <c r="C94" s="56">
        <v>6859</v>
      </c>
      <c r="D94" s="56">
        <v>13620</v>
      </c>
    </row>
    <row r="95" spans="1:4" x14ac:dyDescent="0.25">
      <c r="A95" s="85" t="s">
        <v>298</v>
      </c>
      <c r="B95" s="56">
        <v>0</v>
      </c>
      <c r="C95" s="56">
        <v>0</v>
      </c>
      <c r="D95" s="56">
        <v>0</v>
      </c>
    </row>
    <row r="96" spans="1:4" x14ac:dyDescent="0.25">
      <c r="A96" s="17" t="s">
        <v>252</v>
      </c>
      <c r="B96" s="56">
        <v>219</v>
      </c>
      <c r="C96" s="56">
        <v>184</v>
      </c>
      <c r="D96" s="56">
        <v>403</v>
      </c>
    </row>
    <row r="97" spans="1:4" x14ac:dyDescent="0.25">
      <c r="A97" s="17" t="s">
        <v>266</v>
      </c>
      <c r="B97" s="56">
        <v>80</v>
      </c>
      <c r="C97" s="56">
        <v>47</v>
      </c>
      <c r="D97" s="56">
        <v>127</v>
      </c>
    </row>
    <row r="98" spans="1:4" x14ac:dyDescent="0.25">
      <c r="A98" s="17" t="s">
        <v>253</v>
      </c>
      <c r="B98" s="56">
        <v>849</v>
      </c>
      <c r="C98" s="56">
        <v>657</v>
      </c>
      <c r="D98" s="56">
        <v>1506</v>
      </c>
    </row>
    <row r="99" spans="1:4" x14ac:dyDescent="0.25">
      <c r="A99" s="17" t="s">
        <v>254</v>
      </c>
      <c r="B99" s="56">
        <v>425</v>
      </c>
      <c r="C99" s="56">
        <v>268</v>
      </c>
      <c r="D99" s="56">
        <v>693</v>
      </c>
    </row>
    <row r="100" spans="1:4" x14ac:dyDescent="0.25">
      <c r="A100" s="17" t="s">
        <v>255</v>
      </c>
      <c r="B100" s="56">
        <v>137</v>
      </c>
      <c r="C100" s="56">
        <v>169</v>
      </c>
      <c r="D100" s="56">
        <v>306</v>
      </c>
    </row>
    <row r="101" spans="1:4" x14ac:dyDescent="0.25">
      <c r="A101" s="17" t="s">
        <v>256</v>
      </c>
      <c r="B101" s="56">
        <v>162</v>
      </c>
      <c r="C101" s="56">
        <v>116</v>
      </c>
      <c r="D101" s="56">
        <v>278</v>
      </c>
    </row>
    <row r="102" spans="1:4" x14ac:dyDescent="0.25">
      <c r="A102" s="17" t="s">
        <v>257</v>
      </c>
      <c r="B102" s="56">
        <v>0</v>
      </c>
      <c r="C102" s="56">
        <v>0</v>
      </c>
      <c r="D102" s="56">
        <v>0</v>
      </c>
    </row>
    <row r="103" spans="1:4" x14ac:dyDescent="0.25">
      <c r="A103" s="17" t="s">
        <v>259</v>
      </c>
      <c r="B103" s="56">
        <v>0</v>
      </c>
      <c r="C103" s="56">
        <v>0</v>
      </c>
      <c r="D103" s="56">
        <v>0</v>
      </c>
    </row>
    <row r="104" spans="1:4" x14ac:dyDescent="0.25">
      <c r="A104" s="18" t="s">
        <v>4</v>
      </c>
      <c r="B104" s="57">
        <v>9739</v>
      </c>
      <c r="C104" s="57">
        <v>9471</v>
      </c>
      <c r="D104" s="57">
        <v>19210</v>
      </c>
    </row>
    <row r="105" spans="1:4" x14ac:dyDescent="0.25">
      <c r="A105" s="34"/>
      <c r="B105" s="39"/>
      <c r="C105" s="39"/>
      <c r="D105" s="39"/>
    </row>
    <row r="106" spans="1:4" x14ac:dyDescent="0.25">
      <c r="A106" s="34"/>
      <c r="B106" s="39"/>
      <c r="C106" s="39"/>
      <c r="D106" s="39"/>
    </row>
    <row r="107" spans="1:4" x14ac:dyDescent="0.25">
      <c r="A107" s="61" t="s">
        <v>238</v>
      </c>
      <c r="B107" s="39"/>
      <c r="C107" s="39"/>
      <c r="D107" s="39"/>
    </row>
    <row r="108" spans="1:4" x14ac:dyDescent="0.25">
      <c r="A108" s="34"/>
      <c r="B108" s="39"/>
      <c r="C108" s="39"/>
      <c r="D108" s="39"/>
    </row>
    <row r="109" spans="1:4" x14ac:dyDescent="0.25">
      <c r="A109" s="62" t="s">
        <v>21</v>
      </c>
      <c r="B109" s="39"/>
      <c r="C109" s="39"/>
      <c r="D109" s="39"/>
    </row>
    <row r="110" spans="1:4" x14ac:dyDescent="0.25">
      <c r="A110" s="34"/>
      <c r="B110" s="39"/>
      <c r="C110" s="39"/>
      <c r="D110" s="39"/>
    </row>
  </sheetData>
  <hyperlinks>
    <hyperlink ref="A109" location="Indice!A5" display="Volver al índice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showGridLines="0" zoomScale="90" zoomScaleNormal="9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27.140625" style="1" customWidth="1"/>
    <col min="2" max="16" width="8.7109375" style="1" customWidth="1"/>
    <col min="17" max="19" width="12.7109375" style="1" customWidth="1"/>
    <col min="20" max="20" width="13.85546875" style="1" customWidth="1"/>
    <col min="21" max="16384" width="10.85546875" style="1"/>
  </cols>
  <sheetData>
    <row r="1" spans="1:21" ht="21" x14ac:dyDescent="0.2">
      <c r="A1" s="58" t="s">
        <v>397</v>
      </c>
      <c r="B1" s="58"/>
      <c r="C1" s="58"/>
      <c r="D1" s="58"/>
      <c r="E1" s="58"/>
      <c r="F1" s="58"/>
      <c r="G1" s="58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1" ht="26.25" customHeight="1" x14ac:dyDescent="0.2">
      <c r="A2" s="33"/>
      <c r="B2" s="33"/>
      <c r="C2" s="33"/>
      <c r="D2" s="33"/>
      <c r="E2" s="33"/>
      <c r="F2" s="33"/>
      <c r="G2" s="33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1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21" ht="15.75" x14ac:dyDescent="0.2">
      <c r="A4" s="35" t="s">
        <v>319</v>
      </c>
      <c r="B4" s="35"/>
      <c r="C4" s="35"/>
      <c r="D4" s="35"/>
      <c r="E4" s="35"/>
      <c r="F4" s="35"/>
      <c r="G4" s="35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1" ht="25.5" x14ac:dyDescent="0.2">
      <c r="A5" s="78" t="s">
        <v>241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12" t="s">
        <v>370</v>
      </c>
      <c r="R5" s="12" t="s">
        <v>371</v>
      </c>
      <c r="S5" s="12" t="s">
        <v>372</v>
      </c>
      <c r="T5" s="12" t="s">
        <v>373</v>
      </c>
    </row>
    <row r="6" spans="1:21" x14ac:dyDescent="0.2">
      <c r="A6" s="30" t="s">
        <v>235</v>
      </c>
      <c r="B6" s="30">
        <v>1648</v>
      </c>
      <c r="C6" s="4">
        <v>1920</v>
      </c>
      <c r="D6" s="4">
        <v>2327</v>
      </c>
      <c r="E6" s="4">
        <v>2421</v>
      </c>
      <c r="F6" s="4">
        <v>2696</v>
      </c>
      <c r="G6" s="4">
        <v>2990</v>
      </c>
      <c r="H6" s="4">
        <v>3331</v>
      </c>
      <c r="I6" s="4">
        <v>3547</v>
      </c>
      <c r="J6" s="4">
        <v>3710</v>
      </c>
      <c r="K6" s="4">
        <v>3532</v>
      </c>
      <c r="L6" s="4">
        <v>4053</v>
      </c>
      <c r="M6" s="4">
        <v>4198</v>
      </c>
      <c r="N6" s="4">
        <v>3991</v>
      </c>
      <c r="O6" s="115">
        <v>2882</v>
      </c>
      <c r="P6" s="115">
        <v>4367</v>
      </c>
      <c r="Q6" s="89">
        <f>(P6-G6)/G6</f>
        <v>0.46053511705685618</v>
      </c>
      <c r="R6" s="96">
        <f>(P6-L6)/L6</f>
        <v>7.7473476437207006E-2</v>
      </c>
      <c r="S6" s="96">
        <f>(P6-O6)/O6</f>
        <v>0.51526717557251911</v>
      </c>
      <c r="T6" s="98">
        <f>P6/P$9</f>
        <v>0.22732951587714731</v>
      </c>
    </row>
    <row r="7" spans="1:21" x14ac:dyDescent="0.2">
      <c r="A7" s="30" t="s">
        <v>236</v>
      </c>
      <c r="B7" s="30">
        <v>1565</v>
      </c>
      <c r="C7" s="30">
        <v>1478</v>
      </c>
      <c r="D7" s="30">
        <v>1909</v>
      </c>
      <c r="E7" s="30">
        <v>1865</v>
      </c>
      <c r="F7" s="30">
        <v>2099</v>
      </c>
      <c r="G7" s="30">
        <v>2085</v>
      </c>
      <c r="H7" s="19">
        <v>2814</v>
      </c>
      <c r="I7" s="19">
        <v>3018</v>
      </c>
      <c r="J7" s="19">
        <v>2931</v>
      </c>
      <c r="K7" s="19">
        <v>3106</v>
      </c>
      <c r="L7" s="19">
        <v>3410</v>
      </c>
      <c r="M7" s="19">
        <v>3489</v>
      </c>
      <c r="N7" s="19">
        <v>3780</v>
      </c>
      <c r="O7" s="115">
        <v>3487</v>
      </c>
      <c r="P7" s="115">
        <v>4974</v>
      </c>
      <c r="Q7" s="89">
        <f>(P7-G7)/G7</f>
        <v>1.3856115107913669</v>
      </c>
      <c r="R7" s="96">
        <f>(P7-L7)/L7</f>
        <v>0.4586510263929619</v>
      </c>
      <c r="S7" s="96">
        <f>(P7-O7)/O7</f>
        <v>0.42644106681961569</v>
      </c>
      <c r="T7" s="98">
        <f>P7/P$9</f>
        <v>0.25892764185320144</v>
      </c>
    </row>
    <row r="8" spans="1:21" x14ac:dyDescent="0.2">
      <c r="A8" s="30" t="s">
        <v>237</v>
      </c>
      <c r="B8" s="30">
        <v>2268</v>
      </c>
      <c r="C8" s="30">
        <v>2841</v>
      </c>
      <c r="D8" s="30">
        <v>4370</v>
      </c>
      <c r="E8" s="30">
        <v>3802</v>
      </c>
      <c r="F8" s="30">
        <v>5216</v>
      </c>
      <c r="G8" s="30">
        <v>5514</v>
      </c>
      <c r="H8" s="19">
        <v>6464</v>
      </c>
      <c r="I8" s="19">
        <v>6437</v>
      </c>
      <c r="J8" s="19">
        <v>7343</v>
      </c>
      <c r="K8" s="19">
        <v>7339</v>
      </c>
      <c r="L8" s="19">
        <v>7347</v>
      </c>
      <c r="M8" s="19">
        <v>8641</v>
      </c>
      <c r="N8" s="19">
        <v>8413</v>
      </c>
      <c r="O8" s="115">
        <v>8871</v>
      </c>
      <c r="P8" s="115">
        <v>9869</v>
      </c>
      <c r="Q8" s="89">
        <f>(P8-G8)/G8</f>
        <v>0.78980776206021042</v>
      </c>
      <c r="R8" s="96">
        <f>(P8-L8)/L8</f>
        <v>0.34326936164420851</v>
      </c>
      <c r="S8" s="96">
        <f>(P8-O8)/O8</f>
        <v>0.11250140908578514</v>
      </c>
      <c r="T8" s="98">
        <f>P8/P$9</f>
        <v>0.51374284226965128</v>
      </c>
    </row>
    <row r="9" spans="1:21" x14ac:dyDescent="0.2">
      <c r="A9" s="70" t="s">
        <v>4</v>
      </c>
      <c r="B9" s="70">
        <v>5481</v>
      </c>
      <c r="C9" s="70">
        <v>6239</v>
      </c>
      <c r="D9" s="70">
        <v>8606</v>
      </c>
      <c r="E9" s="70">
        <v>8088</v>
      </c>
      <c r="F9" s="70">
        <v>10011</v>
      </c>
      <c r="G9" s="70">
        <v>10589</v>
      </c>
      <c r="H9" s="71">
        <v>12609</v>
      </c>
      <c r="I9" s="71">
        <v>13002</v>
      </c>
      <c r="J9" s="71">
        <v>13984</v>
      </c>
      <c r="K9" s="71">
        <v>13977</v>
      </c>
      <c r="L9" s="71">
        <v>14810</v>
      </c>
      <c r="M9" s="71">
        <v>16328</v>
      </c>
      <c r="N9" s="71">
        <v>16184</v>
      </c>
      <c r="O9" s="116">
        <v>15240</v>
      </c>
      <c r="P9" s="116">
        <v>19210</v>
      </c>
      <c r="Q9" s="73">
        <f>(P9-G9)/G9</f>
        <v>0.81414675606761733</v>
      </c>
      <c r="R9" s="97">
        <f>(P9-L9)/L9</f>
        <v>0.29709655638082377</v>
      </c>
      <c r="S9" s="97">
        <f>(P9-O9)/O9</f>
        <v>0.26049868766404199</v>
      </c>
      <c r="T9" s="99">
        <f>P9/P$9</f>
        <v>1</v>
      </c>
    </row>
    <row r="10" spans="1:21" x14ac:dyDescent="0.2">
      <c r="A10" s="124" t="s">
        <v>297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</row>
    <row r="11" spans="1:21" x14ac:dyDescent="0.2">
      <c r="A11" s="107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2" spans="1:21" ht="15.75" x14ac:dyDescent="0.2">
      <c r="A12" s="35" t="s">
        <v>320</v>
      </c>
      <c r="B12" s="35"/>
      <c r="C12" s="35"/>
      <c r="D12" s="35"/>
      <c r="E12" s="35"/>
      <c r="F12" s="35"/>
      <c r="G12" s="35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1" ht="25.5" x14ac:dyDescent="0.2">
      <c r="A13" s="78" t="s">
        <v>87</v>
      </c>
      <c r="B13" s="3">
        <v>2007</v>
      </c>
      <c r="C13" s="3">
        <v>2008</v>
      </c>
      <c r="D13" s="3">
        <v>2009</v>
      </c>
      <c r="E13" s="3">
        <v>2010</v>
      </c>
      <c r="F13" s="3">
        <v>2011</v>
      </c>
      <c r="G13" s="3">
        <v>2012</v>
      </c>
      <c r="H13" s="3">
        <v>2013</v>
      </c>
      <c r="I13" s="3">
        <v>2014</v>
      </c>
      <c r="J13" s="3">
        <v>2015</v>
      </c>
      <c r="K13" s="3">
        <v>2016</v>
      </c>
      <c r="L13" s="3">
        <v>2017</v>
      </c>
      <c r="M13" s="3">
        <v>2018</v>
      </c>
      <c r="N13" s="3">
        <v>2019</v>
      </c>
      <c r="O13" s="3">
        <v>2020</v>
      </c>
      <c r="P13" s="3">
        <v>2021</v>
      </c>
      <c r="Q13" s="12" t="s">
        <v>370</v>
      </c>
      <c r="R13" s="12" t="s">
        <v>371</v>
      </c>
      <c r="S13" s="12" t="s">
        <v>372</v>
      </c>
      <c r="T13" s="12" t="s">
        <v>373</v>
      </c>
    </row>
    <row r="14" spans="1:21" x14ac:dyDescent="0.2">
      <c r="A14" s="4" t="s">
        <v>85</v>
      </c>
      <c r="B14" s="4">
        <v>314</v>
      </c>
      <c r="C14" s="100">
        <v>320</v>
      </c>
      <c r="D14" s="100">
        <v>384</v>
      </c>
      <c r="E14" s="100">
        <v>394</v>
      </c>
      <c r="F14" s="100">
        <v>492</v>
      </c>
      <c r="G14" s="100">
        <v>603</v>
      </c>
      <c r="H14" s="101">
        <v>634</v>
      </c>
      <c r="I14" s="101">
        <v>612</v>
      </c>
      <c r="J14" s="101">
        <v>693</v>
      </c>
      <c r="K14" s="101">
        <v>706</v>
      </c>
      <c r="L14" s="101">
        <v>727</v>
      </c>
      <c r="M14" s="101">
        <v>832</v>
      </c>
      <c r="N14" s="101">
        <v>883</v>
      </c>
      <c r="O14" s="115">
        <v>774</v>
      </c>
      <c r="P14" s="115">
        <v>903</v>
      </c>
      <c r="Q14" s="89">
        <f>(P14-G14)/G14</f>
        <v>0.49751243781094528</v>
      </c>
      <c r="R14" s="96">
        <f>(P14-L14)/L14</f>
        <v>0.24209078404401652</v>
      </c>
      <c r="S14" s="96">
        <f>(P14-O14)/O14</f>
        <v>0.16666666666666666</v>
      </c>
      <c r="T14" s="98">
        <f>P14/P$9</f>
        <v>4.7006767308693388E-2</v>
      </c>
    </row>
    <row r="15" spans="1:21" x14ac:dyDescent="0.2">
      <c r="A15" s="4" t="s">
        <v>86</v>
      </c>
      <c r="B15" s="4">
        <v>5167</v>
      </c>
      <c r="C15" s="100">
        <v>5919</v>
      </c>
      <c r="D15" s="100">
        <v>8222</v>
      </c>
      <c r="E15" s="100">
        <v>7694</v>
      </c>
      <c r="F15" s="100">
        <v>9519</v>
      </c>
      <c r="G15" s="100">
        <v>9986</v>
      </c>
      <c r="H15" s="101">
        <v>11975</v>
      </c>
      <c r="I15" s="101">
        <v>12390</v>
      </c>
      <c r="J15" s="101">
        <v>13291</v>
      </c>
      <c r="K15" s="101">
        <v>13271</v>
      </c>
      <c r="L15" s="101">
        <v>14083</v>
      </c>
      <c r="M15" s="101">
        <v>15496</v>
      </c>
      <c r="N15" s="101">
        <v>15301</v>
      </c>
      <c r="O15" s="115">
        <v>14466</v>
      </c>
      <c r="P15" s="115">
        <v>18307</v>
      </c>
      <c r="Q15" s="89">
        <f>(P15-G15)/G15</f>
        <v>0.83326657320248343</v>
      </c>
      <c r="R15" s="96">
        <f>(P15-L15)/L15</f>
        <v>0.29993609316196834</v>
      </c>
      <c r="S15" s="96">
        <f>(P15-O15)/O15</f>
        <v>0.26551914834785012</v>
      </c>
      <c r="T15" s="98">
        <f>P15/P$9</f>
        <v>0.95299323269130665</v>
      </c>
    </row>
    <row r="16" spans="1:21" x14ac:dyDescent="0.2">
      <c r="A16" s="5" t="s">
        <v>4</v>
      </c>
      <c r="B16" s="5">
        <v>5481</v>
      </c>
      <c r="C16" s="5">
        <v>6239</v>
      </c>
      <c r="D16" s="5">
        <v>8606</v>
      </c>
      <c r="E16" s="5">
        <v>8088</v>
      </c>
      <c r="F16" s="5">
        <v>10011</v>
      </c>
      <c r="G16" s="5">
        <v>10589</v>
      </c>
      <c r="H16" s="20">
        <v>12609</v>
      </c>
      <c r="I16" s="20">
        <v>13002</v>
      </c>
      <c r="J16" s="20">
        <v>13984</v>
      </c>
      <c r="K16" s="20">
        <v>13977</v>
      </c>
      <c r="L16" s="20">
        <v>14810</v>
      </c>
      <c r="M16" s="20">
        <v>16328</v>
      </c>
      <c r="N16" s="20">
        <v>16184</v>
      </c>
      <c r="O16" s="116">
        <v>15240</v>
      </c>
      <c r="P16" s="116">
        <v>19210</v>
      </c>
      <c r="Q16" s="73">
        <f>(P16-G16)/G16</f>
        <v>0.81414675606761733</v>
      </c>
      <c r="R16" s="97">
        <f>(P16-L16)/L16</f>
        <v>0.29709655638082377</v>
      </c>
      <c r="S16" s="97">
        <f>(P16-O16)/O16</f>
        <v>0.26049868766404199</v>
      </c>
      <c r="T16" s="99">
        <f>P16/P$9</f>
        <v>1</v>
      </c>
    </row>
    <row r="17" spans="1:21" x14ac:dyDescent="0.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1" ht="15.75" x14ac:dyDescent="0.2">
      <c r="A18" s="35" t="s">
        <v>321</v>
      </c>
      <c r="B18" s="35"/>
      <c r="C18" s="35"/>
      <c r="D18" s="35"/>
      <c r="E18" s="35"/>
      <c r="F18" s="35"/>
      <c r="G18" s="35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1" ht="25.5" x14ac:dyDescent="0.2">
      <c r="A19" s="78" t="s">
        <v>243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12" t="s">
        <v>370</v>
      </c>
      <c r="R19" s="12" t="s">
        <v>371</v>
      </c>
      <c r="S19" s="12" t="s">
        <v>372</v>
      </c>
      <c r="T19" s="12" t="s">
        <v>373</v>
      </c>
    </row>
    <row r="20" spans="1:21" s="11" customFormat="1" x14ac:dyDescent="0.2">
      <c r="A20" s="5" t="s">
        <v>239</v>
      </c>
      <c r="B20" s="5">
        <v>1648</v>
      </c>
      <c r="C20" s="70">
        <v>1920</v>
      </c>
      <c r="D20" s="70">
        <v>2327</v>
      </c>
      <c r="E20" s="70">
        <v>2421</v>
      </c>
      <c r="F20" s="70">
        <v>2696</v>
      </c>
      <c r="G20" s="70">
        <v>2990</v>
      </c>
      <c r="H20" s="102">
        <v>3331</v>
      </c>
      <c r="I20" s="102">
        <v>3547</v>
      </c>
      <c r="J20" s="102">
        <v>3710</v>
      </c>
      <c r="K20" s="102">
        <v>3532</v>
      </c>
      <c r="L20" s="102">
        <v>4053</v>
      </c>
      <c r="M20" s="102">
        <v>4198</v>
      </c>
      <c r="N20" s="102">
        <v>3991</v>
      </c>
      <c r="O20" s="116">
        <v>2882</v>
      </c>
      <c r="P20" s="116">
        <v>4367</v>
      </c>
      <c r="Q20" s="73">
        <f t="shared" ref="Q20:Q29" si="0">(P20-G20)/G20</f>
        <v>0.46053511705685618</v>
      </c>
      <c r="R20" s="97">
        <f t="shared" ref="R20:R29" si="1">(P20-L20)/L20</f>
        <v>7.7473476437207006E-2</v>
      </c>
      <c r="S20" s="97">
        <f t="shared" ref="S20:S29" si="2">(P20-O20)/O20</f>
        <v>0.51526717557251911</v>
      </c>
      <c r="T20" s="99">
        <f t="shared" ref="T20:T29" si="3">P20/P$9</f>
        <v>0.22732951587714731</v>
      </c>
      <c r="U20" s="1"/>
    </row>
    <row r="21" spans="1:21" x14ac:dyDescent="0.2">
      <c r="A21" s="75" t="s">
        <v>85</v>
      </c>
      <c r="B21" s="75">
        <v>143</v>
      </c>
      <c r="C21" s="103">
        <v>132</v>
      </c>
      <c r="D21" s="103">
        <v>169</v>
      </c>
      <c r="E21" s="103">
        <v>185</v>
      </c>
      <c r="F21" s="103">
        <v>213</v>
      </c>
      <c r="G21" s="103">
        <v>254</v>
      </c>
      <c r="H21" s="104">
        <v>247</v>
      </c>
      <c r="I21" s="104">
        <v>251</v>
      </c>
      <c r="J21" s="104">
        <v>328</v>
      </c>
      <c r="K21" s="104">
        <v>325</v>
      </c>
      <c r="L21" s="104">
        <v>320</v>
      </c>
      <c r="M21" s="104">
        <v>405</v>
      </c>
      <c r="N21" s="104">
        <v>406</v>
      </c>
      <c r="O21" s="115">
        <v>339</v>
      </c>
      <c r="P21" s="115">
        <v>376</v>
      </c>
      <c r="Q21" s="89">
        <f t="shared" si="0"/>
        <v>0.48031496062992124</v>
      </c>
      <c r="R21" s="96">
        <f t="shared" si="1"/>
        <v>0.17499999999999999</v>
      </c>
      <c r="S21" s="96">
        <f t="shared" si="2"/>
        <v>0.10914454277286136</v>
      </c>
      <c r="T21" s="98">
        <f t="shared" si="3"/>
        <v>1.9573138990109318E-2</v>
      </c>
    </row>
    <row r="22" spans="1:21" x14ac:dyDescent="0.2">
      <c r="A22" s="75" t="s">
        <v>86</v>
      </c>
      <c r="B22" s="75">
        <v>1505</v>
      </c>
      <c r="C22" s="103">
        <v>1788</v>
      </c>
      <c r="D22" s="103">
        <v>2158</v>
      </c>
      <c r="E22" s="103">
        <v>2236</v>
      </c>
      <c r="F22" s="103">
        <v>2483</v>
      </c>
      <c r="G22" s="103">
        <v>2736</v>
      </c>
      <c r="H22" s="104">
        <v>3084</v>
      </c>
      <c r="I22" s="104">
        <v>3296</v>
      </c>
      <c r="J22" s="104">
        <v>3382</v>
      </c>
      <c r="K22" s="104">
        <v>3207</v>
      </c>
      <c r="L22" s="104">
        <v>3733</v>
      </c>
      <c r="M22" s="104">
        <v>3793</v>
      </c>
      <c r="N22" s="104">
        <v>3585</v>
      </c>
      <c r="O22" s="115">
        <v>2543</v>
      </c>
      <c r="P22" s="115">
        <v>3991</v>
      </c>
      <c r="Q22" s="89">
        <f t="shared" si="0"/>
        <v>0.45869883040935672</v>
      </c>
      <c r="R22" s="96">
        <f t="shared" si="1"/>
        <v>6.9113313688722214E-2</v>
      </c>
      <c r="S22" s="96">
        <f t="shared" si="2"/>
        <v>0.56940621313409356</v>
      </c>
      <c r="T22" s="98">
        <f t="shared" si="3"/>
        <v>0.20775637688703799</v>
      </c>
    </row>
    <row r="23" spans="1:21" s="11" customFormat="1" x14ac:dyDescent="0.2">
      <c r="A23" s="5" t="s">
        <v>236</v>
      </c>
      <c r="B23" s="5">
        <v>1565</v>
      </c>
      <c r="C23" s="70">
        <v>1478</v>
      </c>
      <c r="D23" s="70">
        <v>1909</v>
      </c>
      <c r="E23" s="70">
        <v>1865</v>
      </c>
      <c r="F23" s="70">
        <v>2099</v>
      </c>
      <c r="G23" s="70">
        <v>2085</v>
      </c>
      <c r="H23" s="102">
        <v>2814</v>
      </c>
      <c r="I23" s="102">
        <v>3018</v>
      </c>
      <c r="J23" s="102">
        <v>2931</v>
      </c>
      <c r="K23" s="102">
        <v>3106</v>
      </c>
      <c r="L23" s="102">
        <v>3410</v>
      </c>
      <c r="M23" s="102">
        <v>3489</v>
      </c>
      <c r="N23" s="102">
        <v>3780</v>
      </c>
      <c r="O23" s="116">
        <v>3487</v>
      </c>
      <c r="P23" s="116">
        <v>4974</v>
      </c>
      <c r="Q23" s="73">
        <f t="shared" si="0"/>
        <v>1.3856115107913669</v>
      </c>
      <c r="R23" s="97">
        <f t="shared" si="1"/>
        <v>0.4586510263929619</v>
      </c>
      <c r="S23" s="97">
        <f t="shared" si="2"/>
        <v>0.42644106681961569</v>
      </c>
      <c r="T23" s="99">
        <f t="shared" si="3"/>
        <v>0.25892764185320144</v>
      </c>
      <c r="U23" s="1"/>
    </row>
    <row r="24" spans="1:21" x14ac:dyDescent="0.2">
      <c r="A24" s="75" t="s">
        <v>85</v>
      </c>
      <c r="B24" s="75">
        <v>166</v>
      </c>
      <c r="C24" s="103">
        <v>181</v>
      </c>
      <c r="D24" s="103">
        <v>202</v>
      </c>
      <c r="E24" s="103">
        <v>194</v>
      </c>
      <c r="F24" s="103">
        <v>240</v>
      </c>
      <c r="G24" s="103">
        <v>252</v>
      </c>
      <c r="H24" s="104">
        <v>286</v>
      </c>
      <c r="I24" s="104">
        <v>299</v>
      </c>
      <c r="J24" s="104">
        <v>307</v>
      </c>
      <c r="K24" s="104">
        <v>318</v>
      </c>
      <c r="L24" s="104">
        <v>342</v>
      </c>
      <c r="M24" s="104">
        <v>339</v>
      </c>
      <c r="N24" s="104">
        <v>394</v>
      </c>
      <c r="O24" s="115">
        <v>368</v>
      </c>
      <c r="P24" s="115">
        <v>419</v>
      </c>
      <c r="Q24" s="89">
        <f t="shared" si="0"/>
        <v>0.66269841269841268</v>
      </c>
      <c r="R24" s="96">
        <f t="shared" si="1"/>
        <v>0.22514619883040934</v>
      </c>
      <c r="S24" s="96">
        <f t="shared" si="2"/>
        <v>0.13858695652173914</v>
      </c>
      <c r="T24" s="98">
        <f t="shared" si="3"/>
        <v>2.1811556480999479E-2</v>
      </c>
    </row>
    <row r="25" spans="1:21" x14ac:dyDescent="0.2">
      <c r="A25" s="75" t="s">
        <v>86</v>
      </c>
      <c r="B25" s="75">
        <v>1399</v>
      </c>
      <c r="C25" s="103">
        <v>1297</v>
      </c>
      <c r="D25" s="103">
        <v>1707</v>
      </c>
      <c r="E25" s="103">
        <v>1671</v>
      </c>
      <c r="F25" s="103">
        <v>1859</v>
      </c>
      <c r="G25" s="103">
        <v>1833</v>
      </c>
      <c r="H25" s="104">
        <v>2528</v>
      </c>
      <c r="I25" s="104">
        <v>2719</v>
      </c>
      <c r="J25" s="104">
        <v>2624</v>
      </c>
      <c r="K25" s="104">
        <v>2788</v>
      </c>
      <c r="L25" s="104">
        <v>3068</v>
      </c>
      <c r="M25" s="104">
        <v>3150</v>
      </c>
      <c r="N25" s="104">
        <v>3386</v>
      </c>
      <c r="O25" s="115">
        <v>3119</v>
      </c>
      <c r="P25" s="115">
        <v>4555</v>
      </c>
      <c r="Q25" s="89">
        <f t="shared" si="0"/>
        <v>1.4849972722313147</v>
      </c>
      <c r="R25" s="96">
        <f t="shared" si="1"/>
        <v>0.48468057366362449</v>
      </c>
      <c r="S25" s="96">
        <f t="shared" si="2"/>
        <v>0.46040397563321578</v>
      </c>
      <c r="T25" s="98">
        <f t="shared" si="3"/>
        <v>0.23711608537220197</v>
      </c>
    </row>
    <row r="26" spans="1:21" s="11" customFormat="1" x14ac:dyDescent="0.2">
      <c r="A26" s="5" t="s">
        <v>237</v>
      </c>
      <c r="B26" s="5">
        <v>2268</v>
      </c>
      <c r="C26" s="70">
        <v>2841</v>
      </c>
      <c r="D26" s="70">
        <v>4370</v>
      </c>
      <c r="E26" s="70">
        <v>3802</v>
      </c>
      <c r="F26" s="70">
        <v>5216</v>
      </c>
      <c r="G26" s="70">
        <v>5514</v>
      </c>
      <c r="H26" s="102">
        <v>6464</v>
      </c>
      <c r="I26" s="102">
        <v>6437</v>
      </c>
      <c r="J26" s="102">
        <v>7343</v>
      </c>
      <c r="K26" s="102">
        <v>7339</v>
      </c>
      <c r="L26" s="102">
        <v>7347</v>
      </c>
      <c r="M26" s="102">
        <v>8641</v>
      </c>
      <c r="N26" s="102">
        <v>8413</v>
      </c>
      <c r="O26" s="116">
        <v>8871</v>
      </c>
      <c r="P26" s="116">
        <v>9869</v>
      </c>
      <c r="Q26" s="73">
        <f t="shared" si="0"/>
        <v>0.78980776206021042</v>
      </c>
      <c r="R26" s="97">
        <f t="shared" si="1"/>
        <v>0.34326936164420851</v>
      </c>
      <c r="S26" s="97">
        <f t="shared" si="2"/>
        <v>0.11250140908578514</v>
      </c>
      <c r="T26" s="99">
        <f t="shared" si="3"/>
        <v>0.51374284226965128</v>
      </c>
      <c r="U26" s="1"/>
    </row>
    <row r="27" spans="1:21" x14ac:dyDescent="0.2">
      <c r="A27" s="75" t="s">
        <v>85</v>
      </c>
      <c r="B27" s="75">
        <v>5</v>
      </c>
      <c r="C27" s="103">
        <v>7</v>
      </c>
      <c r="D27" s="103">
        <v>13</v>
      </c>
      <c r="E27" s="103">
        <v>15</v>
      </c>
      <c r="F27" s="103">
        <v>39</v>
      </c>
      <c r="G27" s="103">
        <v>97</v>
      </c>
      <c r="H27" s="104">
        <v>101</v>
      </c>
      <c r="I27" s="104">
        <v>62</v>
      </c>
      <c r="J27" s="104">
        <v>58</v>
      </c>
      <c r="K27" s="104">
        <v>63</v>
      </c>
      <c r="L27" s="104">
        <v>65</v>
      </c>
      <c r="M27" s="104">
        <v>88</v>
      </c>
      <c r="N27" s="104">
        <v>83</v>
      </c>
      <c r="O27" s="115">
        <v>67</v>
      </c>
      <c r="P27" s="115">
        <v>108</v>
      </c>
      <c r="Q27" s="89">
        <f t="shared" si="0"/>
        <v>0.1134020618556701</v>
      </c>
      <c r="R27" s="96">
        <f t="shared" si="1"/>
        <v>0.66153846153846152</v>
      </c>
      <c r="S27" s="96">
        <f t="shared" si="2"/>
        <v>0.61194029850746268</v>
      </c>
      <c r="T27" s="98">
        <f t="shared" si="3"/>
        <v>5.6220718375845913E-3</v>
      </c>
    </row>
    <row r="28" spans="1:21" x14ac:dyDescent="0.2">
      <c r="A28" s="75" t="s">
        <v>86</v>
      </c>
      <c r="B28" s="75">
        <v>2263</v>
      </c>
      <c r="C28" s="103">
        <v>2834</v>
      </c>
      <c r="D28" s="103">
        <v>4357</v>
      </c>
      <c r="E28" s="103">
        <v>3787</v>
      </c>
      <c r="F28" s="103">
        <v>5177</v>
      </c>
      <c r="G28" s="103">
        <v>5417</v>
      </c>
      <c r="H28" s="104">
        <v>6363</v>
      </c>
      <c r="I28" s="104">
        <v>6375</v>
      </c>
      <c r="J28" s="104">
        <v>7285</v>
      </c>
      <c r="K28" s="104">
        <v>7276</v>
      </c>
      <c r="L28" s="104">
        <v>7282</v>
      </c>
      <c r="M28" s="104">
        <v>8553</v>
      </c>
      <c r="N28" s="104">
        <v>8330</v>
      </c>
      <c r="O28" s="115">
        <v>8804</v>
      </c>
      <c r="P28" s="115">
        <v>9761</v>
      </c>
      <c r="Q28" s="89">
        <f t="shared" si="0"/>
        <v>0.80191988185342444</v>
      </c>
      <c r="R28" s="96">
        <f t="shared" si="1"/>
        <v>0.3404284537215051</v>
      </c>
      <c r="S28" s="96">
        <f t="shared" si="2"/>
        <v>0.10870059064061791</v>
      </c>
      <c r="T28" s="98">
        <f t="shared" si="3"/>
        <v>0.5081207704320666</v>
      </c>
    </row>
    <row r="29" spans="1:21" s="11" customFormat="1" x14ac:dyDescent="0.2">
      <c r="A29" s="5" t="s">
        <v>4</v>
      </c>
      <c r="B29" s="5">
        <v>5481</v>
      </c>
      <c r="C29" s="70">
        <v>6239</v>
      </c>
      <c r="D29" s="70">
        <v>8606</v>
      </c>
      <c r="E29" s="70">
        <v>8088</v>
      </c>
      <c r="F29" s="70">
        <v>10011</v>
      </c>
      <c r="G29" s="70">
        <v>10589</v>
      </c>
      <c r="H29" s="102">
        <v>12609</v>
      </c>
      <c r="I29" s="102">
        <v>13002</v>
      </c>
      <c r="J29" s="102">
        <v>13984</v>
      </c>
      <c r="K29" s="102">
        <v>13977</v>
      </c>
      <c r="L29" s="102">
        <v>14810</v>
      </c>
      <c r="M29" s="102">
        <v>16328</v>
      </c>
      <c r="N29" s="102">
        <v>16184</v>
      </c>
      <c r="O29" s="116">
        <v>15240</v>
      </c>
      <c r="P29" s="116">
        <v>19210</v>
      </c>
      <c r="Q29" s="73">
        <f t="shared" si="0"/>
        <v>0.81414675606761733</v>
      </c>
      <c r="R29" s="97">
        <f t="shared" si="1"/>
        <v>0.29709655638082377</v>
      </c>
      <c r="S29" s="97">
        <f t="shared" si="2"/>
        <v>0.26049868766404199</v>
      </c>
      <c r="T29" s="99">
        <f t="shared" si="3"/>
        <v>1</v>
      </c>
    </row>
    <row r="30" spans="1:21" x14ac:dyDescent="0.2">
      <c r="A30" s="124" t="s">
        <v>297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1" spans="1:21" x14ac:dyDescent="0.2">
      <c r="A31" s="107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</row>
    <row r="32" spans="1:21" ht="15.75" x14ac:dyDescent="0.2">
      <c r="A32" s="35" t="s">
        <v>322</v>
      </c>
      <c r="B32" s="35"/>
      <c r="C32" s="35"/>
      <c r="D32" s="35"/>
      <c r="E32" s="35"/>
      <c r="F32" s="35"/>
      <c r="G32" s="35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</row>
    <row r="33" spans="1:20" ht="25.5" x14ac:dyDescent="0.2">
      <c r="A33" s="78" t="s">
        <v>242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3">
        <v>2020</v>
      </c>
      <c r="P33" s="3">
        <v>2021</v>
      </c>
      <c r="Q33" s="12" t="s">
        <v>370</v>
      </c>
      <c r="R33" s="12" t="s">
        <v>371</v>
      </c>
      <c r="S33" s="12" t="s">
        <v>372</v>
      </c>
      <c r="T33" s="12" t="s">
        <v>373</v>
      </c>
    </row>
    <row r="34" spans="1:20" x14ac:dyDescent="0.2">
      <c r="A34" s="5" t="s">
        <v>206</v>
      </c>
      <c r="B34" s="5">
        <v>2261</v>
      </c>
      <c r="C34" s="5">
        <v>2625</v>
      </c>
      <c r="D34" s="5">
        <v>3739</v>
      </c>
      <c r="E34" s="5">
        <v>3659</v>
      </c>
      <c r="F34" s="5">
        <v>4814</v>
      </c>
      <c r="G34" s="5">
        <v>5088</v>
      </c>
      <c r="H34" s="5">
        <v>6099</v>
      </c>
      <c r="I34" s="5">
        <v>6211</v>
      </c>
      <c r="J34" s="5">
        <v>6783</v>
      </c>
      <c r="K34" s="5">
        <v>6832</v>
      </c>
      <c r="L34" s="5">
        <v>7357</v>
      </c>
      <c r="M34" s="5">
        <v>8085</v>
      </c>
      <c r="N34" s="5">
        <v>8162</v>
      </c>
      <c r="O34" s="51">
        <v>7813</v>
      </c>
      <c r="P34" s="51">
        <v>9739</v>
      </c>
      <c r="Q34" s="73">
        <f t="shared" ref="Q34:Q40" si="4">(P34-G34)/G34</f>
        <v>0.91411163522012584</v>
      </c>
      <c r="R34" s="97">
        <f t="shared" ref="R34:R40" si="5">(P34-L34)/L34</f>
        <v>0.32377327715101262</v>
      </c>
      <c r="S34" s="97">
        <f t="shared" ref="S34:S40" si="6">(P34-O34)/O34</f>
        <v>0.24651222321771407</v>
      </c>
      <c r="T34" s="99">
        <f t="shared" ref="T34:T40" si="7">P34/P$9</f>
        <v>0.50697553357626235</v>
      </c>
    </row>
    <row r="35" spans="1:20" x14ac:dyDescent="0.2">
      <c r="A35" s="75" t="s">
        <v>85</v>
      </c>
      <c r="B35" s="75">
        <v>138</v>
      </c>
      <c r="C35" s="75">
        <v>133</v>
      </c>
      <c r="D35" s="75">
        <v>155</v>
      </c>
      <c r="E35" s="75">
        <v>175</v>
      </c>
      <c r="F35" s="75">
        <v>212</v>
      </c>
      <c r="G35" s="75">
        <v>239</v>
      </c>
      <c r="H35" s="22">
        <v>293</v>
      </c>
      <c r="I35" s="22">
        <v>280</v>
      </c>
      <c r="J35" s="22">
        <v>307</v>
      </c>
      <c r="K35" s="22">
        <v>289</v>
      </c>
      <c r="L35" s="22">
        <v>319</v>
      </c>
      <c r="M35" s="22">
        <v>359</v>
      </c>
      <c r="N35" s="22">
        <v>383</v>
      </c>
      <c r="O35" s="115">
        <v>338</v>
      </c>
      <c r="P35" s="115">
        <v>379</v>
      </c>
      <c r="Q35" s="89">
        <f t="shared" si="4"/>
        <v>0.58577405857740583</v>
      </c>
      <c r="R35" s="96">
        <f t="shared" si="5"/>
        <v>0.18808777429467086</v>
      </c>
      <c r="S35" s="96">
        <f t="shared" si="6"/>
        <v>0.12130177514792899</v>
      </c>
      <c r="T35" s="98">
        <f t="shared" si="7"/>
        <v>1.9729307652264445E-2</v>
      </c>
    </row>
    <row r="36" spans="1:20" x14ac:dyDescent="0.2">
      <c r="A36" s="75" t="s">
        <v>86</v>
      </c>
      <c r="B36" s="75">
        <v>2123</v>
      </c>
      <c r="C36" s="75">
        <v>2492</v>
      </c>
      <c r="D36" s="75">
        <v>3584</v>
      </c>
      <c r="E36" s="75">
        <v>3484</v>
      </c>
      <c r="F36" s="75">
        <v>4602</v>
      </c>
      <c r="G36" s="75">
        <v>4849</v>
      </c>
      <c r="H36" s="22">
        <v>5806</v>
      </c>
      <c r="I36" s="22">
        <v>5931</v>
      </c>
      <c r="J36" s="22">
        <v>6476</v>
      </c>
      <c r="K36" s="22">
        <v>6543</v>
      </c>
      <c r="L36" s="22">
        <v>7038</v>
      </c>
      <c r="M36" s="22">
        <v>7726</v>
      </c>
      <c r="N36" s="22">
        <v>7779</v>
      </c>
      <c r="O36" s="115">
        <v>7475</v>
      </c>
      <c r="P36" s="115">
        <v>9360</v>
      </c>
      <c r="Q36" s="89">
        <f t="shared" si="4"/>
        <v>0.93029490616621979</v>
      </c>
      <c r="R36" s="96">
        <f t="shared" si="5"/>
        <v>0.32992327365728902</v>
      </c>
      <c r="S36" s="96">
        <f t="shared" si="6"/>
        <v>0.25217391304347825</v>
      </c>
      <c r="T36" s="98">
        <f t="shared" si="7"/>
        <v>0.48724622592399791</v>
      </c>
    </row>
    <row r="37" spans="1:20" x14ac:dyDescent="0.2">
      <c r="A37" s="5" t="s">
        <v>207</v>
      </c>
      <c r="B37" s="5">
        <v>3220</v>
      </c>
      <c r="C37" s="5">
        <v>3614</v>
      </c>
      <c r="D37" s="5">
        <v>4867</v>
      </c>
      <c r="E37" s="5">
        <v>4429</v>
      </c>
      <c r="F37" s="5">
        <v>5197</v>
      </c>
      <c r="G37" s="5">
        <v>5501</v>
      </c>
      <c r="H37" s="5">
        <v>6510</v>
      </c>
      <c r="I37" s="5">
        <v>6791</v>
      </c>
      <c r="J37" s="5">
        <v>7201</v>
      </c>
      <c r="K37" s="5">
        <v>7145</v>
      </c>
      <c r="L37" s="5">
        <v>7453</v>
      </c>
      <c r="M37" s="5">
        <v>8243</v>
      </c>
      <c r="N37" s="5">
        <v>8022</v>
      </c>
      <c r="O37" s="51">
        <v>7427</v>
      </c>
      <c r="P37" s="51">
        <v>9471</v>
      </c>
      <c r="Q37" s="73">
        <f t="shared" si="4"/>
        <v>0.72168696600618065</v>
      </c>
      <c r="R37" s="97">
        <f t="shared" si="5"/>
        <v>0.27076345095934523</v>
      </c>
      <c r="S37" s="97">
        <f t="shared" si="6"/>
        <v>0.27521206409048066</v>
      </c>
      <c r="T37" s="99">
        <f t="shared" si="7"/>
        <v>0.49302446642373765</v>
      </c>
    </row>
    <row r="38" spans="1:20" x14ac:dyDescent="0.2">
      <c r="A38" s="75" t="s">
        <v>85</v>
      </c>
      <c r="B38" s="75">
        <v>176</v>
      </c>
      <c r="C38" s="75">
        <v>187</v>
      </c>
      <c r="D38" s="75">
        <v>229</v>
      </c>
      <c r="E38" s="75">
        <v>219</v>
      </c>
      <c r="F38" s="75">
        <v>280</v>
      </c>
      <c r="G38" s="75">
        <v>364</v>
      </c>
      <c r="H38" s="22">
        <v>341</v>
      </c>
      <c r="I38" s="22">
        <v>332</v>
      </c>
      <c r="J38" s="22">
        <v>386</v>
      </c>
      <c r="K38" s="22">
        <v>417</v>
      </c>
      <c r="L38" s="22">
        <v>408</v>
      </c>
      <c r="M38" s="22">
        <v>473</v>
      </c>
      <c r="N38" s="22">
        <v>500</v>
      </c>
      <c r="O38" s="115">
        <v>436</v>
      </c>
      <c r="P38" s="115">
        <v>524</v>
      </c>
      <c r="Q38" s="89">
        <f t="shared" si="4"/>
        <v>0.43956043956043955</v>
      </c>
      <c r="R38" s="96">
        <f t="shared" si="5"/>
        <v>0.28431372549019607</v>
      </c>
      <c r="S38" s="96">
        <f t="shared" si="6"/>
        <v>0.20183486238532111</v>
      </c>
      <c r="T38" s="98">
        <f t="shared" si="7"/>
        <v>2.7277459656428943E-2</v>
      </c>
    </row>
    <row r="39" spans="1:20" x14ac:dyDescent="0.2">
      <c r="A39" s="75" t="s">
        <v>86</v>
      </c>
      <c r="B39" s="75">
        <v>3044</v>
      </c>
      <c r="C39" s="75">
        <v>3427</v>
      </c>
      <c r="D39" s="75">
        <v>4638</v>
      </c>
      <c r="E39" s="75">
        <v>4210</v>
      </c>
      <c r="F39" s="75">
        <v>4917</v>
      </c>
      <c r="G39" s="75">
        <v>5137</v>
      </c>
      <c r="H39" s="22">
        <v>6169</v>
      </c>
      <c r="I39" s="22">
        <v>6459</v>
      </c>
      <c r="J39" s="22">
        <v>6815</v>
      </c>
      <c r="K39" s="22">
        <v>6728</v>
      </c>
      <c r="L39" s="22">
        <v>7045</v>
      </c>
      <c r="M39" s="22">
        <v>7770</v>
      </c>
      <c r="N39" s="22">
        <v>7522</v>
      </c>
      <c r="O39" s="115">
        <v>6991</v>
      </c>
      <c r="P39" s="115">
        <v>8947</v>
      </c>
      <c r="Q39" s="89">
        <f t="shared" si="4"/>
        <v>0.74167802219194079</v>
      </c>
      <c r="R39" s="96">
        <f t="shared" si="5"/>
        <v>0.26997870830376153</v>
      </c>
      <c r="S39" s="96">
        <f t="shared" si="6"/>
        <v>0.27978829924188242</v>
      </c>
      <c r="T39" s="98">
        <f t="shared" si="7"/>
        <v>0.46574700676730868</v>
      </c>
    </row>
    <row r="40" spans="1:20" x14ac:dyDescent="0.2">
      <c r="A40" s="5" t="s">
        <v>4</v>
      </c>
      <c r="B40" s="5">
        <v>5481</v>
      </c>
      <c r="C40" s="5">
        <v>6239</v>
      </c>
      <c r="D40" s="5">
        <v>8606</v>
      </c>
      <c r="E40" s="5">
        <v>8088</v>
      </c>
      <c r="F40" s="5">
        <v>10011</v>
      </c>
      <c r="G40" s="5">
        <v>10589</v>
      </c>
      <c r="H40" s="5">
        <v>12609</v>
      </c>
      <c r="I40" s="5">
        <v>13002</v>
      </c>
      <c r="J40" s="5">
        <v>13984</v>
      </c>
      <c r="K40" s="5">
        <v>13977</v>
      </c>
      <c r="L40" s="5">
        <v>14810</v>
      </c>
      <c r="M40" s="5">
        <v>16328</v>
      </c>
      <c r="N40" s="5">
        <v>16184</v>
      </c>
      <c r="O40" s="5">
        <v>15240</v>
      </c>
      <c r="P40" s="5">
        <v>19210</v>
      </c>
      <c r="Q40" s="73">
        <f t="shared" si="4"/>
        <v>0.81414675606761733</v>
      </c>
      <c r="R40" s="97">
        <f t="shared" si="5"/>
        <v>0.29709655638082377</v>
      </c>
      <c r="S40" s="97">
        <f t="shared" si="6"/>
        <v>0.26049868766404199</v>
      </c>
      <c r="T40" s="99">
        <f t="shared" si="7"/>
        <v>1</v>
      </c>
    </row>
    <row r="41" spans="1:20" x14ac:dyDescent="0.2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</row>
    <row r="42" spans="1:20" x14ac:dyDescent="0.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</row>
    <row r="43" spans="1:20" x14ac:dyDescent="0.2">
      <c r="A43" s="61" t="s">
        <v>238</v>
      </c>
      <c r="B43" s="61"/>
      <c r="C43" s="61"/>
      <c r="D43" s="61"/>
      <c r="E43" s="61"/>
      <c r="F43" s="61"/>
      <c r="G43" s="61"/>
      <c r="H43" s="34"/>
      <c r="I43" s="34"/>
      <c r="J43" s="34"/>
      <c r="K43" s="34"/>
      <c r="L43" s="59"/>
      <c r="M43" s="59"/>
      <c r="N43" s="59"/>
      <c r="O43" s="34"/>
      <c r="P43" s="34"/>
      <c r="Q43" s="34"/>
      <c r="R43" s="34"/>
      <c r="S43" s="34"/>
      <c r="T43" s="34"/>
    </row>
    <row r="44" spans="1:20" x14ac:dyDescent="0.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</row>
    <row r="45" spans="1:20" x14ac:dyDescent="0.2">
      <c r="A45" s="62" t="s">
        <v>21</v>
      </c>
      <c r="B45" s="62"/>
      <c r="C45" s="62"/>
      <c r="D45" s="62"/>
      <c r="E45" s="62"/>
      <c r="F45" s="62"/>
      <c r="G45" s="62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</row>
    <row r="46" spans="1:20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</row>
  </sheetData>
  <hyperlinks>
    <hyperlink ref="A45" location="Indice!A5" display="Volver al índice"/>
  </hyperlinks>
  <pageMargins left="0.7" right="0.7" top="0.75" bottom="0.75" header="0.3" footer="0.3"/>
  <pageSetup orientation="portrait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32.85546875" style="43" customWidth="1"/>
    <col min="2" max="2" width="17.28515625" style="43" customWidth="1"/>
    <col min="3" max="3" width="16.28515625" style="43" customWidth="1"/>
    <col min="4" max="4" width="20.42578125" style="43" customWidth="1"/>
    <col min="5" max="5" width="15.85546875" style="43" customWidth="1"/>
    <col min="6" max="16384" width="10.85546875" style="2"/>
  </cols>
  <sheetData>
    <row r="1" spans="1:6" ht="21" x14ac:dyDescent="0.25">
      <c r="A1" s="77" t="s">
        <v>398</v>
      </c>
      <c r="B1" s="39"/>
      <c r="C1" s="39"/>
      <c r="D1" s="39"/>
      <c r="E1" s="39"/>
    </row>
    <row r="2" spans="1:6" ht="24" customHeight="1" x14ac:dyDescent="0.25">
      <c r="A2" s="55"/>
      <c r="B2" s="39"/>
      <c r="C2" s="39"/>
      <c r="D2" s="39"/>
      <c r="E2" s="39"/>
    </row>
    <row r="3" spans="1:6" x14ac:dyDescent="0.25">
      <c r="A3" s="39"/>
      <c r="B3" s="39"/>
      <c r="C3" s="39"/>
      <c r="D3" s="39"/>
      <c r="E3" s="39"/>
    </row>
    <row r="4" spans="1:6" ht="15.75" x14ac:dyDescent="0.25">
      <c r="A4" s="45" t="s">
        <v>399</v>
      </c>
      <c r="B4" s="39"/>
      <c r="C4" s="39"/>
      <c r="D4" s="39"/>
      <c r="E4" s="39"/>
    </row>
    <row r="5" spans="1:6" ht="25.5" x14ac:dyDescent="0.25">
      <c r="A5" s="46" t="s">
        <v>233</v>
      </c>
      <c r="B5" s="40" t="s">
        <v>89</v>
      </c>
      <c r="C5" s="40" t="s">
        <v>3</v>
      </c>
      <c r="D5" s="40" t="s">
        <v>261</v>
      </c>
      <c r="E5" s="40" t="s">
        <v>8</v>
      </c>
    </row>
    <row r="6" spans="1:6" x14ac:dyDescent="0.25">
      <c r="A6" s="47" t="s">
        <v>5</v>
      </c>
      <c r="B6" s="36">
        <v>0</v>
      </c>
      <c r="C6" s="36">
        <v>0</v>
      </c>
      <c r="D6" s="36">
        <v>7</v>
      </c>
      <c r="E6" s="36">
        <v>7</v>
      </c>
    </row>
    <row r="7" spans="1:6" x14ac:dyDescent="0.25">
      <c r="A7" s="47" t="s">
        <v>6</v>
      </c>
      <c r="B7" s="36">
        <v>0</v>
      </c>
      <c r="C7" s="36">
        <v>874</v>
      </c>
      <c r="D7" s="36">
        <v>243</v>
      </c>
      <c r="E7" s="36">
        <v>1117</v>
      </c>
    </row>
    <row r="8" spans="1:6" x14ac:dyDescent="0.25">
      <c r="A8" s="47" t="s">
        <v>7</v>
      </c>
      <c r="B8" s="36">
        <v>1838</v>
      </c>
      <c r="C8" s="36">
        <v>3058</v>
      </c>
      <c r="D8" s="36">
        <v>27249</v>
      </c>
      <c r="E8" s="36">
        <v>32145</v>
      </c>
    </row>
    <row r="9" spans="1:6" x14ac:dyDescent="0.25">
      <c r="A9" s="48" t="s">
        <v>4</v>
      </c>
      <c r="B9" s="37">
        <v>1838</v>
      </c>
      <c r="C9" s="37">
        <v>3932</v>
      </c>
      <c r="D9" s="37">
        <v>27499</v>
      </c>
      <c r="E9" s="37">
        <v>33269</v>
      </c>
    </row>
    <row r="10" spans="1:6" x14ac:dyDescent="0.25">
      <c r="A10" s="53"/>
      <c r="B10" s="54"/>
      <c r="C10" s="54"/>
      <c r="D10" s="54"/>
      <c r="E10" s="39"/>
    </row>
    <row r="11" spans="1:6" ht="15.75" x14ac:dyDescent="0.25">
      <c r="A11" s="45" t="s">
        <v>400</v>
      </c>
      <c r="B11" s="39"/>
      <c r="C11" s="39"/>
      <c r="D11" s="39"/>
      <c r="E11" s="39"/>
    </row>
    <row r="12" spans="1:6" ht="25.5" x14ac:dyDescent="0.25">
      <c r="A12" s="46" t="s">
        <v>225</v>
      </c>
      <c r="B12" s="40" t="s">
        <v>89</v>
      </c>
      <c r="C12" s="40" t="s">
        <v>3</v>
      </c>
      <c r="D12" s="40" t="s">
        <v>244</v>
      </c>
      <c r="E12" s="40" t="s">
        <v>8</v>
      </c>
    </row>
    <row r="13" spans="1:6" x14ac:dyDescent="0.25">
      <c r="A13" s="47" t="s">
        <v>401</v>
      </c>
      <c r="B13" s="36">
        <v>952</v>
      </c>
      <c r="C13" s="36">
        <v>3107</v>
      </c>
      <c r="D13" s="36">
        <v>16479</v>
      </c>
      <c r="E13" s="36">
        <v>20538</v>
      </c>
      <c r="F13" s="13"/>
    </row>
    <row r="14" spans="1:6" x14ac:dyDescent="0.25">
      <c r="A14" s="47" t="s">
        <v>402</v>
      </c>
      <c r="B14" s="36">
        <v>886</v>
      </c>
      <c r="C14" s="36">
        <v>825</v>
      </c>
      <c r="D14" s="36">
        <v>11020</v>
      </c>
      <c r="E14" s="36">
        <v>12731</v>
      </c>
      <c r="F14" s="13"/>
    </row>
    <row r="15" spans="1:6" x14ac:dyDescent="0.25">
      <c r="A15" s="48" t="s">
        <v>277</v>
      </c>
      <c r="B15" s="37">
        <v>1838</v>
      </c>
      <c r="C15" s="37">
        <v>3932</v>
      </c>
      <c r="D15" s="37">
        <v>27499</v>
      </c>
      <c r="E15" s="37">
        <v>33269</v>
      </c>
    </row>
    <row r="16" spans="1:6" x14ac:dyDescent="0.25">
      <c r="A16" s="39"/>
      <c r="B16" s="39"/>
      <c r="C16" s="39"/>
      <c r="D16" s="39"/>
      <c r="E16" s="39"/>
    </row>
    <row r="17" spans="1:6" ht="15.75" x14ac:dyDescent="0.25">
      <c r="A17" s="45" t="s">
        <v>403</v>
      </c>
      <c r="B17" s="39"/>
      <c r="C17" s="39"/>
      <c r="D17" s="39"/>
      <c r="E17" s="39"/>
    </row>
    <row r="18" spans="1:6" ht="25.5" x14ac:dyDescent="0.25">
      <c r="A18" s="49" t="s">
        <v>26</v>
      </c>
      <c r="B18" s="40" t="s">
        <v>89</v>
      </c>
      <c r="C18" s="40" t="s">
        <v>3</v>
      </c>
      <c r="D18" s="40" t="s">
        <v>244</v>
      </c>
      <c r="E18" s="40" t="s">
        <v>8</v>
      </c>
    </row>
    <row r="19" spans="1:6" x14ac:dyDescent="0.25">
      <c r="A19" s="50" t="s">
        <v>27</v>
      </c>
      <c r="B19" s="56">
        <v>0</v>
      </c>
      <c r="C19" s="56">
        <v>0</v>
      </c>
      <c r="D19" s="56">
        <v>0</v>
      </c>
      <c r="E19" s="56">
        <v>0</v>
      </c>
    </row>
    <row r="20" spans="1:6" x14ac:dyDescent="0.25">
      <c r="A20" s="50" t="s">
        <v>28</v>
      </c>
      <c r="B20" s="56">
        <v>1</v>
      </c>
      <c r="C20" s="56">
        <v>84</v>
      </c>
      <c r="D20" s="56">
        <v>1046</v>
      </c>
      <c r="E20" s="56">
        <v>1131</v>
      </c>
    </row>
    <row r="21" spans="1:6" x14ac:dyDescent="0.25">
      <c r="A21" s="50" t="s">
        <v>29</v>
      </c>
      <c r="B21" s="56">
        <v>353</v>
      </c>
      <c r="C21" s="56">
        <v>773</v>
      </c>
      <c r="D21" s="56">
        <v>6326</v>
      </c>
      <c r="E21" s="56">
        <v>7452</v>
      </c>
    </row>
    <row r="22" spans="1:6" x14ac:dyDescent="0.25">
      <c r="A22" s="50" t="s">
        <v>30</v>
      </c>
      <c r="B22" s="56">
        <v>975</v>
      </c>
      <c r="C22" s="56">
        <v>996</v>
      </c>
      <c r="D22" s="56">
        <v>6969</v>
      </c>
      <c r="E22" s="56">
        <v>8940</v>
      </c>
    </row>
    <row r="23" spans="1:6" x14ac:dyDescent="0.25">
      <c r="A23" s="50" t="s">
        <v>31</v>
      </c>
      <c r="B23" s="56">
        <v>409</v>
      </c>
      <c r="C23" s="56">
        <v>849</v>
      </c>
      <c r="D23" s="56">
        <v>5113</v>
      </c>
      <c r="E23" s="56">
        <v>6371</v>
      </c>
    </row>
    <row r="24" spans="1:6" x14ac:dyDescent="0.25">
      <c r="A24" s="50" t="s">
        <v>32</v>
      </c>
      <c r="B24" s="56">
        <v>100</v>
      </c>
      <c r="C24" s="56">
        <v>1230</v>
      </c>
      <c r="D24" s="56">
        <v>8034</v>
      </c>
      <c r="E24" s="56">
        <v>9364</v>
      </c>
    </row>
    <row r="25" spans="1:6" x14ac:dyDescent="0.25">
      <c r="A25" s="50" t="s">
        <v>91</v>
      </c>
      <c r="B25" s="56">
        <v>0</v>
      </c>
      <c r="C25" s="56">
        <v>0</v>
      </c>
      <c r="D25" s="56">
        <v>11</v>
      </c>
      <c r="E25" s="56">
        <v>11</v>
      </c>
    </row>
    <row r="26" spans="1:6" x14ac:dyDescent="0.25">
      <c r="A26" s="51" t="s">
        <v>4</v>
      </c>
      <c r="B26" s="57">
        <f>SUM(B19:B25)</f>
        <v>1838</v>
      </c>
      <c r="C26" s="57">
        <f>SUM(C19:C25)</f>
        <v>3932</v>
      </c>
      <c r="D26" s="57">
        <f>SUM(D19:D25)</f>
        <v>27499</v>
      </c>
      <c r="E26" s="57">
        <f>SUM(E19:E25)</f>
        <v>33269</v>
      </c>
    </row>
    <row r="27" spans="1:6" x14ac:dyDescent="0.25">
      <c r="A27" s="52" t="s">
        <v>35</v>
      </c>
      <c r="B27" s="84">
        <v>32.878128400435301</v>
      </c>
      <c r="C27" s="84">
        <v>36.723550356052897</v>
      </c>
      <c r="D27" s="84">
        <v>35.818029685680997</v>
      </c>
      <c r="E27" s="84">
        <v>35.762613506524701</v>
      </c>
    </row>
    <row r="28" spans="1:6" x14ac:dyDescent="0.25">
      <c r="A28" s="39"/>
      <c r="B28" s="2"/>
      <c r="C28" s="2"/>
      <c r="D28" s="2"/>
      <c r="E28" s="2"/>
    </row>
    <row r="29" spans="1:6" ht="15.75" x14ac:dyDescent="0.25">
      <c r="A29" s="45" t="s">
        <v>404</v>
      </c>
      <c r="B29" s="39"/>
      <c r="C29" s="39"/>
      <c r="D29" s="39"/>
      <c r="E29" s="39"/>
    </row>
    <row r="30" spans="1:6" ht="25.5" x14ac:dyDescent="0.25">
      <c r="A30" s="49" t="s">
        <v>10</v>
      </c>
      <c r="B30" s="40" t="s">
        <v>89</v>
      </c>
      <c r="C30" s="40" t="s">
        <v>3</v>
      </c>
      <c r="D30" s="40" t="s">
        <v>244</v>
      </c>
      <c r="E30" s="40" t="s">
        <v>8</v>
      </c>
    </row>
    <row r="31" spans="1:6" x14ac:dyDescent="0.25">
      <c r="A31" s="50" t="s">
        <v>11</v>
      </c>
      <c r="B31" s="36">
        <v>0</v>
      </c>
      <c r="C31" s="36">
        <v>207</v>
      </c>
      <c r="D31" s="36">
        <v>9426</v>
      </c>
      <c r="E31" s="36">
        <v>9633</v>
      </c>
      <c r="F31" s="13"/>
    </row>
    <row r="32" spans="1:6" x14ac:dyDescent="0.25">
      <c r="A32" s="50" t="s">
        <v>12</v>
      </c>
      <c r="B32" s="36">
        <v>0</v>
      </c>
      <c r="C32" s="36">
        <v>18</v>
      </c>
      <c r="D32" s="36">
        <v>276</v>
      </c>
      <c r="E32" s="36">
        <v>294</v>
      </c>
      <c r="F32" s="13"/>
    </row>
    <row r="33" spans="1:6" x14ac:dyDescent="0.25">
      <c r="A33" s="50" t="s">
        <v>13</v>
      </c>
      <c r="B33" s="36">
        <v>0</v>
      </c>
      <c r="C33" s="36">
        <v>15</v>
      </c>
      <c r="D33" s="36">
        <v>455</v>
      </c>
      <c r="E33" s="36">
        <v>470</v>
      </c>
      <c r="F33" s="13"/>
    </row>
    <row r="34" spans="1:6" x14ac:dyDescent="0.25">
      <c r="A34" s="50" t="s">
        <v>14</v>
      </c>
      <c r="B34" s="36">
        <v>0</v>
      </c>
      <c r="C34" s="36">
        <v>19</v>
      </c>
      <c r="D34" s="36">
        <v>641</v>
      </c>
      <c r="E34" s="36">
        <v>660</v>
      </c>
      <c r="F34" s="13"/>
    </row>
    <row r="35" spans="1:6" x14ac:dyDescent="0.25">
      <c r="A35" s="50" t="s">
        <v>15</v>
      </c>
      <c r="B35" s="36">
        <v>0</v>
      </c>
      <c r="C35" s="36">
        <v>373</v>
      </c>
      <c r="D35" s="36">
        <v>3092</v>
      </c>
      <c r="E35" s="36">
        <v>3465</v>
      </c>
      <c r="F35" s="13"/>
    </row>
    <row r="36" spans="1:6" x14ac:dyDescent="0.25">
      <c r="A36" s="50" t="s">
        <v>16</v>
      </c>
      <c r="B36" s="36">
        <v>0</v>
      </c>
      <c r="C36" s="36">
        <v>139</v>
      </c>
      <c r="D36" s="36">
        <v>2045</v>
      </c>
      <c r="E36" s="36">
        <v>2184</v>
      </c>
      <c r="F36" s="13"/>
    </row>
    <row r="37" spans="1:6" x14ac:dyDescent="0.25">
      <c r="A37" s="50" t="s">
        <v>17</v>
      </c>
      <c r="B37" s="36">
        <v>0</v>
      </c>
      <c r="C37" s="36">
        <v>2834</v>
      </c>
      <c r="D37" s="36">
        <v>4609</v>
      </c>
      <c r="E37" s="36">
        <v>7443</v>
      </c>
      <c r="F37" s="13"/>
    </row>
    <row r="38" spans="1:6" x14ac:dyDescent="0.25">
      <c r="A38" s="50" t="s">
        <v>18</v>
      </c>
      <c r="B38" s="36">
        <v>0</v>
      </c>
      <c r="C38" s="36">
        <v>1</v>
      </c>
      <c r="D38" s="36">
        <v>174</v>
      </c>
      <c r="E38" s="36">
        <v>175</v>
      </c>
      <c r="F38" s="13"/>
    </row>
    <row r="39" spans="1:6" x14ac:dyDescent="0.25">
      <c r="A39" s="50" t="s">
        <v>19</v>
      </c>
      <c r="B39" s="36">
        <v>1838</v>
      </c>
      <c r="C39" s="36">
        <v>307</v>
      </c>
      <c r="D39" s="36">
        <v>5160</v>
      </c>
      <c r="E39" s="36">
        <v>7305</v>
      </c>
      <c r="F39" s="13"/>
    </row>
    <row r="40" spans="1:6" x14ac:dyDescent="0.25">
      <c r="A40" s="50" t="s">
        <v>20</v>
      </c>
      <c r="B40" s="36">
        <v>0</v>
      </c>
      <c r="C40" s="36">
        <v>19</v>
      </c>
      <c r="D40" s="36">
        <v>1621</v>
      </c>
      <c r="E40" s="36">
        <v>1640</v>
      </c>
      <c r="F40" s="13"/>
    </row>
    <row r="41" spans="1:6" x14ac:dyDescent="0.25">
      <c r="A41" s="51" t="s">
        <v>4</v>
      </c>
      <c r="B41" s="37">
        <v>1838</v>
      </c>
      <c r="C41" s="37">
        <v>3932</v>
      </c>
      <c r="D41" s="37">
        <v>27499</v>
      </c>
      <c r="E41" s="37">
        <v>33269</v>
      </c>
      <c r="F41" s="13"/>
    </row>
    <row r="42" spans="1:6" x14ac:dyDescent="0.25">
      <c r="A42" s="39"/>
      <c r="B42" s="39"/>
      <c r="C42" s="39"/>
      <c r="D42" s="39"/>
      <c r="E42" s="39"/>
    </row>
    <row r="43" spans="1:6" ht="15.75" x14ac:dyDescent="0.25">
      <c r="A43" s="45" t="s">
        <v>405</v>
      </c>
      <c r="B43" s="39"/>
      <c r="C43" s="39"/>
      <c r="D43" s="39"/>
      <c r="E43" s="39"/>
    </row>
    <row r="44" spans="1:6" ht="25.5" x14ac:dyDescent="0.25">
      <c r="A44" s="49" t="s">
        <v>41</v>
      </c>
      <c r="B44" s="40" t="s">
        <v>89</v>
      </c>
      <c r="C44" s="40" t="s">
        <v>3</v>
      </c>
      <c r="D44" s="40" t="s">
        <v>244</v>
      </c>
      <c r="E44" s="40" t="s">
        <v>8</v>
      </c>
    </row>
    <row r="45" spans="1:6" x14ac:dyDescent="0.25">
      <c r="A45" s="50" t="s">
        <v>42</v>
      </c>
      <c r="B45" s="36">
        <v>1633</v>
      </c>
      <c r="C45" s="36">
        <v>611</v>
      </c>
      <c r="D45" s="36">
        <v>6098</v>
      </c>
      <c r="E45" s="36">
        <v>8342</v>
      </c>
    </row>
    <row r="46" spans="1:6" x14ac:dyDescent="0.25">
      <c r="A46" s="50" t="s">
        <v>43</v>
      </c>
      <c r="B46" s="36">
        <v>109</v>
      </c>
      <c r="C46" s="36">
        <v>727</v>
      </c>
      <c r="D46" s="36">
        <v>4719</v>
      </c>
      <c r="E46" s="36">
        <v>5555</v>
      </c>
    </row>
    <row r="47" spans="1:6" x14ac:dyDescent="0.25">
      <c r="A47" s="50" t="s">
        <v>227</v>
      </c>
      <c r="B47" s="36">
        <v>8</v>
      </c>
      <c r="C47" s="36">
        <v>197</v>
      </c>
      <c r="D47" s="36">
        <v>4132</v>
      </c>
      <c r="E47" s="36">
        <v>4337</v>
      </c>
    </row>
    <row r="48" spans="1:6" x14ac:dyDescent="0.25">
      <c r="A48" s="50" t="s">
        <v>230</v>
      </c>
      <c r="B48" s="36">
        <v>0</v>
      </c>
      <c r="C48" s="36">
        <v>2232</v>
      </c>
      <c r="D48" s="36">
        <v>11033</v>
      </c>
      <c r="E48" s="36">
        <v>13265</v>
      </c>
    </row>
    <row r="49" spans="1:5" x14ac:dyDescent="0.25">
      <c r="A49" s="50" t="s">
        <v>44</v>
      </c>
      <c r="B49" s="36">
        <v>88</v>
      </c>
      <c r="C49" s="36">
        <v>165</v>
      </c>
      <c r="D49" s="36">
        <v>1517</v>
      </c>
      <c r="E49" s="36">
        <v>1770</v>
      </c>
    </row>
    <row r="50" spans="1:5" x14ac:dyDescent="0.25">
      <c r="A50" s="51" t="s">
        <v>4</v>
      </c>
      <c r="B50" s="37">
        <v>1838</v>
      </c>
      <c r="C50" s="37">
        <v>3932</v>
      </c>
      <c r="D50" s="37">
        <v>27499</v>
      </c>
      <c r="E50" s="37">
        <v>33269</v>
      </c>
    </row>
    <row r="51" spans="1:5" x14ac:dyDescent="0.25">
      <c r="A51" s="39"/>
      <c r="B51" s="39"/>
      <c r="C51" s="39"/>
      <c r="D51" s="39"/>
      <c r="E51" s="39"/>
    </row>
    <row r="52" spans="1:5" ht="15.75" x14ac:dyDescent="0.25">
      <c r="A52" s="45" t="s">
        <v>406</v>
      </c>
      <c r="B52" s="39"/>
      <c r="C52" s="39"/>
      <c r="D52" s="39"/>
      <c r="E52" s="39"/>
    </row>
    <row r="53" spans="1:5" ht="25.5" x14ac:dyDescent="0.25">
      <c r="A53" s="49" t="s">
        <v>9</v>
      </c>
      <c r="B53" s="40" t="s">
        <v>89</v>
      </c>
      <c r="C53" s="40" t="s">
        <v>3</v>
      </c>
      <c r="D53" s="40" t="s">
        <v>244</v>
      </c>
      <c r="E53" s="40" t="s">
        <v>8</v>
      </c>
    </row>
    <row r="54" spans="1:5" x14ac:dyDescent="0.25">
      <c r="A54" s="50" t="s">
        <v>246</v>
      </c>
      <c r="B54" s="36">
        <v>0</v>
      </c>
      <c r="C54" s="36">
        <v>2</v>
      </c>
      <c r="D54" s="36">
        <v>0</v>
      </c>
      <c r="E54" s="36">
        <v>2</v>
      </c>
    </row>
    <row r="55" spans="1:5" x14ac:dyDescent="0.25">
      <c r="A55" s="50" t="s">
        <v>247</v>
      </c>
      <c r="B55" s="128">
        <v>0</v>
      </c>
      <c r="C55" s="128">
        <v>0</v>
      </c>
      <c r="D55" s="128">
        <v>0</v>
      </c>
      <c r="E55" s="128">
        <v>0</v>
      </c>
    </row>
    <row r="56" spans="1:5" x14ac:dyDescent="0.25">
      <c r="A56" s="50" t="s">
        <v>248</v>
      </c>
      <c r="B56" s="128">
        <v>0</v>
      </c>
      <c r="C56" s="128">
        <v>25</v>
      </c>
      <c r="D56" s="128">
        <v>0</v>
      </c>
      <c r="E56" s="128">
        <v>25</v>
      </c>
    </row>
    <row r="57" spans="1:5" x14ac:dyDescent="0.25">
      <c r="A57" s="50" t="s">
        <v>249</v>
      </c>
      <c r="B57" s="36">
        <v>0</v>
      </c>
      <c r="C57" s="36">
        <v>0</v>
      </c>
      <c r="D57" s="36">
        <v>14</v>
      </c>
      <c r="E57" s="36">
        <v>14</v>
      </c>
    </row>
    <row r="58" spans="1:5" x14ac:dyDescent="0.25">
      <c r="A58" s="50" t="s">
        <v>250</v>
      </c>
      <c r="B58" s="36">
        <v>12</v>
      </c>
      <c r="C58" s="36">
        <v>56</v>
      </c>
      <c r="D58" s="36">
        <v>329</v>
      </c>
      <c r="E58" s="36">
        <v>397</v>
      </c>
    </row>
    <row r="59" spans="1:5" x14ac:dyDescent="0.25">
      <c r="A59" s="50" t="s">
        <v>251</v>
      </c>
      <c r="B59" s="36">
        <v>162</v>
      </c>
      <c r="C59" s="36">
        <v>259</v>
      </c>
      <c r="D59" s="36">
        <v>296</v>
      </c>
      <c r="E59" s="36">
        <v>717</v>
      </c>
    </row>
    <row r="60" spans="1:5" x14ac:dyDescent="0.25">
      <c r="A60" s="81" t="s">
        <v>262</v>
      </c>
      <c r="B60" s="36">
        <v>1331</v>
      </c>
      <c r="C60" s="36">
        <v>3328</v>
      </c>
      <c r="D60" s="36">
        <v>22799</v>
      </c>
      <c r="E60" s="36">
        <v>27458</v>
      </c>
    </row>
    <row r="61" spans="1:5" x14ac:dyDescent="0.25">
      <c r="A61" s="81" t="s">
        <v>298</v>
      </c>
      <c r="B61" s="128">
        <v>0</v>
      </c>
      <c r="C61" s="128">
        <v>0</v>
      </c>
      <c r="D61" s="128">
        <v>0</v>
      </c>
      <c r="E61" s="128">
        <v>0</v>
      </c>
    </row>
    <row r="62" spans="1:5" x14ac:dyDescent="0.25">
      <c r="A62" s="50" t="s">
        <v>252</v>
      </c>
      <c r="B62" s="36">
        <v>20</v>
      </c>
      <c r="C62" s="36">
        <v>1</v>
      </c>
      <c r="D62" s="36">
        <v>261</v>
      </c>
      <c r="E62" s="36">
        <v>282</v>
      </c>
    </row>
    <row r="63" spans="1:5" x14ac:dyDescent="0.25">
      <c r="A63" s="50" t="s">
        <v>266</v>
      </c>
      <c r="B63" s="128">
        <v>2</v>
      </c>
      <c r="C63" s="128">
        <v>0</v>
      </c>
      <c r="D63" s="128">
        <v>78</v>
      </c>
      <c r="E63" s="128">
        <v>80</v>
      </c>
    </row>
    <row r="64" spans="1:5" x14ac:dyDescent="0.25">
      <c r="A64" s="50" t="s">
        <v>253</v>
      </c>
      <c r="B64" s="36">
        <v>164</v>
      </c>
      <c r="C64" s="36">
        <v>174</v>
      </c>
      <c r="D64" s="36">
        <v>1971</v>
      </c>
      <c r="E64" s="36">
        <v>2309</v>
      </c>
    </row>
    <row r="65" spans="1:5" x14ac:dyDescent="0.25">
      <c r="A65" s="50" t="s">
        <v>254</v>
      </c>
      <c r="B65" s="36">
        <v>117</v>
      </c>
      <c r="C65" s="36">
        <v>51</v>
      </c>
      <c r="D65" s="36">
        <v>1586</v>
      </c>
      <c r="E65" s="36">
        <v>1754</v>
      </c>
    </row>
    <row r="66" spans="1:5" x14ac:dyDescent="0.25">
      <c r="A66" s="50" t="s">
        <v>255</v>
      </c>
      <c r="B66" s="36">
        <v>23</v>
      </c>
      <c r="C66" s="36">
        <v>2</v>
      </c>
      <c r="D66" s="36">
        <v>82</v>
      </c>
      <c r="E66" s="36">
        <v>107</v>
      </c>
    </row>
    <row r="67" spans="1:5" x14ac:dyDescent="0.25">
      <c r="A67" s="50" t="s">
        <v>256</v>
      </c>
      <c r="B67" s="36">
        <v>7</v>
      </c>
      <c r="C67" s="36">
        <v>34</v>
      </c>
      <c r="D67" s="36">
        <v>83</v>
      </c>
      <c r="E67" s="36">
        <v>124</v>
      </c>
    </row>
    <row r="68" spans="1:5" x14ac:dyDescent="0.25">
      <c r="A68" s="50" t="s">
        <v>257</v>
      </c>
      <c r="B68" s="36">
        <v>0</v>
      </c>
      <c r="C68" s="36">
        <v>0</v>
      </c>
      <c r="D68" s="36">
        <v>0</v>
      </c>
      <c r="E68" s="36">
        <v>0</v>
      </c>
    </row>
    <row r="69" spans="1:5" x14ac:dyDescent="0.25">
      <c r="A69" s="50" t="s">
        <v>259</v>
      </c>
      <c r="B69" s="36">
        <v>0</v>
      </c>
      <c r="C69" s="36">
        <v>0</v>
      </c>
      <c r="D69" s="36">
        <v>0</v>
      </c>
      <c r="E69" s="36">
        <v>0</v>
      </c>
    </row>
    <row r="70" spans="1:5" x14ac:dyDescent="0.25">
      <c r="A70" s="51" t="s">
        <v>4</v>
      </c>
      <c r="B70" s="37">
        <v>1838</v>
      </c>
      <c r="C70" s="37">
        <v>3932</v>
      </c>
      <c r="D70" s="37">
        <v>27499</v>
      </c>
      <c r="E70" s="37">
        <v>33269</v>
      </c>
    </row>
    <row r="71" spans="1:5" x14ac:dyDescent="0.25">
      <c r="A71" s="38"/>
      <c r="B71" s="38"/>
      <c r="C71" s="38"/>
      <c r="D71" s="38"/>
      <c r="E71" s="39"/>
    </row>
    <row r="72" spans="1:5" ht="15.75" x14ac:dyDescent="0.25">
      <c r="A72" s="45" t="s">
        <v>407</v>
      </c>
      <c r="B72" s="39"/>
      <c r="C72" s="39"/>
      <c r="D72" s="39"/>
      <c r="E72" s="39"/>
    </row>
    <row r="73" spans="1:5" x14ac:dyDescent="0.25">
      <c r="A73" s="52" t="s">
        <v>10</v>
      </c>
      <c r="B73" s="40" t="s">
        <v>206</v>
      </c>
      <c r="C73" s="40" t="s">
        <v>207</v>
      </c>
      <c r="D73" s="40" t="s">
        <v>8</v>
      </c>
      <c r="E73" s="39"/>
    </row>
    <row r="74" spans="1:5" x14ac:dyDescent="0.25">
      <c r="A74" s="50" t="s">
        <v>11</v>
      </c>
      <c r="B74" s="41">
        <v>5130</v>
      </c>
      <c r="C74" s="41">
        <v>4503</v>
      </c>
      <c r="D74" s="41">
        <v>9633</v>
      </c>
      <c r="E74" s="39"/>
    </row>
    <row r="75" spans="1:5" x14ac:dyDescent="0.25">
      <c r="A75" s="81" t="s">
        <v>12</v>
      </c>
      <c r="B75" s="41">
        <v>156</v>
      </c>
      <c r="C75" s="41">
        <v>138</v>
      </c>
      <c r="D75" s="41">
        <v>294</v>
      </c>
      <c r="E75" s="39"/>
    </row>
    <row r="76" spans="1:5" x14ac:dyDescent="0.25">
      <c r="A76" s="81" t="s">
        <v>13</v>
      </c>
      <c r="B76" s="41">
        <v>251</v>
      </c>
      <c r="C76" s="41">
        <v>219</v>
      </c>
      <c r="D76" s="41">
        <v>470</v>
      </c>
      <c r="E76" s="39"/>
    </row>
    <row r="77" spans="1:5" x14ac:dyDescent="0.25">
      <c r="A77" s="81" t="s">
        <v>14</v>
      </c>
      <c r="B77" s="41">
        <v>242</v>
      </c>
      <c r="C77" s="41">
        <v>418</v>
      </c>
      <c r="D77" s="41">
        <v>660</v>
      </c>
      <c r="E77" s="39"/>
    </row>
    <row r="78" spans="1:5" x14ac:dyDescent="0.25">
      <c r="A78" s="81" t="s">
        <v>15</v>
      </c>
      <c r="B78" s="41">
        <v>2277</v>
      </c>
      <c r="C78" s="41">
        <v>1188</v>
      </c>
      <c r="D78" s="41">
        <v>3465</v>
      </c>
      <c r="E78" s="39"/>
    </row>
    <row r="79" spans="1:5" x14ac:dyDescent="0.25">
      <c r="A79" s="81" t="s">
        <v>16</v>
      </c>
      <c r="B79" s="41">
        <v>1152</v>
      </c>
      <c r="C79" s="41">
        <v>1032</v>
      </c>
      <c r="D79" s="41">
        <v>2184</v>
      </c>
      <c r="E79" s="39"/>
    </row>
    <row r="80" spans="1:5" x14ac:dyDescent="0.25">
      <c r="A80" s="81" t="s">
        <v>17</v>
      </c>
      <c r="B80" s="41">
        <v>5664</v>
      </c>
      <c r="C80" s="41">
        <v>1779</v>
      </c>
      <c r="D80" s="41">
        <v>7443</v>
      </c>
      <c r="E80" s="39"/>
    </row>
    <row r="81" spans="1:5" x14ac:dyDescent="0.25">
      <c r="A81" s="81" t="s">
        <v>18</v>
      </c>
      <c r="B81" s="41">
        <v>96</v>
      </c>
      <c r="C81" s="41">
        <v>79</v>
      </c>
      <c r="D81" s="41">
        <v>175</v>
      </c>
      <c r="E81" s="39"/>
    </row>
    <row r="82" spans="1:5" x14ac:dyDescent="0.25">
      <c r="A82" s="81" t="s">
        <v>19</v>
      </c>
      <c r="B82" s="41">
        <v>5036</v>
      </c>
      <c r="C82" s="41">
        <v>2269</v>
      </c>
      <c r="D82" s="41">
        <v>7305</v>
      </c>
      <c r="E82" s="39"/>
    </row>
    <row r="83" spans="1:5" x14ac:dyDescent="0.25">
      <c r="A83" s="81" t="s">
        <v>20</v>
      </c>
      <c r="B83" s="41">
        <v>534</v>
      </c>
      <c r="C83" s="41">
        <v>1106</v>
      </c>
      <c r="D83" s="41">
        <v>1640</v>
      </c>
      <c r="E83" s="39"/>
    </row>
    <row r="84" spans="1:5" x14ac:dyDescent="0.25">
      <c r="A84" s="51" t="s">
        <v>260</v>
      </c>
      <c r="B84" s="42">
        <v>20538</v>
      </c>
      <c r="C84" s="42">
        <v>12731</v>
      </c>
      <c r="D84" s="42">
        <v>33269</v>
      </c>
      <c r="E84" s="39"/>
    </row>
    <row r="85" spans="1:5" x14ac:dyDescent="0.25">
      <c r="A85" s="39"/>
      <c r="B85" s="39"/>
      <c r="C85" s="39"/>
      <c r="D85" s="39"/>
      <c r="E85" s="39"/>
    </row>
    <row r="86" spans="1:5" ht="15.75" x14ac:dyDescent="0.25">
      <c r="A86" s="45" t="s">
        <v>408</v>
      </c>
      <c r="B86" s="39"/>
      <c r="C86" s="39"/>
      <c r="D86" s="39"/>
      <c r="E86" s="39"/>
    </row>
    <row r="87" spans="1:5" x14ac:dyDescent="0.25">
      <c r="A87" s="52" t="s">
        <v>9</v>
      </c>
      <c r="B87" s="40" t="s">
        <v>206</v>
      </c>
      <c r="C87" s="40" t="s">
        <v>207</v>
      </c>
      <c r="D87" s="40" t="s">
        <v>8</v>
      </c>
      <c r="E87" s="39"/>
    </row>
    <row r="88" spans="1:5" x14ac:dyDescent="0.25">
      <c r="A88" s="50" t="s">
        <v>246</v>
      </c>
      <c r="B88" s="127">
        <v>1</v>
      </c>
      <c r="C88" s="41">
        <v>1</v>
      </c>
      <c r="D88" s="41">
        <v>2</v>
      </c>
      <c r="E88" s="39"/>
    </row>
    <row r="89" spans="1:5" x14ac:dyDescent="0.25">
      <c r="A89" s="50" t="s">
        <v>247</v>
      </c>
      <c r="B89" s="41">
        <v>0</v>
      </c>
      <c r="C89" s="41">
        <v>0</v>
      </c>
      <c r="D89" s="41">
        <v>0</v>
      </c>
      <c r="E89" s="39"/>
    </row>
    <row r="90" spans="1:5" x14ac:dyDescent="0.25">
      <c r="A90" s="50" t="s">
        <v>248</v>
      </c>
      <c r="B90" s="41">
        <v>21</v>
      </c>
      <c r="C90" s="41">
        <v>4</v>
      </c>
      <c r="D90" s="41">
        <v>25</v>
      </c>
      <c r="E90" s="39"/>
    </row>
    <row r="91" spans="1:5" x14ac:dyDescent="0.25">
      <c r="A91" s="50" t="s">
        <v>249</v>
      </c>
      <c r="B91" s="41">
        <v>6</v>
      </c>
      <c r="C91" s="41">
        <v>8</v>
      </c>
      <c r="D91" s="41">
        <v>14</v>
      </c>
      <c r="E91" s="39"/>
    </row>
    <row r="92" spans="1:5" x14ac:dyDescent="0.25">
      <c r="A92" s="50" t="s">
        <v>250</v>
      </c>
      <c r="B92" s="41">
        <v>235</v>
      </c>
      <c r="C92" s="41">
        <v>162</v>
      </c>
      <c r="D92" s="41">
        <v>397</v>
      </c>
      <c r="E92" s="39"/>
    </row>
    <row r="93" spans="1:5" x14ac:dyDescent="0.25">
      <c r="A93" s="50" t="s">
        <v>251</v>
      </c>
      <c r="B93" s="41">
        <v>414</v>
      </c>
      <c r="C93" s="41">
        <v>303</v>
      </c>
      <c r="D93" s="41">
        <v>717</v>
      </c>
      <c r="E93" s="39"/>
    </row>
    <row r="94" spans="1:5" x14ac:dyDescent="0.25">
      <c r="A94" s="86" t="s">
        <v>262</v>
      </c>
      <c r="B94" s="41">
        <v>16907</v>
      </c>
      <c r="C94" s="41">
        <v>10551</v>
      </c>
      <c r="D94" s="41">
        <v>27458</v>
      </c>
      <c r="E94" s="39"/>
    </row>
    <row r="95" spans="1:5" x14ac:dyDescent="0.25">
      <c r="A95" s="81" t="s">
        <v>298</v>
      </c>
      <c r="B95" s="41">
        <v>0</v>
      </c>
      <c r="C95" s="41">
        <v>0</v>
      </c>
      <c r="D95" s="41">
        <v>0</v>
      </c>
      <c r="E95" s="39"/>
    </row>
    <row r="96" spans="1:5" x14ac:dyDescent="0.25">
      <c r="A96" s="50" t="s">
        <v>252</v>
      </c>
      <c r="B96" s="41">
        <v>160</v>
      </c>
      <c r="C96" s="41">
        <v>122</v>
      </c>
      <c r="D96" s="41">
        <v>282</v>
      </c>
      <c r="E96" s="39"/>
    </row>
    <row r="97" spans="1:5" x14ac:dyDescent="0.25">
      <c r="A97" s="50" t="s">
        <v>266</v>
      </c>
      <c r="B97" s="41">
        <v>56</v>
      </c>
      <c r="C97" s="41">
        <v>24</v>
      </c>
      <c r="D97" s="41">
        <v>80</v>
      </c>
      <c r="E97" s="39"/>
    </row>
    <row r="98" spans="1:5" x14ac:dyDescent="0.25">
      <c r="A98" s="50" t="s">
        <v>253</v>
      </c>
      <c r="B98" s="41">
        <v>1466</v>
      </c>
      <c r="C98" s="41">
        <v>843</v>
      </c>
      <c r="D98" s="41">
        <v>2309</v>
      </c>
      <c r="E98" s="39"/>
    </row>
    <row r="99" spans="1:5" x14ac:dyDescent="0.25">
      <c r="A99" s="50" t="s">
        <v>254</v>
      </c>
      <c r="B99" s="41">
        <v>1109</v>
      </c>
      <c r="C99" s="41">
        <v>645</v>
      </c>
      <c r="D99" s="41">
        <v>1754</v>
      </c>
      <c r="E99" s="39"/>
    </row>
    <row r="100" spans="1:5" x14ac:dyDescent="0.25">
      <c r="A100" s="50" t="s">
        <v>255</v>
      </c>
      <c r="B100" s="41">
        <v>68</v>
      </c>
      <c r="C100" s="41">
        <v>39</v>
      </c>
      <c r="D100" s="41">
        <v>107</v>
      </c>
      <c r="E100" s="39"/>
    </row>
    <row r="101" spans="1:5" x14ac:dyDescent="0.25">
      <c r="A101" s="50" t="s">
        <v>256</v>
      </c>
      <c r="B101" s="41">
        <v>95</v>
      </c>
      <c r="C101" s="41">
        <v>29</v>
      </c>
      <c r="D101" s="41">
        <v>124</v>
      </c>
      <c r="E101" s="39"/>
    </row>
    <row r="102" spans="1:5" x14ac:dyDescent="0.25">
      <c r="A102" s="50" t="s">
        <v>257</v>
      </c>
      <c r="B102" s="41">
        <v>0</v>
      </c>
      <c r="C102" s="41">
        <v>0</v>
      </c>
      <c r="D102" s="41">
        <v>0</v>
      </c>
      <c r="E102" s="39"/>
    </row>
    <row r="103" spans="1:5" x14ac:dyDescent="0.25">
      <c r="A103" s="50" t="s">
        <v>259</v>
      </c>
      <c r="B103" s="41">
        <v>0</v>
      </c>
      <c r="C103" s="41">
        <v>0</v>
      </c>
      <c r="D103" s="41">
        <v>0</v>
      </c>
      <c r="E103" s="39"/>
    </row>
    <row r="104" spans="1:5" x14ac:dyDescent="0.25">
      <c r="A104" s="72" t="s">
        <v>4</v>
      </c>
      <c r="B104" s="42">
        <v>20538</v>
      </c>
      <c r="C104" s="42">
        <v>12731</v>
      </c>
      <c r="D104" s="42">
        <v>33269</v>
      </c>
      <c r="E104" s="39"/>
    </row>
    <row r="105" spans="1:5" x14ac:dyDescent="0.25">
      <c r="A105" s="39"/>
      <c r="B105" s="39"/>
      <c r="C105" s="39"/>
      <c r="D105" s="39"/>
      <c r="E105" s="39"/>
    </row>
    <row r="106" spans="1:5" x14ac:dyDescent="0.25">
      <c r="A106" s="39"/>
      <c r="B106" s="39"/>
      <c r="C106" s="39"/>
      <c r="D106" s="39"/>
      <c r="E106" s="39"/>
    </row>
    <row r="107" spans="1:5" x14ac:dyDescent="0.25">
      <c r="A107" s="61" t="s">
        <v>238</v>
      </c>
      <c r="B107" s="64"/>
      <c r="C107" s="64"/>
      <c r="D107" s="64"/>
      <c r="E107" s="64"/>
    </row>
    <row r="108" spans="1:5" x14ac:dyDescent="0.25">
      <c r="A108" s="64"/>
      <c r="B108" s="64"/>
      <c r="C108" s="64"/>
      <c r="D108" s="64"/>
      <c r="E108" s="64"/>
    </row>
    <row r="109" spans="1:5" x14ac:dyDescent="0.25">
      <c r="A109" s="65" t="s">
        <v>21</v>
      </c>
      <c r="B109" s="64"/>
      <c r="C109" s="64"/>
      <c r="D109" s="64"/>
      <c r="E109" s="64"/>
    </row>
    <row r="110" spans="1:5" x14ac:dyDescent="0.25">
      <c r="A110" s="64"/>
      <c r="B110" s="64"/>
      <c r="C110" s="64"/>
      <c r="D110" s="64"/>
      <c r="E110" s="64"/>
    </row>
    <row r="111" spans="1:5" x14ac:dyDescent="0.25">
      <c r="A111" s="64"/>
      <c r="B111" s="64"/>
      <c r="C111" s="64"/>
      <c r="D111" s="64"/>
    </row>
    <row r="112" spans="1:5" x14ac:dyDescent="0.25">
      <c r="A112" s="64"/>
      <c r="B112" s="64"/>
      <c r="C112" s="64"/>
      <c r="D112" s="64"/>
    </row>
    <row r="113" spans="1:4" x14ac:dyDescent="0.25">
      <c r="A113" s="64"/>
      <c r="B113" s="64"/>
      <c r="C113" s="64"/>
      <c r="D113" s="64"/>
    </row>
    <row r="114" spans="1:4" x14ac:dyDescent="0.25">
      <c r="A114" s="64"/>
      <c r="B114" s="64"/>
      <c r="C114" s="64"/>
      <c r="D114" s="64"/>
    </row>
    <row r="115" spans="1:4" x14ac:dyDescent="0.25">
      <c r="A115" s="64"/>
      <c r="B115" s="64"/>
      <c r="C115" s="64"/>
      <c r="D115" s="64"/>
    </row>
    <row r="116" spans="1:4" x14ac:dyDescent="0.25">
      <c r="A116" s="64"/>
      <c r="B116" s="64"/>
      <c r="C116" s="64"/>
      <c r="D116" s="64"/>
    </row>
    <row r="117" spans="1:4" x14ac:dyDescent="0.25">
      <c r="A117" s="64"/>
      <c r="B117" s="64"/>
      <c r="C117" s="64"/>
      <c r="D117" s="64"/>
    </row>
    <row r="118" spans="1:4" x14ac:dyDescent="0.25">
      <c r="A118" s="64"/>
      <c r="B118" s="64"/>
      <c r="C118" s="64"/>
      <c r="D118" s="64"/>
    </row>
    <row r="119" spans="1:4" x14ac:dyDescent="0.25">
      <c r="A119" s="64"/>
      <c r="B119" s="64"/>
      <c r="C119" s="64"/>
      <c r="D119" s="64"/>
    </row>
    <row r="120" spans="1:4" x14ac:dyDescent="0.25">
      <c r="A120" s="64"/>
      <c r="B120" s="64"/>
      <c r="C120" s="64"/>
      <c r="D120" s="64"/>
    </row>
    <row r="121" spans="1:4" x14ac:dyDescent="0.25">
      <c r="A121" s="64"/>
      <c r="B121" s="64"/>
      <c r="C121" s="64"/>
      <c r="D121" s="64"/>
    </row>
    <row r="122" spans="1:4" x14ac:dyDescent="0.25">
      <c r="A122" s="64"/>
      <c r="B122" s="64"/>
      <c r="C122" s="64"/>
      <c r="D122" s="64"/>
    </row>
    <row r="123" spans="1:4" x14ac:dyDescent="0.25">
      <c r="A123" s="64"/>
      <c r="B123" s="64"/>
      <c r="C123" s="64"/>
      <c r="D123" s="64"/>
    </row>
  </sheetData>
  <hyperlinks>
    <hyperlink ref="A109" location="Indice!A5" display="Volver al índice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showGridLines="0" zoomScale="90" zoomScaleNormal="9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40.42578125" style="1" customWidth="1"/>
    <col min="2" max="6" width="8.42578125" style="1" customWidth="1"/>
    <col min="7" max="7" width="6.85546875" style="1" customWidth="1"/>
    <col min="8" max="10" width="8" style="1" customWidth="1"/>
    <col min="11" max="12" width="8" style="1" bestFit="1" customWidth="1"/>
    <col min="13" max="16" width="8" style="1" customWidth="1"/>
    <col min="17" max="20" width="12.7109375" style="1" customWidth="1"/>
    <col min="21" max="16384" width="10.85546875" style="2"/>
  </cols>
  <sheetData>
    <row r="1" spans="1:20" ht="21" x14ac:dyDescent="0.25">
      <c r="A1" s="58" t="s">
        <v>287</v>
      </c>
      <c r="B1" s="58"/>
      <c r="C1" s="58"/>
      <c r="D1" s="58"/>
      <c r="E1" s="58"/>
      <c r="F1" s="58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25.5" customHeight="1" x14ac:dyDescent="0.25">
      <c r="A2" s="33"/>
      <c r="B2" s="33"/>
      <c r="C2" s="33"/>
      <c r="D2" s="33"/>
      <c r="E2" s="33"/>
      <c r="F2" s="33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20" ht="15.75" x14ac:dyDescent="0.25">
      <c r="A4" s="23" t="s">
        <v>323</v>
      </c>
      <c r="B4" s="23"/>
      <c r="C4" s="23"/>
      <c r="D4" s="23"/>
      <c r="E4" s="23"/>
      <c r="F4" s="23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ht="24.75" customHeight="1" x14ac:dyDescent="0.25">
      <c r="A5" s="78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12" t="s">
        <v>370</v>
      </c>
      <c r="R5" s="12" t="s">
        <v>371</v>
      </c>
      <c r="S5" s="12" t="s">
        <v>372</v>
      </c>
      <c r="T5" s="12" t="s">
        <v>373</v>
      </c>
    </row>
    <row r="6" spans="1:20" x14ac:dyDescent="0.25">
      <c r="A6" s="4" t="s">
        <v>5</v>
      </c>
      <c r="B6" s="4">
        <v>0</v>
      </c>
      <c r="C6" s="4">
        <v>0</v>
      </c>
      <c r="D6" s="4">
        <v>10</v>
      </c>
      <c r="E6" s="4">
        <v>11</v>
      </c>
      <c r="F6" s="4">
        <v>13</v>
      </c>
      <c r="G6" s="4">
        <v>8</v>
      </c>
      <c r="H6" s="4">
        <v>10</v>
      </c>
      <c r="I6" s="4">
        <v>0</v>
      </c>
      <c r="J6" s="4">
        <v>0</v>
      </c>
      <c r="K6" s="4">
        <v>9</v>
      </c>
      <c r="L6" s="4">
        <v>10</v>
      </c>
      <c r="M6" s="4">
        <v>5</v>
      </c>
      <c r="N6" s="4">
        <v>3</v>
      </c>
      <c r="O6" s="4">
        <v>3</v>
      </c>
      <c r="P6" s="4">
        <v>7</v>
      </c>
      <c r="Q6" s="89">
        <f>(P6-G6)/G6</f>
        <v>-0.125</v>
      </c>
      <c r="R6" s="96">
        <f>(P6-L6)/L6</f>
        <v>-0.3</v>
      </c>
      <c r="S6" s="96">
        <f>(P6-O6)/O6</f>
        <v>1.3333333333333333</v>
      </c>
      <c r="T6" s="98">
        <f>P6/P$9</f>
        <v>2.1040608374162133E-4</v>
      </c>
    </row>
    <row r="7" spans="1:20" x14ac:dyDescent="0.25">
      <c r="A7" s="4" t="s">
        <v>6</v>
      </c>
      <c r="B7" s="4">
        <v>0</v>
      </c>
      <c r="C7" s="4">
        <v>0</v>
      </c>
      <c r="D7" s="4">
        <v>28</v>
      </c>
      <c r="E7" s="4">
        <v>0</v>
      </c>
      <c r="F7" s="4">
        <v>0</v>
      </c>
      <c r="G7" s="4">
        <v>0</v>
      </c>
      <c r="H7" s="4">
        <v>5</v>
      </c>
      <c r="I7" s="4">
        <v>21</v>
      </c>
      <c r="J7" s="4">
        <v>256</v>
      </c>
      <c r="K7" s="4">
        <v>2641</v>
      </c>
      <c r="L7" s="4">
        <v>1162</v>
      </c>
      <c r="M7" s="4">
        <v>876</v>
      </c>
      <c r="N7" s="4">
        <v>1408</v>
      </c>
      <c r="O7" s="4">
        <v>1065</v>
      </c>
      <c r="P7" s="4">
        <v>1117</v>
      </c>
      <c r="Q7" s="89" t="s">
        <v>24</v>
      </c>
      <c r="R7" s="96">
        <f>(P7-L7)/L7</f>
        <v>-3.8726333907056799E-2</v>
      </c>
      <c r="S7" s="96">
        <f>(P7-O7)/O7</f>
        <v>4.8826291079812206E-2</v>
      </c>
      <c r="T7" s="98">
        <f>P7/P$9</f>
        <v>3.357479936277015E-2</v>
      </c>
    </row>
    <row r="8" spans="1:20" x14ac:dyDescent="0.25">
      <c r="A8" s="4" t="s">
        <v>7</v>
      </c>
      <c r="B8" s="4">
        <v>5016</v>
      </c>
      <c r="C8" s="4">
        <v>7654</v>
      </c>
      <c r="D8" s="4">
        <v>8745</v>
      </c>
      <c r="E8" s="4">
        <v>8842</v>
      </c>
      <c r="F8" s="4">
        <v>8717</v>
      </c>
      <c r="G8" s="4">
        <v>9682</v>
      </c>
      <c r="H8" s="4">
        <v>12560</v>
      </c>
      <c r="I8" s="4">
        <v>12874</v>
      </c>
      <c r="J8" s="4">
        <v>13259</v>
      </c>
      <c r="K8" s="4">
        <v>16301</v>
      </c>
      <c r="L8" s="4">
        <v>21438</v>
      </c>
      <c r="M8" s="4">
        <v>24054</v>
      </c>
      <c r="N8" s="4">
        <v>27812</v>
      </c>
      <c r="O8" s="4">
        <v>26268</v>
      </c>
      <c r="P8" s="4">
        <v>32145</v>
      </c>
      <c r="Q8" s="89">
        <f>(P8-G8)/G8</f>
        <v>2.3200784961784757</v>
      </c>
      <c r="R8" s="96">
        <f>(P8-L8)/L8</f>
        <v>0.4994402462916317</v>
      </c>
      <c r="S8" s="96">
        <f>(P8-O8)/O8</f>
        <v>0.22373229785290086</v>
      </c>
      <c r="T8" s="98">
        <f>P8/P$9</f>
        <v>0.96621479455348824</v>
      </c>
    </row>
    <row r="9" spans="1:20" x14ac:dyDescent="0.25">
      <c r="A9" s="5" t="s">
        <v>4</v>
      </c>
      <c r="B9" s="5">
        <v>5016</v>
      </c>
      <c r="C9" s="5">
        <v>7654</v>
      </c>
      <c r="D9" s="5">
        <v>8783</v>
      </c>
      <c r="E9" s="5">
        <v>8853</v>
      </c>
      <c r="F9" s="5">
        <v>8730</v>
      </c>
      <c r="G9" s="5">
        <v>9690</v>
      </c>
      <c r="H9" s="5">
        <v>12575</v>
      </c>
      <c r="I9" s="5">
        <v>12895</v>
      </c>
      <c r="J9" s="5">
        <v>13515</v>
      </c>
      <c r="K9" s="5">
        <v>18951</v>
      </c>
      <c r="L9" s="5">
        <v>22610</v>
      </c>
      <c r="M9" s="5">
        <v>24935</v>
      </c>
      <c r="N9" s="5">
        <v>29223</v>
      </c>
      <c r="O9" s="5">
        <v>27336</v>
      </c>
      <c r="P9" s="5">
        <v>33269</v>
      </c>
      <c r="Q9" s="73">
        <f>(P9-G9)/G9</f>
        <v>2.4333333333333331</v>
      </c>
      <c r="R9" s="97">
        <f>(P9-L9)/L9</f>
        <v>0.47142857142857142</v>
      </c>
      <c r="S9" s="97">
        <f>(P9-O9)/O9</f>
        <v>0.21703980099502487</v>
      </c>
      <c r="T9" s="99">
        <f>P9/P$9</f>
        <v>1</v>
      </c>
    </row>
    <row r="10" spans="1:20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0" ht="15.75" x14ac:dyDescent="0.25">
      <c r="A11" s="23" t="s">
        <v>324</v>
      </c>
      <c r="B11" s="23"/>
      <c r="C11" s="23"/>
      <c r="D11" s="23"/>
      <c r="E11" s="23"/>
      <c r="F11" s="2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0" ht="25.5" customHeight="1" x14ac:dyDescent="0.25">
      <c r="A12" s="78" t="s">
        <v>87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12" t="s">
        <v>370</v>
      </c>
      <c r="R12" s="12" t="s">
        <v>371</v>
      </c>
      <c r="S12" s="12" t="s">
        <v>372</v>
      </c>
      <c r="T12" s="12" t="s">
        <v>373</v>
      </c>
    </row>
    <row r="13" spans="1:20" x14ac:dyDescent="0.25">
      <c r="A13" s="4" t="s">
        <v>89</v>
      </c>
      <c r="B13" s="4">
        <v>816</v>
      </c>
      <c r="C13" s="4">
        <v>912</v>
      </c>
      <c r="D13" s="4">
        <v>856</v>
      </c>
      <c r="E13" s="4">
        <v>979</v>
      </c>
      <c r="F13" s="4">
        <v>931</v>
      </c>
      <c r="G13" s="4">
        <v>1068</v>
      </c>
      <c r="H13" s="4">
        <v>1220</v>
      </c>
      <c r="I13" s="4">
        <v>1342</v>
      </c>
      <c r="J13" s="4">
        <v>1496</v>
      </c>
      <c r="K13" s="4">
        <v>1923</v>
      </c>
      <c r="L13" s="4">
        <v>1733</v>
      </c>
      <c r="M13" s="4">
        <v>2214</v>
      </c>
      <c r="N13" s="4">
        <v>2099</v>
      </c>
      <c r="O13" s="4">
        <v>1654</v>
      </c>
      <c r="P13" s="4">
        <v>1838</v>
      </c>
      <c r="Q13" s="89">
        <f>(P13-G13)/G13</f>
        <v>0.72097378277153557</v>
      </c>
      <c r="R13" s="96">
        <f>(P13-L13)/L13</f>
        <v>6.0588574725908825E-2</v>
      </c>
      <c r="S13" s="96">
        <f>(P13-O13)/O13</f>
        <v>0.11124546553808948</v>
      </c>
      <c r="T13" s="98">
        <f>P13/P$9</f>
        <v>5.524662598815714E-2</v>
      </c>
    </row>
    <row r="14" spans="1:20" x14ac:dyDescent="0.25">
      <c r="A14" s="4" t="s">
        <v>3</v>
      </c>
      <c r="B14" s="4">
        <v>1765</v>
      </c>
      <c r="C14" s="4">
        <v>2833</v>
      </c>
      <c r="D14" s="4">
        <v>3064</v>
      </c>
      <c r="E14" s="4">
        <v>2664</v>
      </c>
      <c r="F14" s="4">
        <v>3680</v>
      </c>
      <c r="G14" s="4">
        <v>2578</v>
      </c>
      <c r="H14" s="4">
        <v>4117</v>
      </c>
      <c r="I14" s="4">
        <v>3813</v>
      </c>
      <c r="J14" s="4">
        <v>3193</v>
      </c>
      <c r="K14" s="4">
        <v>5321</v>
      </c>
      <c r="L14" s="4">
        <v>4144</v>
      </c>
      <c r="M14" s="4">
        <v>3473</v>
      </c>
      <c r="N14" s="4">
        <v>3791</v>
      </c>
      <c r="O14" s="4">
        <v>2616</v>
      </c>
      <c r="P14" s="4">
        <v>3932</v>
      </c>
      <c r="Q14" s="96">
        <f>(P14-G14)/G14</f>
        <v>0.52521334367726924</v>
      </c>
      <c r="R14" s="96">
        <f>(P14-L14)/L14</f>
        <v>-5.115830115830116E-2</v>
      </c>
      <c r="S14" s="96">
        <f>(P14-O14)/O14</f>
        <v>0.50305810397553519</v>
      </c>
      <c r="T14" s="98">
        <f>P14/P$9</f>
        <v>0.11818810303886501</v>
      </c>
    </row>
    <row r="15" spans="1:20" x14ac:dyDescent="0.25">
      <c r="A15" s="4" t="s">
        <v>90</v>
      </c>
      <c r="B15" s="4">
        <v>2435</v>
      </c>
      <c r="C15" s="4">
        <v>3909</v>
      </c>
      <c r="D15" s="4">
        <v>4863</v>
      </c>
      <c r="E15" s="4">
        <v>5210</v>
      </c>
      <c r="F15" s="4">
        <v>4119</v>
      </c>
      <c r="G15" s="4">
        <v>6044</v>
      </c>
      <c r="H15" s="4">
        <v>7238</v>
      </c>
      <c r="I15" s="4">
        <v>7740</v>
      </c>
      <c r="J15" s="4">
        <v>8826</v>
      </c>
      <c r="K15" s="4">
        <v>11707</v>
      </c>
      <c r="L15" s="4">
        <v>16733</v>
      </c>
      <c r="M15" s="4">
        <v>19248</v>
      </c>
      <c r="N15" s="4">
        <v>23333</v>
      </c>
      <c r="O15" s="4">
        <v>23066</v>
      </c>
      <c r="P15" s="4">
        <v>27499</v>
      </c>
      <c r="Q15" s="96">
        <f>(P15-G15)/G15</f>
        <v>3.5498014559894111</v>
      </c>
      <c r="R15" s="96">
        <f>(P15-L15)/L15</f>
        <v>0.64339927090181082</v>
      </c>
      <c r="S15" s="96">
        <f>(P15-O15)/O15</f>
        <v>0.19218763548079423</v>
      </c>
      <c r="T15" s="98">
        <f>P15/P$9</f>
        <v>0.82656527097297783</v>
      </c>
    </row>
    <row r="16" spans="1:20" x14ac:dyDescent="0.25">
      <c r="A16" s="5" t="s">
        <v>4</v>
      </c>
      <c r="B16" s="5">
        <v>5016</v>
      </c>
      <c r="C16" s="5">
        <v>7654</v>
      </c>
      <c r="D16" s="5">
        <v>8783</v>
      </c>
      <c r="E16" s="5">
        <v>8853</v>
      </c>
      <c r="F16" s="5">
        <v>8730</v>
      </c>
      <c r="G16" s="5">
        <v>9690</v>
      </c>
      <c r="H16" s="5">
        <v>12575</v>
      </c>
      <c r="I16" s="5">
        <v>12895</v>
      </c>
      <c r="J16" s="5">
        <v>13515</v>
      </c>
      <c r="K16" s="5">
        <v>18951</v>
      </c>
      <c r="L16" s="5">
        <v>22610</v>
      </c>
      <c r="M16" s="5">
        <v>24935</v>
      </c>
      <c r="N16" s="5">
        <v>29223</v>
      </c>
      <c r="O16" s="5">
        <v>27336</v>
      </c>
      <c r="P16" s="5">
        <v>33269</v>
      </c>
      <c r="Q16" s="73">
        <f>(P16-G16)/G16</f>
        <v>2.4333333333333331</v>
      </c>
      <c r="R16" s="73">
        <f>(P16-L16)/L16</f>
        <v>0.47142857142857142</v>
      </c>
      <c r="S16" s="97">
        <f>(P16-O16)/O16</f>
        <v>0.21703980099502487</v>
      </c>
      <c r="T16" s="14">
        <f>P16/P$9</f>
        <v>1</v>
      </c>
    </row>
    <row r="17" spans="1:20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ht="15.75" x14ac:dyDescent="0.25">
      <c r="A18" s="23" t="s">
        <v>325</v>
      </c>
      <c r="B18" s="23"/>
      <c r="C18" s="23"/>
      <c r="D18" s="23"/>
      <c r="E18" s="23"/>
      <c r="F18" s="23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 ht="25.5" customHeight="1" x14ac:dyDescent="0.25">
      <c r="A19" s="78" t="s">
        <v>88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12" t="s">
        <v>370</v>
      </c>
      <c r="R19" s="12" t="s">
        <v>371</v>
      </c>
      <c r="S19" s="12" t="s">
        <v>372</v>
      </c>
      <c r="T19" s="12" t="s">
        <v>373</v>
      </c>
    </row>
    <row r="20" spans="1:20" x14ac:dyDescent="0.25">
      <c r="A20" s="5" t="s">
        <v>5</v>
      </c>
      <c r="B20" s="5">
        <v>0</v>
      </c>
      <c r="C20" s="5">
        <v>0</v>
      </c>
      <c r="D20" s="5">
        <v>10</v>
      </c>
      <c r="E20" s="5">
        <v>11</v>
      </c>
      <c r="F20" s="5">
        <v>13</v>
      </c>
      <c r="G20" s="15">
        <v>8</v>
      </c>
      <c r="H20" s="15">
        <v>10</v>
      </c>
      <c r="I20" s="15">
        <v>0</v>
      </c>
      <c r="J20" s="15">
        <v>0</v>
      </c>
      <c r="K20" s="15">
        <v>9</v>
      </c>
      <c r="L20" s="15">
        <v>10</v>
      </c>
      <c r="M20" s="15">
        <v>5</v>
      </c>
      <c r="N20" s="15">
        <v>3</v>
      </c>
      <c r="O20" s="15">
        <v>3</v>
      </c>
      <c r="P20" s="15">
        <v>7</v>
      </c>
      <c r="Q20" s="73">
        <f t="shared" ref="Q20:Q29" si="0">(P20-G20)/G20</f>
        <v>-0.125</v>
      </c>
      <c r="R20" s="97">
        <f t="shared" ref="R20:R29" si="1">(P20-L20)/L20</f>
        <v>-0.3</v>
      </c>
      <c r="S20" s="97">
        <f t="shared" ref="S20:S29" si="2">(P20-O20)/O20</f>
        <v>1.3333333333333333</v>
      </c>
      <c r="T20" s="99">
        <f t="shared" ref="T20:T29" si="3">P20/P$9</f>
        <v>2.1040608374162133E-4</v>
      </c>
    </row>
    <row r="21" spans="1:20" x14ac:dyDescent="0.25">
      <c r="A21" s="75" t="s">
        <v>90</v>
      </c>
      <c r="B21" s="75">
        <v>0</v>
      </c>
      <c r="C21" s="75">
        <v>0</v>
      </c>
      <c r="D21" s="75">
        <v>10</v>
      </c>
      <c r="E21" s="75">
        <v>11</v>
      </c>
      <c r="F21" s="75">
        <v>13</v>
      </c>
      <c r="G21" s="16">
        <v>8</v>
      </c>
      <c r="H21" s="16">
        <v>10</v>
      </c>
      <c r="I21" s="16">
        <v>0</v>
      </c>
      <c r="J21" s="16">
        <v>0</v>
      </c>
      <c r="K21" s="16">
        <v>9</v>
      </c>
      <c r="L21" s="16">
        <v>10</v>
      </c>
      <c r="M21" s="16">
        <v>5</v>
      </c>
      <c r="N21" s="16">
        <v>3</v>
      </c>
      <c r="O21" s="16">
        <v>3</v>
      </c>
      <c r="P21" s="16">
        <v>7</v>
      </c>
      <c r="Q21" s="89">
        <f t="shared" si="0"/>
        <v>-0.125</v>
      </c>
      <c r="R21" s="96">
        <f t="shared" si="1"/>
        <v>-0.3</v>
      </c>
      <c r="S21" s="96">
        <f t="shared" si="2"/>
        <v>1.3333333333333333</v>
      </c>
      <c r="T21" s="98">
        <f t="shared" si="3"/>
        <v>2.1040608374162133E-4</v>
      </c>
    </row>
    <row r="22" spans="1:20" x14ac:dyDescent="0.25">
      <c r="A22" s="5" t="s">
        <v>6</v>
      </c>
      <c r="B22" s="5">
        <v>0</v>
      </c>
      <c r="C22" s="5">
        <v>0</v>
      </c>
      <c r="D22" s="5">
        <v>28</v>
      </c>
      <c r="E22" s="5">
        <v>0</v>
      </c>
      <c r="F22" s="5">
        <v>0</v>
      </c>
      <c r="G22" s="15">
        <v>0</v>
      </c>
      <c r="H22" s="15">
        <v>5</v>
      </c>
      <c r="I22" s="15">
        <v>21</v>
      </c>
      <c r="J22" s="15">
        <v>256</v>
      </c>
      <c r="K22" s="15">
        <v>2641</v>
      </c>
      <c r="L22" s="15">
        <v>1162</v>
      </c>
      <c r="M22" s="15">
        <v>876</v>
      </c>
      <c r="N22" s="15">
        <v>1408</v>
      </c>
      <c r="O22" s="15">
        <v>1065</v>
      </c>
      <c r="P22" s="15">
        <v>1117</v>
      </c>
      <c r="Q22" s="73" t="s">
        <v>24</v>
      </c>
      <c r="R22" s="97">
        <f t="shared" si="1"/>
        <v>-3.8726333907056799E-2</v>
      </c>
      <c r="S22" s="97">
        <f t="shared" si="2"/>
        <v>4.8826291079812206E-2</v>
      </c>
      <c r="T22" s="99">
        <f t="shared" si="3"/>
        <v>3.357479936277015E-2</v>
      </c>
    </row>
    <row r="23" spans="1:20" x14ac:dyDescent="0.25">
      <c r="A23" s="75" t="s">
        <v>3</v>
      </c>
      <c r="B23" s="75">
        <v>0</v>
      </c>
      <c r="C23" s="75">
        <v>0</v>
      </c>
      <c r="D23" s="75">
        <v>28</v>
      </c>
      <c r="E23" s="75">
        <v>0</v>
      </c>
      <c r="F23" s="75">
        <v>0</v>
      </c>
      <c r="G23" s="16">
        <v>0</v>
      </c>
      <c r="H23" s="16">
        <v>0</v>
      </c>
      <c r="I23" s="16">
        <v>19</v>
      </c>
      <c r="J23" s="16">
        <v>129</v>
      </c>
      <c r="K23" s="16">
        <v>2267</v>
      </c>
      <c r="L23" s="16">
        <v>933</v>
      </c>
      <c r="M23" s="16">
        <v>765</v>
      </c>
      <c r="N23" s="16">
        <v>1045</v>
      </c>
      <c r="O23" s="16">
        <v>744</v>
      </c>
      <c r="P23" s="16">
        <v>874</v>
      </c>
      <c r="Q23" s="89" t="s">
        <v>24</v>
      </c>
      <c r="R23" s="96">
        <f t="shared" si="1"/>
        <v>-6.3236870310825297E-2</v>
      </c>
      <c r="S23" s="96">
        <f t="shared" si="2"/>
        <v>0.17473118279569894</v>
      </c>
      <c r="T23" s="98">
        <f t="shared" si="3"/>
        <v>2.6270702455739578E-2</v>
      </c>
    </row>
    <row r="24" spans="1:20" x14ac:dyDescent="0.25">
      <c r="A24" s="75" t="s">
        <v>90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16">
        <v>0</v>
      </c>
      <c r="H24" s="16">
        <v>5</v>
      </c>
      <c r="I24" s="16">
        <v>2</v>
      </c>
      <c r="J24" s="16">
        <v>127</v>
      </c>
      <c r="K24" s="16">
        <v>374</v>
      </c>
      <c r="L24" s="16">
        <v>229</v>
      </c>
      <c r="M24" s="16">
        <v>111</v>
      </c>
      <c r="N24" s="16">
        <v>363</v>
      </c>
      <c r="O24" s="16">
        <v>321</v>
      </c>
      <c r="P24" s="16">
        <v>243</v>
      </c>
      <c r="Q24" s="89" t="s">
        <v>24</v>
      </c>
      <c r="R24" s="96">
        <f t="shared" si="1"/>
        <v>6.1135371179039298E-2</v>
      </c>
      <c r="S24" s="96">
        <f t="shared" si="2"/>
        <v>-0.24299065420560748</v>
      </c>
      <c r="T24" s="98">
        <f t="shared" si="3"/>
        <v>7.3040969070305691E-3</v>
      </c>
    </row>
    <row r="25" spans="1:20" x14ac:dyDescent="0.25">
      <c r="A25" s="5" t="s">
        <v>7</v>
      </c>
      <c r="B25" s="5">
        <v>5016</v>
      </c>
      <c r="C25" s="5">
        <v>7654</v>
      </c>
      <c r="D25" s="5">
        <v>8745</v>
      </c>
      <c r="E25" s="5">
        <v>8842</v>
      </c>
      <c r="F25" s="5">
        <v>8717</v>
      </c>
      <c r="G25" s="15">
        <v>9682</v>
      </c>
      <c r="H25" s="15">
        <v>12560</v>
      </c>
      <c r="I25" s="15">
        <v>12874</v>
      </c>
      <c r="J25" s="15">
        <v>13259</v>
      </c>
      <c r="K25" s="15">
        <v>16301</v>
      </c>
      <c r="L25" s="15">
        <v>21438</v>
      </c>
      <c r="M25" s="15">
        <v>24054</v>
      </c>
      <c r="N25" s="15">
        <v>27812</v>
      </c>
      <c r="O25" s="15">
        <v>26268</v>
      </c>
      <c r="P25" s="15">
        <v>32145</v>
      </c>
      <c r="Q25" s="73">
        <f t="shared" si="0"/>
        <v>2.3200784961784757</v>
      </c>
      <c r="R25" s="97">
        <f t="shared" si="1"/>
        <v>0.4994402462916317</v>
      </c>
      <c r="S25" s="97">
        <f t="shared" si="2"/>
        <v>0.22373229785290086</v>
      </c>
      <c r="T25" s="99">
        <f t="shared" si="3"/>
        <v>0.96621479455348824</v>
      </c>
    </row>
    <row r="26" spans="1:20" x14ac:dyDescent="0.25">
      <c r="A26" s="75" t="s">
        <v>89</v>
      </c>
      <c r="B26" s="75">
        <v>816</v>
      </c>
      <c r="C26" s="75">
        <v>912</v>
      </c>
      <c r="D26" s="75">
        <v>856</v>
      </c>
      <c r="E26" s="75">
        <v>979</v>
      </c>
      <c r="F26" s="75">
        <v>931</v>
      </c>
      <c r="G26" s="16">
        <v>1068</v>
      </c>
      <c r="H26" s="16">
        <v>1220</v>
      </c>
      <c r="I26" s="16">
        <v>1342</v>
      </c>
      <c r="J26" s="16">
        <v>1496</v>
      </c>
      <c r="K26" s="16">
        <v>1923</v>
      </c>
      <c r="L26" s="16">
        <v>1733</v>
      </c>
      <c r="M26" s="16">
        <v>2214</v>
      </c>
      <c r="N26" s="16">
        <v>2099</v>
      </c>
      <c r="O26" s="16">
        <v>1654</v>
      </c>
      <c r="P26" s="16">
        <v>1838</v>
      </c>
      <c r="Q26" s="89">
        <f t="shared" si="0"/>
        <v>0.72097378277153557</v>
      </c>
      <c r="R26" s="96">
        <f t="shared" si="1"/>
        <v>6.0588574725908825E-2</v>
      </c>
      <c r="S26" s="96">
        <f t="shared" si="2"/>
        <v>0.11124546553808948</v>
      </c>
      <c r="T26" s="98">
        <f t="shared" si="3"/>
        <v>5.524662598815714E-2</v>
      </c>
    </row>
    <row r="27" spans="1:20" x14ac:dyDescent="0.25">
      <c r="A27" s="75" t="s">
        <v>3</v>
      </c>
      <c r="B27" s="75">
        <v>1765</v>
      </c>
      <c r="C27" s="75">
        <v>2833</v>
      </c>
      <c r="D27" s="75">
        <v>3036</v>
      </c>
      <c r="E27" s="75">
        <v>2664</v>
      </c>
      <c r="F27" s="75">
        <v>3680</v>
      </c>
      <c r="G27" s="16">
        <v>2578</v>
      </c>
      <c r="H27" s="16">
        <v>4117</v>
      </c>
      <c r="I27" s="16">
        <v>3794</v>
      </c>
      <c r="J27" s="16">
        <v>3064</v>
      </c>
      <c r="K27" s="16">
        <v>3054</v>
      </c>
      <c r="L27" s="16">
        <v>3211</v>
      </c>
      <c r="M27" s="16">
        <v>2708</v>
      </c>
      <c r="N27" s="16">
        <v>2746</v>
      </c>
      <c r="O27" s="16">
        <v>1872</v>
      </c>
      <c r="P27" s="16">
        <v>3058</v>
      </c>
      <c r="Q27" s="89">
        <f t="shared" si="0"/>
        <v>0.18619084561675717</v>
      </c>
      <c r="R27" s="96">
        <f t="shared" si="1"/>
        <v>-4.7648707567735905E-2</v>
      </c>
      <c r="S27" s="96">
        <f t="shared" si="2"/>
        <v>0.63354700854700852</v>
      </c>
      <c r="T27" s="98">
        <f t="shared" si="3"/>
        <v>9.1917400583125433E-2</v>
      </c>
    </row>
    <row r="28" spans="1:20" x14ac:dyDescent="0.25">
      <c r="A28" s="75" t="s">
        <v>90</v>
      </c>
      <c r="B28" s="75">
        <v>2435</v>
      </c>
      <c r="C28" s="75">
        <v>3909</v>
      </c>
      <c r="D28" s="75">
        <v>4853</v>
      </c>
      <c r="E28" s="75">
        <v>5199</v>
      </c>
      <c r="F28" s="75">
        <v>4106</v>
      </c>
      <c r="G28" s="16">
        <v>6036</v>
      </c>
      <c r="H28" s="16">
        <v>7223</v>
      </c>
      <c r="I28" s="16">
        <v>7738</v>
      </c>
      <c r="J28" s="16">
        <v>8699</v>
      </c>
      <c r="K28" s="16">
        <v>11324</v>
      </c>
      <c r="L28" s="16">
        <v>16494</v>
      </c>
      <c r="M28" s="16">
        <v>19132</v>
      </c>
      <c r="N28" s="16">
        <v>22967</v>
      </c>
      <c r="O28" s="16">
        <v>22742</v>
      </c>
      <c r="P28" s="16">
        <v>27249</v>
      </c>
      <c r="Q28" s="89">
        <f t="shared" si="0"/>
        <v>3.5144135188866801</v>
      </c>
      <c r="R28" s="96">
        <f t="shared" si="1"/>
        <v>0.65205529283375774</v>
      </c>
      <c r="S28" s="96">
        <f t="shared" si="2"/>
        <v>0.19817957963239821</v>
      </c>
      <c r="T28" s="98">
        <f t="shared" si="3"/>
        <v>0.81905076798220566</v>
      </c>
    </row>
    <row r="29" spans="1:20" x14ac:dyDescent="0.25">
      <c r="A29" s="5" t="s">
        <v>4</v>
      </c>
      <c r="B29" s="5">
        <v>5016</v>
      </c>
      <c r="C29" s="5">
        <v>7654</v>
      </c>
      <c r="D29" s="5">
        <v>8783</v>
      </c>
      <c r="E29" s="5">
        <v>8853</v>
      </c>
      <c r="F29" s="5">
        <v>8730</v>
      </c>
      <c r="G29" s="15">
        <v>9690</v>
      </c>
      <c r="H29" s="15">
        <v>12575</v>
      </c>
      <c r="I29" s="15">
        <v>12895</v>
      </c>
      <c r="J29" s="15">
        <v>13515</v>
      </c>
      <c r="K29" s="15">
        <v>18951</v>
      </c>
      <c r="L29" s="15">
        <v>22610</v>
      </c>
      <c r="M29" s="15">
        <v>24935</v>
      </c>
      <c r="N29" s="15">
        <v>29223</v>
      </c>
      <c r="O29" s="15">
        <v>27336</v>
      </c>
      <c r="P29" s="15">
        <v>33269</v>
      </c>
      <c r="Q29" s="73">
        <f t="shared" si="0"/>
        <v>2.4333333333333331</v>
      </c>
      <c r="R29" s="97">
        <f t="shared" si="1"/>
        <v>0.47142857142857142</v>
      </c>
      <c r="S29" s="97">
        <f t="shared" si="2"/>
        <v>0.21703980099502487</v>
      </c>
      <c r="T29" s="99">
        <f t="shared" si="3"/>
        <v>1</v>
      </c>
    </row>
    <row r="30" spans="1:20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1" spans="1:20" ht="15.75" x14ac:dyDescent="0.25">
      <c r="A31" s="35" t="s">
        <v>326</v>
      </c>
      <c r="B31" s="35"/>
      <c r="C31" s="35"/>
      <c r="D31" s="35"/>
      <c r="E31" s="35"/>
      <c r="F31" s="35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</row>
    <row r="32" spans="1:20" ht="25.5" customHeight="1" x14ac:dyDescent="0.25">
      <c r="A32" s="78" t="s">
        <v>88</v>
      </c>
      <c r="B32" s="3">
        <v>2007</v>
      </c>
      <c r="C32" s="3">
        <v>2008</v>
      </c>
      <c r="D32" s="3">
        <v>2009</v>
      </c>
      <c r="E32" s="3">
        <v>2010</v>
      </c>
      <c r="F32" s="3">
        <v>2011</v>
      </c>
      <c r="G32" s="3">
        <v>2012</v>
      </c>
      <c r="H32" s="3">
        <v>2013</v>
      </c>
      <c r="I32" s="3">
        <v>2014</v>
      </c>
      <c r="J32" s="3">
        <v>2015</v>
      </c>
      <c r="K32" s="3">
        <v>2016</v>
      </c>
      <c r="L32" s="3">
        <v>2017</v>
      </c>
      <c r="M32" s="3">
        <v>2018</v>
      </c>
      <c r="N32" s="3">
        <v>2019</v>
      </c>
      <c r="O32" s="3">
        <v>2020</v>
      </c>
      <c r="P32" s="3">
        <v>2021</v>
      </c>
      <c r="Q32" s="12" t="s">
        <v>370</v>
      </c>
      <c r="R32" s="12" t="s">
        <v>371</v>
      </c>
      <c r="S32" s="12" t="s">
        <v>372</v>
      </c>
      <c r="T32" s="12" t="s">
        <v>373</v>
      </c>
    </row>
    <row r="33" spans="1:20" x14ac:dyDescent="0.25">
      <c r="A33" s="5" t="s">
        <v>206</v>
      </c>
      <c r="B33" s="5">
        <v>3131</v>
      </c>
      <c r="C33" s="5">
        <v>5015</v>
      </c>
      <c r="D33" s="5">
        <v>5552</v>
      </c>
      <c r="E33" s="5">
        <v>5303</v>
      </c>
      <c r="F33" s="5">
        <v>5576</v>
      </c>
      <c r="G33" s="5">
        <v>5877</v>
      </c>
      <c r="H33" s="5">
        <v>7815</v>
      </c>
      <c r="I33" s="5">
        <v>8130</v>
      </c>
      <c r="J33" s="5">
        <v>8287</v>
      </c>
      <c r="K33" s="5">
        <v>11663</v>
      </c>
      <c r="L33" s="5">
        <v>14327</v>
      </c>
      <c r="M33" s="5">
        <v>15185</v>
      </c>
      <c r="N33" s="5">
        <v>17420</v>
      </c>
      <c r="O33" s="5">
        <v>16035</v>
      </c>
      <c r="P33" s="5">
        <v>20538</v>
      </c>
      <c r="Q33" s="73">
        <f>(P33-G33)/G33</f>
        <v>2.4946401225114854</v>
      </c>
      <c r="R33" s="97">
        <f>(P33-L33)/L33</f>
        <v>0.43351713547846721</v>
      </c>
      <c r="S33" s="97">
        <f>(P33-O33)/O33</f>
        <v>0.28082319925163707</v>
      </c>
      <c r="T33" s="99">
        <f>P33/P$9</f>
        <v>0.61733144969791698</v>
      </c>
    </row>
    <row r="34" spans="1:20" x14ac:dyDescent="0.25">
      <c r="A34" s="75" t="s">
        <v>89</v>
      </c>
      <c r="B34" s="75">
        <v>376</v>
      </c>
      <c r="C34" s="75">
        <v>513</v>
      </c>
      <c r="D34" s="75">
        <v>448</v>
      </c>
      <c r="E34" s="75">
        <v>463</v>
      </c>
      <c r="F34" s="75">
        <v>456</v>
      </c>
      <c r="G34" s="22">
        <v>500</v>
      </c>
      <c r="H34" s="22">
        <v>607</v>
      </c>
      <c r="I34" s="22">
        <v>670</v>
      </c>
      <c r="J34" s="22">
        <v>741</v>
      </c>
      <c r="K34" s="22">
        <v>980</v>
      </c>
      <c r="L34" s="22">
        <v>936</v>
      </c>
      <c r="M34" s="22">
        <v>1098</v>
      </c>
      <c r="N34" s="22">
        <v>1106</v>
      </c>
      <c r="O34" s="22">
        <v>807</v>
      </c>
      <c r="P34" s="22">
        <v>952</v>
      </c>
      <c r="Q34" s="89">
        <f t="shared" ref="Q34:Q41" si="4">(P34-G34)/G34</f>
        <v>0.90400000000000003</v>
      </c>
      <c r="R34" s="96">
        <f t="shared" ref="R34:R41" si="5">(P34-L34)/L34</f>
        <v>1.7094017094017096E-2</v>
      </c>
      <c r="S34" s="96">
        <f t="shared" ref="S34:S41" si="6">(P34-O34)/O34</f>
        <v>0.17967781908302355</v>
      </c>
      <c r="T34" s="98">
        <f t="shared" ref="T34:T41" si="7">P34/P$9</f>
        <v>2.8615227388860499E-2</v>
      </c>
    </row>
    <row r="35" spans="1:20" x14ac:dyDescent="0.25">
      <c r="A35" s="75" t="s">
        <v>3</v>
      </c>
      <c r="B35" s="75">
        <v>1328</v>
      </c>
      <c r="C35" s="75">
        <v>2280</v>
      </c>
      <c r="D35" s="75">
        <v>2339</v>
      </c>
      <c r="E35" s="75">
        <v>1994</v>
      </c>
      <c r="F35" s="75">
        <v>2818</v>
      </c>
      <c r="G35" s="22">
        <v>2007</v>
      </c>
      <c r="H35" s="22">
        <v>3200</v>
      </c>
      <c r="I35" s="22">
        <v>2965</v>
      </c>
      <c r="J35" s="22">
        <v>2312</v>
      </c>
      <c r="K35" s="22">
        <v>4072</v>
      </c>
      <c r="L35" s="22">
        <v>3205</v>
      </c>
      <c r="M35" s="22">
        <v>2702</v>
      </c>
      <c r="N35" s="22">
        <v>2889</v>
      </c>
      <c r="O35" s="22">
        <v>2131</v>
      </c>
      <c r="P35" s="22">
        <v>3107</v>
      </c>
      <c r="Q35" s="89">
        <f t="shared" si="4"/>
        <v>0.54808171400099648</v>
      </c>
      <c r="R35" s="96">
        <f t="shared" si="5"/>
        <v>-3.0577223088923557E-2</v>
      </c>
      <c r="S35" s="96">
        <f t="shared" si="6"/>
        <v>0.45800093852651336</v>
      </c>
      <c r="T35" s="98">
        <f t="shared" si="7"/>
        <v>9.3390243169316781E-2</v>
      </c>
    </row>
    <row r="36" spans="1:20" x14ac:dyDescent="0.25">
      <c r="A36" s="75" t="s">
        <v>90</v>
      </c>
      <c r="B36" s="75">
        <v>1427</v>
      </c>
      <c r="C36" s="75">
        <v>2222</v>
      </c>
      <c r="D36" s="75">
        <v>2765</v>
      </c>
      <c r="E36" s="75">
        <v>2846</v>
      </c>
      <c r="F36" s="75">
        <v>2302</v>
      </c>
      <c r="G36" s="22">
        <v>3370</v>
      </c>
      <c r="H36" s="22">
        <v>4008</v>
      </c>
      <c r="I36" s="22">
        <v>4495</v>
      </c>
      <c r="J36" s="22">
        <v>5234</v>
      </c>
      <c r="K36" s="22">
        <v>6611</v>
      </c>
      <c r="L36" s="22">
        <v>10186</v>
      </c>
      <c r="M36" s="22">
        <v>11385</v>
      </c>
      <c r="N36" s="22">
        <v>13425</v>
      </c>
      <c r="O36" s="22">
        <v>13097</v>
      </c>
      <c r="P36" s="22">
        <v>16479</v>
      </c>
      <c r="Q36" s="89">
        <f t="shared" si="4"/>
        <v>3.8899109792284867</v>
      </c>
      <c r="R36" s="96">
        <f t="shared" si="5"/>
        <v>0.61780875711761241</v>
      </c>
      <c r="S36" s="96">
        <f t="shared" si="6"/>
        <v>0.25822707490264946</v>
      </c>
      <c r="T36" s="98">
        <f t="shared" si="7"/>
        <v>0.49532597913973969</v>
      </c>
    </row>
    <row r="37" spans="1:20" x14ac:dyDescent="0.25">
      <c r="A37" s="5" t="s">
        <v>207</v>
      </c>
      <c r="B37" s="5">
        <v>1885</v>
      </c>
      <c r="C37" s="5">
        <v>2639</v>
      </c>
      <c r="D37" s="5">
        <v>3231</v>
      </c>
      <c r="E37" s="5">
        <v>3550</v>
      </c>
      <c r="F37" s="5">
        <v>3154</v>
      </c>
      <c r="G37" s="5">
        <v>3813</v>
      </c>
      <c r="H37" s="5">
        <v>4760</v>
      </c>
      <c r="I37" s="5">
        <v>4765</v>
      </c>
      <c r="J37" s="5">
        <v>5228</v>
      </c>
      <c r="K37" s="5">
        <v>7288</v>
      </c>
      <c r="L37" s="5">
        <v>8283</v>
      </c>
      <c r="M37" s="5">
        <v>9750</v>
      </c>
      <c r="N37" s="5">
        <v>11803</v>
      </c>
      <c r="O37" s="5">
        <v>11301</v>
      </c>
      <c r="P37" s="5">
        <v>12731</v>
      </c>
      <c r="Q37" s="73">
        <f t="shared" si="4"/>
        <v>2.3388408077629164</v>
      </c>
      <c r="R37" s="97">
        <f t="shared" si="5"/>
        <v>0.53700350114692741</v>
      </c>
      <c r="S37" s="97">
        <f t="shared" si="6"/>
        <v>0.12653747455977346</v>
      </c>
      <c r="T37" s="99">
        <f t="shared" si="7"/>
        <v>0.38266855030208302</v>
      </c>
    </row>
    <row r="38" spans="1:20" x14ac:dyDescent="0.25">
      <c r="A38" s="75" t="s">
        <v>89</v>
      </c>
      <c r="B38" s="75">
        <v>440</v>
      </c>
      <c r="C38" s="75">
        <v>399</v>
      </c>
      <c r="D38" s="75">
        <v>408</v>
      </c>
      <c r="E38" s="75">
        <v>516</v>
      </c>
      <c r="F38" s="75">
        <v>475</v>
      </c>
      <c r="G38" s="22">
        <v>568</v>
      </c>
      <c r="H38" s="22">
        <v>613</v>
      </c>
      <c r="I38" s="22">
        <v>672</v>
      </c>
      <c r="J38" s="22">
        <v>755</v>
      </c>
      <c r="K38" s="22">
        <v>943</v>
      </c>
      <c r="L38" s="22">
        <v>797</v>
      </c>
      <c r="M38" s="22">
        <v>1116</v>
      </c>
      <c r="N38" s="22">
        <v>993</v>
      </c>
      <c r="O38" s="22">
        <v>847</v>
      </c>
      <c r="P38" s="22">
        <v>886</v>
      </c>
      <c r="Q38" s="89">
        <f t="shared" si="4"/>
        <v>0.5598591549295775</v>
      </c>
      <c r="R38" s="96">
        <f t="shared" si="5"/>
        <v>0.11166875784190715</v>
      </c>
      <c r="S38" s="96">
        <f t="shared" si="6"/>
        <v>4.6044864226682407E-2</v>
      </c>
      <c r="T38" s="98">
        <f t="shared" si="7"/>
        <v>2.6631398599296644E-2</v>
      </c>
    </row>
    <row r="39" spans="1:20" x14ac:dyDescent="0.25">
      <c r="A39" s="75" t="s">
        <v>3</v>
      </c>
      <c r="B39" s="75">
        <v>437</v>
      </c>
      <c r="C39" s="75">
        <v>553</v>
      </c>
      <c r="D39" s="75">
        <v>725</v>
      </c>
      <c r="E39" s="75">
        <v>670</v>
      </c>
      <c r="F39" s="75">
        <v>862</v>
      </c>
      <c r="G39" s="22">
        <v>571</v>
      </c>
      <c r="H39" s="22">
        <v>917</v>
      </c>
      <c r="I39" s="22">
        <v>848</v>
      </c>
      <c r="J39" s="22">
        <v>881</v>
      </c>
      <c r="K39" s="22">
        <v>1249</v>
      </c>
      <c r="L39" s="22">
        <v>939</v>
      </c>
      <c r="M39" s="22">
        <v>771</v>
      </c>
      <c r="N39" s="22">
        <v>902</v>
      </c>
      <c r="O39" s="22">
        <v>485</v>
      </c>
      <c r="P39" s="22">
        <v>825</v>
      </c>
      <c r="Q39" s="89">
        <f t="shared" si="4"/>
        <v>0.44483362521891417</v>
      </c>
      <c r="R39" s="96">
        <f t="shared" si="5"/>
        <v>-0.12140575079872204</v>
      </c>
      <c r="S39" s="96">
        <f t="shared" si="6"/>
        <v>0.7010309278350515</v>
      </c>
      <c r="T39" s="98">
        <f t="shared" si="7"/>
        <v>2.4797859869548227E-2</v>
      </c>
    </row>
    <row r="40" spans="1:20" x14ac:dyDescent="0.25">
      <c r="A40" s="75" t="s">
        <v>90</v>
      </c>
      <c r="B40" s="75">
        <v>1008</v>
      </c>
      <c r="C40" s="75">
        <v>1687</v>
      </c>
      <c r="D40" s="75">
        <v>2098</v>
      </c>
      <c r="E40" s="75">
        <v>2364</v>
      </c>
      <c r="F40" s="75">
        <v>1817</v>
      </c>
      <c r="G40" s="22">
        <v>2674</v>
      </c>
      <c r="H40" s="22">
        <v>3230</v>
      </c>
      <c r="I40" s="22">
        <v>3245</v>
      </c>
      <c r="J40" s="22">
        <v>3592</v>
      </c>
      <c r="K40" s="22">
        <v>5096</v>
      </c>
      <c r="L40" s="22">
        <v>6547</v>
      </c>
      <c r="M40" s="22">
        <v>7863</v>
      </c>
      <c r="N40" s="22">
        <v>9908</v>
      </c>
      <c r="O40" s="22">
        <v>9969</v>
      </c>
      <c r="P40" s="22">
        <v>11020</v>
      </c>
      <c r="Q40" s="89">
        <f t="shared" si="4"/>
        <v>3.1211667913238594</v>
      </c>
      <c r="R40" s="96">
        <f t="shared" si="5"/>
        <v>0.68321368565755303</v>
      </c>
      <c r="S40" s="96">
        <f t="shared" si="6"/>
        <v>0.10542682315177049</v>
      </c>
      <c r="T40" s="98">
        <f t="shared" si="7"/>
        <v>0.33123929183323814</v>
      </c>
    </row>
    <row r="41" spans="1:20" x14ac:dyDescent="0.25">
      <c r="A41" s="5" t="s">
        <v>4</v>
      </c>
      <c r="B41" s="5">
        <v>5016</v>
      </c>
      <c r="C41" s="5">
        <v>7654</v>
      </c>
      <c r="D41" s="5">
        <v>8783</v>
      </c>
      <c r="E41" s="5">
        <v>8853</v>
      </c>
      <c r="F41" s="5">
        <v>8730</v>
      </c>
      <c r="G41" s="5">
        <v>9690</v>
      </c>
      <c r="H41" s="5">
        <v>12575</v>
      </c>
      <c r="I41" s="5">
        <v>12895</v>
      </c>
      <c r="J41" s="5">
        <v>13515</v>
      </c>
      <c r="K41" s="5">
        <v>18951</v>
      </c>
      <c r="L41" s="5">
        <v>22610</v>
      </c>
      <c r="M41" s="5">
        <v>24935</v>
      </c>
      <c r="N41" s="5">
        <v>29223</v>
      </c>
      <c r="O41" s="5">
        <v>27336</v>
      </c>
      <c r="P41" s="5">
        <v>33269</v>
      </c>
      <c r="Q41" s="73">
        <f t="shared" si="4"/>
        <v>2.4333333333333331</v>
      </c>
      <c r="R41" s="97">
        <f t="shared" si="5"/>
        <v>0.47142857142857142</v>
      </c>
      <c r="S41" s="97">
        <f t="shared" si="6"/>
        <v>0.21703980099502487</v>
      </c>
      <c r="T41" s="99">
        <f t="shared" si="7"/>
        <v>1</v>
      </c>
    </row>
    <row r="42" spans="1:20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</row>
    <row r="43" spans="1:20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</row>
    <row r="44" spans="1:20" x14ac:dyDescent="0.25">
      <c r="A44" s="61" t="s">
        <v>238</v>
      </c>
      <c r="B44" s="61"/>
      <c r="C44" s="61"/>
      <c r="D44" s="61"/>
      <c r="E44" s="61"/>
      <c r="F44" s="61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</row>
    <row r="45" spans="1:20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</row>
    <row r="46" spans="1:20" x14ac:dyDescent="0.25">
      <c r="A46" s="62" t="s">
        <v>21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</row>
    <row r="47" spans="1:20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</row>
    <row r="48" spans="1:20" x14ac:dyDescent="0.25"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</row>
    <row r="49" spans="2:20" x14ac:dyDescent="0.25"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</row>
    <row r="50" spans="2:20" x14ac:dyDescent="0.25"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</row>
    <row r="51" spans="2:20" x14ac:dyDescent="0.25"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</row>
    <row r="52" spans="2:20" x14ac:dyDescent="0.25"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</row>
  </sheetData>
  <hyperlinks>
    <hyperlink ref="A46" location="Indice!A5" display="Volver al índice"/>
  </hyperlinks>
  <pageMargins left="0.7" right="0.7" top="0.75" bottom="0.75" header="0.3" footer="0.3"/>
  <pageSetup orientation="portrait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55.28515625" style="1" customWidth="1"/>
    <col min="2" max="3" width="14" style="38" customWidth="1"/>
    <col min="4" max="4" width="13.140625" style="38" customWidth="1"/>
    <col min="5" max="5" width="16.140625" style="38" customWidth="1"/>
    <col min="6" max="16384" width="10.85546875" style="2"/>
  </cols>
  <sheetData>
    <row r="1" spans="1:5" ht="21" x14ac:dyDescent="0.25">
      <c r="A1" s="58" t="s">
        <v>409</v>
      </c>
      <c r="B1" s="39"/>
      <c r="C1" s="39"/>
      <c r="D1" s="39"/>
      <c r="E1" s="39"/>
    </row>
    <row r="2" spans="1:5" ht="27" customHeight="1" x14ac:dyDescent="0.25">
      <c r="A2" s="33"/>
      <c r="B2" s="39"/>
      <c r="C2" s="39"/>
      <c r="D2" s="39"/>
      <c r="E2" s="39"/>
    </row>
    <row r="3" spans="1:5" x14ac:dyDescent="0.25">
      <c r="A3" s="34"/>
      <c r="B3" s="39"/>
      <c r="C3" s="39"/>
      <c r="D3" s="39"/>
      <c r="E3" s="39"/>
    </row>
    <row r="4" spans="1:5" ht="38.25" x14ac:dyDescent="0.25">
      <c r="A4" s="122" t="s">
        <v>94</v>
      </c>
      <c r="B4" s="44" t="s">
        <v>410</v>
      </c>
      <c r="C4" s="44" t="s">
        <v>411</v>
      </c>
      <c r="D4" s="44" t="s">
        <v>412</v>
      </c>
      <c r="E4" s="44" t="s">
        <v>413</v>
      </c>
    </row>
    <row r="5" spans="1:5" x14ac:dyDescent="0.25">
      <c r="A5" s="4" t="s">
        <v>270</v>
      </c>
      <c r="B5" s="36">
        <v>19</v>
      </c>
      <c r="C5" s="36"/>
      <c r="D5" s="36"/>
      <c r="E5" s="37">
        <v>19</v>
      </c>
    </row>
    <row r="6" spans="1:5" x14ac:dyDescent="0.25">
      <c r="A6" s="4" t="s">
        <v>95</v>
      </c>
      <c r="B6" s="36">
        <v>33</v>
      </c>
      <c r="C6" s="36"/>
      <c r="D6" s="36"/>
      <c r="E6" s="37">
        <v>33</v>
      </c>
    </row>
    <row r="7" spans="1:5" x14ac:dyDescent="0.25">
      <c r="A7" s="4" t="s">
        <v>96</v>
      </c>
      <c r="B7" s="36">
        <v>509</v>
      </c>
      <c r="C7" s="36"/>
      <c r="D7" s="36"/>
      <c r="E7" s="37">
        <v>509</v>
      </c>
    </row>
    <row r="8" spans="1:5" x14ac:dyDescent="0.25">
      <c r="A8" s="4" t="s">
        <v>97</v>
      </c>
      <c r="B8" s="36">
        <v>1310</v>
      </c>
      <c r="C8" s="36"/>
      <c r="D8" s="36"/>
      <c r="E8" s="37">
        <v>1310</v>
      </c>
    </row>
    <row r="9" spans="1:5" x14ac:dyDescent="0.25">
      <c r="A9" s="4" t="s">
        <v>98</v>
      </c>
      <c r="B9" s="36">
        <v>4</v>
      </c>
      <c r="C9" s="36"/>
      <c r="D9" s="36"/>
      <c r="E9" s="37">
        <v>4</v>
      </c>
    </row>
    <row r="10" spans="1:5" x14ac:dyDescent="0.25">
      <c r="A10" s="4" t="s">
        <v>99</v>
      </c>
      <c r="B10" s="36">
        <v>645</v>
      </c>
      <c r="C10" s="36"/>
      <c r="D10" s="36"/>
      <c r="E10" s="37">
        <v>645</v>
      </c>
    </row>
    <row r="11" spans="1:5" x14ac:dyDescent="0.25">
      <c r="A11" s="4" t="s">
        <v>271</v>
      </c>
      <c r="B11" s="36">
        <v>14</v>
      </c>
      <c r="C11" s="36"/>
      <c r="D11" s="36"/>
      <c r="E11" s="37">
        <v>14</v>
      </c>
    </row>
    <row r="12" spans="1:5" x14ac:dyDescent="0.25">
      <c r="A12" s="4" t="s">
        <v>100</v>
      </c>
      <c r="B12" s="36">
        <v>11</v>
      </c>
      <c r="C12" s="36"/>
      <c r="D12" s="36">
        <v>7</v>
      </c>
      <c r="E12" s="37">
        <v>18</v>
      </c>
    </row>
    <row r="13" spans="1:5" x14ac:dyDescent="0.25">
      <c r="A13" s="4" t="s">
        <v>101</v>
      </c>
      <c r="B13" s="36">
        <v>2166</v>
      </c>
      <c r="C13" s="36"/>
      <c r="D13" s="36"/>
      <c r="E13" s="37">
        <v>2166</v>
      </c>
    </row>
    <row r="14" spans="1:5" x14ac:dyDescent="0.25">
      <c r="A14" s="4" t="s">
        <v>288</v>
      </c>
      <c r="B14" s="36">
        <v>16</v>
      </c>
      <c r="C14" s="36"/>
      <c r="D14" s="36"/>
      <c r="E14" s="37">
        <v>16</v>
      </c>
    </row>
    <row r="15" spans="1:5" x14ac:dyDescent="0.25">
      <c r="A15" s="4" t="s">
        <v>423</v>
      </c>
      <c r="B15" s="36">
        <v>583</v>
      </c>
      <c r="C15" s="36"/>
      <c r="D15" s="36"/>
      <c r="E15" s="37">
        <v>583</v>
      </c>
    </row>
    <row r="16" spans="1:5" x14ac:dyDescent="0.25">
      <c r="A16" s="4" t="s">
        <v>424</v>
      </c>
      <c r="B16" s="36">
        <v>51</v>
      </c>
      <c r="C16" s="36"/>
      <c r="D16" s="36"/>
      <c r="E16" s="37">
        <v>51</v>
      </c>
    </row>
    <row r="17" spans="1:5" x14ac:dyDescent="0.25">
      <c r="A17" s="4" t="s">
        <v>289</v>
      </c>
      <c r="B17" s="36">
        <v>77</v>
      </c>
      <c r="C17" s="36"/>
      <c r="D17" s="36"/>
      <c r="E17" s="37">
        <v>77</v>
      </c>
    </row>
    <row r="18" spans="1:5" x14ac:dyDescent="0.25">
      <c r="A18" s="4" t="s">
        <v>425</v>
      </c>
      <c r="B18" s="36">
        <v>72</v>
      </c>
      <c r="C18" s="36"/>
      <c r="D18" s="36"/>
      <c r="E18" s="37">
        <v>72</v>
      </c>
    </row>
    <row r="19" spans="1:5" x14ac:dyDescent="0.25">
      <c r="A19" s="4" t="s">
        <v>426</v>
      </c>
      <c r="B19" s="36">
        <v>100</v>
      </c>
      <c r="C19" s="36"/>
      <c r="D19" s="36"/>
      <c r="E19" s="37">
        <v>100</v>
      </c>
    </row>
    <row r="20" spans="1:5" x14ac:dyDescent="0.25">
      <c r="A20" s="4" t="s">
        <v>290</v>
      </c>
      <c r="B20" s="36">
        <v>142</v>
      </c>
      <c r="C20" s="36"/>
      <c r="D20" s="36"/>
      <c r="E20" s="37">
        <v>142</v>
      </c>
    </row>
    <row r="21" spans="1:5" x14ac:dyDescent="0.25">
      <c r="A21" s="4" t="s">
        <v>102</v>
      </c>
      <c r="B21" s="36">
        <v>386</v>
      </c>
      <c r="C21" s="36"/>
      <c r="D21" s="36"/>
      <c r="E21" s="37">
        <v>386</v>
      </c>
    </row>
    <row r="22" spans="1:5" x14ac:dyDescent="0.25">
      <c r="A22" s="4" t="s">
        <v>103</v>
      </c>
      <c r="B22" s="36">
        <v>170</v>
      </c>
      <c r="C22" s="36"/>
      <c r="D22" s="36"/>
      <c r="E22" s="37">
        <v>170</v>
      </c>
    </row>
    <row r="23" spans="1:5" x14ac:dyDescent="0.25">
      <c r="A23" s="4" t="s">
        <v>104</v>
      </c>
      <c r="B23" s="36">
        <v>99</v>
      </c>
      <c r="C23" s="36"/>
      <c r="D23" s="36"/>
      <c r="E23" s="37">
        <v>99</v>
      </c>
    </row>
    <row r="24" spans="1:5" x14ac:dyDescent="0.25">
      <c r="A24" s="4" t="s">
        <v>427</v>
      </c>
      <c r="B24" s="36">
        <v>25</v>
      </c>
      <c r="C24" s="36"/>
      <c r="D24" s="36"/>
      <c r="E24" s="37">
        <v>25</v>
      </c>
    </row>
    <row r="25" spans="1:5" x14ac:dyDescent="0.25">
      <c r="A25" s="4" t="s">
        <v>272</v>
      </c>
      <c r="B25" s="36">
        <v>6</v>
      </c>
      <c r="C25" s="36"/>
      <c r="D25" s="36"/>
      <c r="E25" s="37">
        <v>6</v>
      </c>
    </row>
    <row r="26" spans="1:5" x14ac:dyDescent="0.25">
      <c r="A26" s="4" t="s">
        <v>291</v>
      </c>
      <c r="B26" s="36">
        <v>175</v>
      </c>
      <c r="C26" s="36"/>
      <c r="D26" s="36"/>
      <c r="E26" s="37">
        <v>175</v>
      </c>
    </row>
    <row r="27" spans="1:5" x14ac:dyDescent="0.25">
      <c r="A27" s="4" t="s">
        <v>105</v>
      </c>
      <c r="B27" s="36">
        <v>13246</v>
      </c>
      <c r="C27" s="36"/>
      <c r="D27" s="36"/>
      <c r="E27" s="37">
        <v>13246</v>
      </c>
    </row>
    <row r="28" spans="1:5" x14ac:dyDescent="0.25">
      <c r="A28" s="4" t="s">
        <v>106</v>
      </c>
      <c r="B28" s="36">
        <v>326</v>
      </c>
      <c r="C28" s="36"/>
      <c r="D28" s="36"/>
      <c r="E28" s="37">
        <v>326</v>
      </c>
    </row>
    <row r="29" spans="1:5" x14ac:dyDescent="0.25">
      <c r="A29" s="4" t="s">
        <v>278</v>
      </c>
      <c r="B29" s="36">
        <v>23</v>
      </c>
      <c r="C29" s="36"/>
      <c r="D29" s="36"/>
      <c r="E29" s="37">
        <v>23</v>
      </c>
    </row>
    <row r="30" spans="1:5" x14ac:dyDescent="0.25">
      <c r="A30" s="4" t="s">
        <v>107</v>
      </c>
      <c r="B30" s="36">
        <v>89</v>
      </c>
      <c r="C30" s="36"/>
      <c r="D30" s="36"/>
      <c r="E30" s="37">
        <v>89</v>
      </c>
    </row>
    <row r="31" spans="1:5" x14ac:dyDescent="0.25">
      <c r="A31" s="4" t="s">
        <v>108</v>
      </c>
      <c r="B31" s="36">
        <v>83</v>
      </c>
      <c r="C31" s="36"/>
      <c r="D31" s="36"/>
      <c r="E31" s="37">
        <v>83</v>
      </c>
    </row>
    <row r="32" spans="1:5" x14ac:dyDescent="0.25">
      <c r="A32" s="4" t="s">
        <v>109</v>
      </c>
      <c r="B32" s="36">
        <v>144</v>
      </c>
      <c r="C32" s="36"/>
      <c r="D32" s="36"/>
      <c r="E32" s="37">
        <v>144</v>
      </c>
    </row>
    <row r="33" spans="1:5" x14ac:dyDescent="0.25">
      <c r="A33" s="4" t="s">
        <v>110</v>
      </c>
      <c r="B33" s="36">
        <v>314</v>
      </c>
      <c r="C33" s="36"/>
      <c r="D33" s="36"/>
      <c r="E33" s="37">
        <v>314</v>
      </c>
    </row>
    <row r="34" spans="1:5" x14ac:dyDescent="0.25">
      <c r="A34" s="4" t="s">
        <v>111</v>
      </c>
      <c r="B34" s="36">
        <v>208</v>
      </c>
      <c r="C34" s="36"/>
      <c r="D34" s="36"/>
      <c r="E34" s="37">
        <v>208</v>
      </c>
    </row>
    <row r="35" spans="1:5" x14ac:dyDescent="0.25">
      <c r="A35" s="4" t="s">
        <v>112</v>
      </c>
      <c r="B35" s="36">
        <v>706</v>
      </c>
      <c r="C35" s="36"/>
      <c r="D35" s="36"/>
      <c r="E35" s="37">
        <v>706</v>
      </c>
    </row>
    <row r="36" spans="1:5" x14ac:dyDescent="0.25">
      <c r="A36" s="4" t="s">
        <v>113</v>
      </c>
      <c r="B36" s="36">
        <v>464</v>
      </c>
      <c r="C36" s="36"/>
      <c r="D36" s="36"/>
      <c r="E36" s="37">
        <v>464</v>
      </c>
    </row>
    <row r="37" spans="1:5" x14ac:dyDescent="0.25">
      <c r="A37" s="4" t="s">
        <v>114</v>
      </c>
      <c r="B37" s="36">
        <v>131</v>
      </c>
      <c r="C37" s="36"/>
      <c r="D37" s="36"/>
      <c r="E37" s="37">
        <v>131</v>
      </c>
    </row>
    <row r="38" spans="1:5" x14ac:dyDescent="0.25">
      <c r="A38" s="4" t="s">
        <v>115</v>
      </c>
      <c r="B38" s="36">
        <v>107</v>
      </c>
      <c r="C38" s="36"/>
      <c r="D38" s="36"/>
      <c r="E38" s="37">
        <v>107</v>
      </c>
    </row>
    <row r="39" spans="1:5" x14ac:dyDescent="0.25">
      <c r="A39" s="4" t="s">
        <v>116</v>
      </c>
      <c r="B39" s="36">
        <v>241</v>
      </c>
      <c r="C39" s="36"/>
      <c r="D39" s="36"/>
      <c r="E39" s="37">
        <v>241</v>
      </c>
    </row>
    <row r="40" spans="1:5" x14ac:dyDescent="0.25">
      <c r="A40" s="4" t="s">
        <v>117</v>
      </c>
      <c r="B40" s="36">
        <v>43</v>
      </c>
      <c r="C40" s="36"/>
      <c r="D40" s="36"/>
      <c r="E40" s="37">
        <v>43</v>
      </c>
    </row>
    <row r="41" spans="1:5" x14ac:dyDescent="0.25">
      <c r="A41" s="4" t="s">
        <v>273</v>
      </c>
      <c r="B41" s="36">
        <v>1270</v>
      </c>
      <c r="C41" s="36"/>
      <c r="D41" s="36"/>
      <c r="E41" s="37">
        <v>1270</v>
      </c>
    </row>
    <row r="42" spans="1:5" x14ac:dyDescent="0.25">
      <c r="A42" s="4" t="s">
        <v>274</v>
      </c>
      <c r="B42" s="36">
        <v>1466</v>
      </c>
      <c r="C42" s="36"/>
      <c r="D42" s="36"/>
      <c r="E42" s="37">
        <v>1466</v>
      </c>
    </row>
    <row r="43" spans="1:5" x14ac:dyDescent="0.25">
      <c r="A43" s="4" t="s">
        <v>118</v>
      </c>
      <c r="B43" s="36">
        <v>9523</v>
      </c>
      <c r="C43" s="36"/>
      <c r="D43" s="36"/>
      <c r="E43" s="37">
        <v>9523</v>
      </c>
    </row>
    <row r="44" spans="1:5" x14ac:dyDescent="0.25">
      <c r="A44" s="4" t="s">
        <v>119</v>
      </c>
      <c r="B44" s="36">
        <v>403</v>
      </c>
      <c r="C44" s="36"/>
      <c r="D44" s="36"/>
      <c r="E44" s="37">
        <v>403</v>
      </c>
    </row>
    <row r="45" spans="1:5" x14ac:dyDescent="0.25">
      <c r="A45" s="4" t="s">
        <v>120</v>
      </c>
      <c r="B45" s="36">
        <v>102</v>
      </c>
      <c r="C45" s="36"/>
      <c r="D45" s="36"/>
      <c r="E45" s="37">
        <v>102</v>
      </c>
    </row>
    <row r="46" spans="1:5" x14ac:dyDescent="0.25">
      <c r="A46" s="4" t="s">
        <v>121</v>
      </c>
      <c r="B46" s="36">
        <v>20316</v>
      </c>
      <c r="C46" s="36"/>
      <c r="D46" s="36"/>
      <c r="E46" s="37">
        <v>20316</v>
      </c>
    </row>
    <row r="47" spans="1:5" x14ac:dyDescent="0.25">
      <c r="A47" s="4" t="s">
        <v>275</v>
      </c>
      <c r="B47" s="36">
        <v>30</v>
      </c>
      <c r="C47" s="36"/>
      <c r="D47" s="36"/>
      <c r="E47" s="37">
        <v>30</v>
      </c>
    </row>
    <row r="48" spans="1:5" x14ac:dyDescent="0.25">
      <c r="A48" s="4" t="s">
        <v>122</v>
      </c>
      <c r="B48" s="36">
        <v>214</v>
      </c>
      <c r="C48" s="36"/>
      <c r="D48" s="36"/>
      <c r="E48" s="37">
        <v>214</v>
      </c>
    </row>
    <row r="49" spans="1:5" x14ac:dyDescent="0.25">
      <c r="A49" s="4" t="s">
        <v>123</v>
      </c>
      <c r="B49" s="36">
        <v>462</v>
      </c>
      <c r="C49" s="36"/>
      <c r="D49" s="36"/>
      <c r="E49" s="37">
        <v>462</v>
      </c>
    </row>
    <row r="50" spans="1:5" x14ac:dyDescent="0.25">
      <c r="A50" s="4" t="s">
        <v>264</v>
      </c>
      <c r="B50" s="36">
        <v>6</v>
      </c>
      <c r="C50" s="36"/>
      <c r="D50" s="36"/>
      <c r="E50" s="37">
        <v>6</v>
      </c>
    </row>
    <row r="51" spans="1:5" x14ac:dyDescent="0.25">
      <c r="A51" s="4" t="s">
        <v>124</v>
      </c>
      <c r="B51" s="36">
        <v>4600</v>
      </c>
      <c r="C51" s="36"/>
      <c r="D51" s="36"/>
      <c r="E51" s="37">
        <v>4600</v>
      </c>
    </row>
    <row r="52" spans="1:5" x14ac:dyDescent="0.25">
      <c r="A52" s="4" t="s">
        <v>125</v>
      </c>
      <c r="B52" s="36">
        <v>32</v>
      </c>
      <c r="C52" s="36"/>
      <c r="D52" s="36"/>
      <c r="E52" s="37">
        <v>32</v>
      </c>
    </row>
    <row r="53" spans="1:5" x14ac:dyDescent="0.25">
      <c r="A53" s="4" t="s">
        <v>126</v>
      </c>
      <c r="B53" s="36">
        <v>448</v>
      </c>
      <c r="C53" s="36"/>
      <c r="D53" s="36"/>
      <c r="E53" s="37">
        <v>448</v>
      </c>
    </row>
    <row r="54" spans="1:5" x14ac:dyDescent="0.25">
      <c r="A54" s="4" t="s">
        <v>127</v>
      </c>
      <c r="B54" s="36">
        <v>2108</v>
      </c>
      <c r="C54" s="36"/>
      <c r="D54" s="36"/>
      <c r="E54" s="37">
        <v>2108</v>
      </c>
    </row>
    <row r="55" spans="1:5" x14ac:dyDescent="0.25">
      <c r="A55" s="4" t="s">
        <v>128</v>
      </c>
      <c r="B55" s="36">
        <v>355</v>
      </c>
      <c r="C55" s="36"/>
      <c r="D55" s="36"/>
      <c r="E55" s="37">
        <v>355</v>
      </c>
    </row>
    <row r="56" spans="1:5" x14ac:dyDescent="0.25">
      <c r="A56" s="4" t="s">
        <v>129</v>
      </c>
      <c r="B56" s="36">
        <v>2678</v>
      </c>
      <c r="C56" s="36"/>
      <c r="D56" s="36"/>
      <c r="E56" s="37">
        <v>2678</v>
      </c>
    </row>
    <row r="57" spans="1:5" x14ac:dyDescent="0.25">
      <c r="A57" s="4" t="s">
        <v>130</v>
      </c>
      <c r="B57" s="36">
        <v>22799</v>
      </c>
      <c r="C57" s="36"/>
      <c r="D57" s="36"/>
      <c r="E57" s="37">
        <v>22799</v>
      </c>
    </row>
    <row r="58" spans="1:5" x14ac:dyDescent="0.25">
      <c r="A58" s="4" t="s">
        <v>131</v>
      </c>
      <c r="B58" s="36">
        <v>119</v>
      </c>
      <c r="C58" s="36"/>
      <c r="D58" s="36">
        <v>8</v>
      </c>
      <c r="E58" s="37">
        <v>127</v>
      </c>
    </row>
    <row r="59" spans="1:5" x14ac:dyDescent="0.25">
      <c r="A59" s="4" t="s">
        <v>265</v>
      </c>
      <c r="B59" s="36">
        <v>6</v>
      </c>
      <c r="C59" s="36"/>
      <c r="D59" s="36"/>
      <c r="E59" s="37">
        <v>6</v>
      </c>
    </row>
    <row r="60" spans="1:5" x14ac:dyDescent="0.25">
      <c r="A60" s="4" t="s">
        <v>132</v>
      </c>
      <c r="B60" s="36">
        <v>490</v>
      </c>
      <c r="C60" s="36"/>
      <c r="D60" s="36"/>
      <c r="E60" s="37">
        <v>490</v>
      </c>
    </row>
    <row r="61" spans="1:5" x14ac:dyDescent="0.25">
      <c r="A61" s="4" t="s">
        <v>279</v>
      </c>
      <c r="B61" s="36">
        <v>7</v>
      </c>
      <c r="C61" s="36"/>
      <c r="D61" s="36"/>
      <c r="E61" s="37">
        <v>7</v>
      </c>
    </row>
    <row r="62" spans="1:5" x14ac:dyDescent="0.25">
      <c r="A62" s="4" t="s">
        <v>133</v>
      </c>
      <c r="B62" s="36">
        <v>145</v>
      </c>
      <c r="C62" s="36"/>
      <c r="D62" s="36"/>
      <c r="E62" s="37">
        <v>145</v>
      </c>
    </row>
    <row r="63" spans="1:5" x14ac:dyDescent="0.25">
      <c r="A63" s="4" t="s">
        <v>134</v>
      </c>
      <c r="B63" s="36">
        <v>1292</v>
      </c>
      <c r="C63" s="36"/>
      <c r="D63" s="36"/>
      <c r="E63" s="37">
        <v>1292</v>
      </c>
    </row>
    <row r="64" spans="1:5" x14ac:dyDescent="0.25">
      <c r="A64" s="4" t="s">
        <v>135</v>
      </c>
      <c r="B64" s="36">
        <v>6188</v>
      </c>
      <c r="C64" s="36"/>
      <c r="D64" s="36"/>
      <c r="E64" s="37">
        <v>6188</v>
      </c>
    </row>
    <row r="65" spans="1:5" x14ac:dyDescent="0.25">
      <c r="A65" s="4" t="s">
        <v>136</v>
      </c>
      <c r="B65" s="36">
        <v>1140</v>
      </c>
      <c r="C65" s="36"/>
      <c r="D65" s="36"/>
      <c r="E65" s="37">
        <v>1140</v>
      </c>
    </row>
    <row r="66" spans="1:5" x14ac:dyDescent="0.25">
      <c r="A66" s="4" t="s">
        <v>137</v>
      </c>
      <c r="B66" s="36">
        <v>133</v>
      </c>
      <c r="C66" s="36"/>
      <c r="D66" s="36"/>
      <c r="E66" s="37">
        <v>133</v>
      </c>
    </row>
    <row r="67" spans="1:5" x14ac:dyDescent="0.25">
      <c r="A67" s="4" t="s">
        <v>138</v>
      </c>
      <c r="B67" s="36">
        <v>175</v>
      </c>
      <c r="C67" s="36"/>
      <c r="D67" s="36">
        <v>12</v>
      </c>
      <c r="E67" s="37">
        <v>187</v>
      </c>
    </row>
    <row r="68" spans="1:5" x14ac:dyDescent="0.25">
      <c r="A68" s="4" t="s">
        <v>139</v>
      </c>
      <c r="B68" s="36">
        <v>3528</v>
      </c>
      <c r="C68" s="36"/>
      <c r="D68" s="36"/>
      <c r="E68" s="37">
        <v>3528</v>
      </c>
    </row>
    <row r="69" spans="1:5" x14ac:dyDescent="0.25">
      <c r="A69" s="4" t="s">
        <v>140</v>
      </c>
      <c r="B69" s="36">
        <v>1160</v>
      </c>
      <c r="C69" s="36"/>
      <c r="D69" s="36"/>
      <c r="E69" s="37">
        <v>1160</v>
      </c>
    </row>
    <row r="70" spans="1:5" x14ac:dyDescent="0.25">
      <c r="A70" s="4" t="s">
        <v>268</v>
      </c>
      <c r="B70" s="36">
        <v>3598</v>
      </c>
      <c r="C70" s="36"/>
      <c r="D70" s="36">
        <v>1097</v>
      </c>
      <c r="E70" s="37">
        <v>4695</v>
      </c>
    </row>
    <row r="71" spans="1:5" x14ac:dyDescent="0.25">
      <c r="A71" s="4" t="s">
        <v>141</v>
      </c>
      <c r="B71" s="36">
        <v>114</v>
      </c>
      <c r="C71" s="36"/>
      <c r="D71" s="36"/>
      <c r="E71" s="37">
        <v>114</v>
      </c>
    </row>
    <row r="72" spans="1:5" x14ac:dyDescent="0.25">
      <c r="A72" s="4" t="s">
        <v>142</v>
      </c>
      <c r="B72" s="36">
        <v>1000</v>
      </c>
      <c r="C72" s="36"/>
      <c r="D72" s="36"/>
      <c r="E72" s="37">
        <v>1000</v>
      </c>
    </row>
    <row r="73" spans="1:5" x14ac:dyDescent="0.25">
      <c r="A73" s="4" t="s">
        <v>143</v>
      </c>
      <c r="B73" s="36">
        <v>1160</v>
      </c>
      <c r="C73" s="36"/>
      <c r="D73" s="36"/>
      <c r="E73" s="37">
        <v>1160</v>
      </c>
    </row>
    <row r="74" spans="1:5" x14ac:dyDescent="0.25">
      <c r="A74" s="4" t="s">
        <v>292</v>
      </c>
      <c r="B74" s="36">
        <v>50</v>
      </c>
      <c r="C74" s="36"/>
      <c r="D74" s="36"/>
      <c r="E74" s="37">
        <v>50</v>
      </c>
    </row>
    <row r="75" spans="1:5" x14ac:dyDescent="0.25">
      <c r="A75" s="4" t="s">
        <v>144</v>
      </c>
      <c r="B75" s="36">
        <v>1053</v>
      </c>
      <c r="C75" s="36"/>
      <c r="D75" s="36"/>
      <c r="E75" s="37">
        <v>1053</v>
      </c>
    </row>
    <row r="76" spans="1:5" x14ac:dyDescent="0.25">
      <c r="A76" s="4" t="s">
        <v>145</v>
      </c>
      <c r="B76" s="36">
        <v>5367</v>
      </c>
      <c r="C76" s="36"/>
      <c r="D76" s="36"/>
      <c r="E76" s="37">
        <v>5367</v>
      </c>
    </row>
    <row r="77" spans="1:5" x14ac:dyDescent="0.25">
      <c r="A77" s="4" t="s">
        <v>146</v>
      </c>
      <c r="B77" s="36">
        <v>4547</v>
      </c>
      <c r="C77" s="36">
        <v>1949</v>
      </c>
      <c r="D77" s="36">
        <v>836</v>
      </c>
      <c r="E77" s="37">
        <v>7332</v>
      </c>
    </row>
    <row r="78" spans="1:5" x14ac:dyDescent="0.25">
      <c r="A78" s="4" t="s">
        <v>147</v>
      </c>
      <c r="B78" s="36">
        <v>1768</v>
      </c>
      <c r="C78" s="36">
        <v>460</v>
      </c>
      <c r="D78" s="36">
        <v>8</v>
      </c>
      <c r="E78" s="37">
        <v>2236</v>
      </c>
    </row>
    <row r="79" spans="1:5" x14ac:dyDescent="0.25">
      <c r="A79" s="4" t="s">
        <v>148</v>
      </c>
      <c r="B79" s="36">
        <v>814</v>
      </c>
      <c r="C79" s="36">
        <v>94</v>
      </c>
      <c r="D79" s="36">
        <v>284</v>
      </c>
      <c r="E79" s="37">
        <v>1192</v>
      </c>
    </row>
    <row r="80" spans="1:5" x14ac:dyDescent="0.25">
      <c r="A80" s="4" t="s">
        <v>149</v>
      </c>
      <c r="B80" s="36">
        <v>1589</v>
      </c>
      <c r="C80" s="36">
        <v>2023</v>
      </c>
      <c r="D80" s="36">
        <v>3224</v>
      </c>
      <c r="E80" s="37">
        <v>6836</v>
      </c>
    </row>
    <row r="81" spans="1:5" x14ac:dyDescent="0.25">
      <c r="A81" s="4" t="s">
        <v>150</v>
      </c>
      <c r="B81" s="36">
        <v>424</v>
      </c>
      <c r="C81" s="36">
        <v>39</v>
      </c>
      <c r="D81" s="36"/>
      <c r="E81" s="37">
        <v>463</v>
      </c>
    </row>
    <row r="82" spans="1:5" x14ac:dyDescent="0.25">
      <c r="A82" s="4" t="s">
        <v>151</v>
      </c>
      <c r="B82" s="36">
        <v>1180</v>
      </c>
      <c r="C82" s="36">
        <v>396</v>
      </c>
      <c r="D82" s="36">
        <v>65</v>
      </c>
      <c r="E82" s="37">
        <v>1641</v>
      </c>
    </row>
    <row r="83" spans="1:5" x14ac:dyDescent="0.25">
      <c r="A83" s="4" t="s">
        <v>152</v>
      </c>
      <c r="B83" s="36">
        <v>7846</v>
      </c>
      <c r="C83" s="36">
        <v>2953</v>
      </c>
      <c r="D83" s="36">
        <v>298</v>
      </c>
      <c r="E83" s="37">
        <v>11097</v>
      </c>
    </row>
    <row r="84" spans="1:5" x14ac:dyDescent="0.25">
      <c r="A84" s="4" t="s">
        <v>153</v>
      </c>
      <c r="B84" s="36">
        <v>2624</v>
      </c>
      <c r="C84" s="36">
        <v>476</v>
      </c>
      <c r="D84" s="36"/>
      <c r="E84" s="37">
        <v>3100</v>
      </c>
    </row>
    <row r="85" spans="1:5" x14ac:dyDescent="0.25">
      <c r="A85" s="4" t="s">
        <v>154</v>
      </c>
      <c r="B85" s="36">
        <v>1578</v>
      </c>
      <c r="C85" s="36">
        <v>251</v>
      </c>
      <c r="D85" s="36">
        <v>85</v>
      </c>
      <c r="E85" s="37">
        <v>1914</v>
      </c>
    </row>
    <row r="86" spans="1:5" x14ac:dyDescent="0.25">
      <c r="A86" s="4" t="s">
        <v>155</v>
      </c>
      <c r="B86" s="36">
        <v>3058</v>
      </c>
      <c r="C86" s="36">
        <v>141</v>
      </c>
      <c r="D86" s="36">
        <v>301</v>
      </c>
      <c r="E86" s="37">
        <v>3500</v>
      </c>
    </row>
    <row r="87" spans="1:5" x14ac:dyDescent="0.25">
      <c r="A87" s="4" t="s">
        <v>156</v>
      </c>
      <c r="B87" s="36">
        <v>1192</v>
      </c>
      <c r="C87" s="36">
        <v>145</v>
      </c>
      <c r="D87" s="36">
        <v>162</v>
      </c>
      <c r="E87" s="37">
        <v>1499</v>
      </c>
    </row>
    <row r="88" spans="1:5" x14ac:dyDescent="0.25">
      <c r="A88" s="4" t="s">
        <v>157</v>
      </c>
      <c r="B88" s="36">
        <v>1823</v>
      </c>
      <c r="C88" s="36">
        <v>26</v>
      </c>
      <c r="D88" s="36">
        <v>33</v>
      </c>
      <c r="E88" s="37">
        <v>1882</v>
      </c>
    </row>
    <row r="89" spans="1:5" x14ac:dyDescent="0.25">
      <c r="A89" s="4" t="s">
        <v>269</v>
      </c>
      <c r="B89" s="36">
        <v>1063</v>
      </c>
      <c r="C89" s="36">
        <v>38</v>
      </c>
      <c r="D89" s="36">
        <v>212</v>
      </c>
      <c r="E89" s="37">
        <v>1313</v>
      </c>
    </row>
    <row r="90" spans="1:5" x14ac:dyDescent="0.25">
      <c r="A90" s="4" t="s">
        <v>158</v>
      </c>
      <c r="B90" s="36">
        <v>3015</v>
      </c>
      <c r="C90" s="36">
        <v>159</v>
      </c>
      <c r="D90" s="36">
        <v>464</v>
      </c>
      <c r="E90" s="37">
        <v>3638</v>
      </c>
    </row>
    <row r="91" spans="1:5" x14ac:dyDescent="0.25">
      <c r="A91" s="4" t="s">
        <v>159</v>
      </c>
      <c r="B91" s="36">
        <v>1460</v>
      </c>
      <c r="C91" s="36">
        <v>74</v>
      </c>
      <c r="D91" s="36">
        <v>1199</v>
      </c>
      <c r="E91" s="37">
        <v>2733</v>
      </c>
    </row>
    <row r="92" spans="1:5" x14ac:dyDescent="0.25">
      <c r="A92" s="4" t="s">
        <v>160</v>
      </c>
      <c r="B92" s="36">
        <v>905</v>
      </c>
      <c r="C92" s="36">
        <v>84</v>
      </c>
      <c r="D92" s="36">
        <v>90</v>
      </c>
      <c r="E92" s="37">
        <v>1079</v>
      </c>
    </row>
    <row r="93" spans="1:5" x14ac:dyDescent="0.25">
      <c r="A93" s="4" t="s">
        <v>161</v>
      </c>
      <c r="B93" s="36">
        <v>1378</v>
      </c>
      <c r="C93" s="36">
        <v>171</v>
      </c>
      <c r="D93" s="36">
        <v>37</v>
      </c>
      <c r="E93" s="37">
        <v>1586</v>
      </c>
    </row>
    <row r="94" spans="1:5" x14ac:dyDescent="0.25">
      <c r="A94" s="4" t="s">
        <v>162</v>
      </c>
      <c r="B94" s="36">
        <v>2147</v>
      </c>
      <c r="C94" s="36">
        <v>529</v>
      </c>
      <c r="D94" s="36">
        <v>2965</v>
      </c>
      <c r="E94" s="37">
        <v>5641</v>
      </c>
    </row>
    <row r="95" spans="1:5" x14ac:dyDescent="0.25">
      <c r="A95" s="4" t="s">
        <v>163</v>
      </c>
      <c r="B95" s="36">
        <v>919</v>
      </c>
      <c r="C95" s="36">
        <v>12</v>
      </c>
      <c r="D95" s="36"/>
      <c r="E95" s="37">
        <v>931</v>
      </c>
    </row>
    <row r="96" spans="1:5" x14ac:dyDescent="0.25">
      <c r="A96" s="4" t="s">
        <v>164</v>
      </c>
      <c r="B96" s="36">
        <v>990</v>
      </c>
      <c r="C96" s="36">
        <v>83</v>
      </c>
      <c r="D96" s="36">
        <v>1</v>
      </c>
      <c r="E96" s="37">
        <v>1074</v>
      </c>
    </row>
    <row r="97" spans="1:5" x14ac:dyDescent="0.25">
      <c r="A97" s="4" t="s">
        <v>293</v>
      </c>
      <c r="B97" s="36">
        <v>193</v>
      </c>
      <c r="C97" s="36">
        <v>56</v>
      </c>
      <c r="D97" s="36"/>
      <c r="E97" s="37">
        <v>249</v>
      </c>
    </row>
    <row r="98" spans="1:5" x14ac:dyDescent="0.25">
      <c r="A98" s="4" t="s">
        <v>165</v>
      </c>
      <c r="B98" s="36">
        <v>825</v>
      </c>
      <c r="C98" s="36">
        <v>173</v>
      </c>
      <c r="D98" s="36"/>
      <c r="E98" s="37">
        <v>998</v>
      </c>
    </row>
    <row r="99" spans="1:5" x14ac:dyDescent="0.25">
      <c r="A99" s="4" t="s">
        <v>166</v>
      </c>
      <c r="B99" s="36">
        <v>1077</v>
      </c>
      <c r="C99" s="36">
        <v>41</v>
      </c>
      <c r="D99" s="36">
        <v>14</v>
      </c>
      <c r="E99" s="37">
        <v>1132</v>
      </c>
    </row>
    <row r="100" spans="1:5" x14ac:dyDescent="0.25">
      <c r="A100" s="4" t="s">
        <v>428</v>
      </c>
      <c r="B100" s="36">
        <v>2</v>
      </c>
      <c r="C100" s="36"/>
      <c r="D100" s="36"/>
      <c r="E100" s="37">
        <v>2</v>
      </c>
    </row>
    <row r="101" spans="1:5" x14ac:dyDescent="0.25">
      <c r="A101" s="4" t="s">
        <v>167</v>
      </c>
      <c r="B101" s="36">
        <v>4193</v>
      </c>
      <c r="C101" s="36">
        <v>2078</v>
      </c>
      <c r="D101" s="36">
        <v>594</v>
      </c>
      <c r="E101" s="37">
        <v>6865</v>
      </c>
    </row>
    <row r="102" spans="1:5" x14ac:dyDescent="0.25">
      <c r="A102" s="4" t="s">
        <v>168</v>
      </c>
      <c r="B102" s="36">
        <v>3175</v>
      </c>
      <c r="C102" s="36">
        <v>561</v>
      </c>
      <c r="D102" s="36">
        <v>553</v>
      </c>
      <c r="E102" s="37">
        <v>4289</v>
      </c>
    </row>
    <row r="103" spans="1:5" x14ac:dyDescent="0.25">
      <c r="A103" s="4" t="s">
        <v>169</v>
      </c>
      <c r="B103" s="36">
        <v>1459</v>
      </c>
      <c r="C103" s="36">
        <v>215</v>
      </c>
      <c r="D103" s="36">
        <v>87</v>
      </c>
      <c r="E103" s="37">
        <v>1761</v>
      </c>
    </row>
    <row r="104" spans="1:5" x14ac:dyDescent="0.25">
      <c r="A104" s="4" t="s">
        <v>170</v>
      </c>
      <c r="B104" s="36">
        <v>1059</v>
      </c>
      <c r="C104" s="36">
        <v>54</v>
      </c>
      <c r="D104" s="36">
        <v>45</v>
      </c>
      <c r="E104" s="37">
        <v>1158</v>
      </c>
    </row>
    <row r="105" spans="1:5" x14ac:dyDescent="0.25">
      <c r="A105" s="4" t="s">
        <v>171</v>
      </c>
      <c r="B105" s="36">
        <v>4115</v>
      </c>
      <c r="C105" s="36">
        <v>30</v>
      </c>
      <c r="D105" s="36">
        <v>1199</v>
      </c>
      <c r="E105" s="37">
        <v>5344</v>
      </c>
    </row>
    <row r="106" spans="1:5" x14ac:dyDescent="0.25">
      <c r="A106" s="4" t="s">
        <v>172</v>
      </c>
      <c r="B106" s="36">
        <v>1477</v>
      </c>
      <c r="C106" s="36">
        <v>367</v>
      </c>
      <c r="D106" s="36">
        <v>4627</v>
      </c>
      <c r="E106" s="37">
        <v>6471</v>
      </c>
    </row>
    <row r="107" spans="1:5" x14ac:dyDescent="0.25">
      <c r="A107" s="4" t="s">
        <v>173</v>
      </c>
      <c r="B107" s="36">
        <v>1680</v>
      </c>
      <c r="C107" s="36">
        <v>43</v>
      </c>
      <c r="D107" s="36"/>
      <c r="E107" s="37">
        <v>1723</v>
      </c>
    </row>
    <row r="108" spans="1:5" x14ac:dyDescent="0.25">
      <c r="A108" s="4" t="s">
        <v>174</v>
      </c>
      <c r="B108" s="36">
        <v>305</v>
      </c>
      <c r="C108" s="36"/>
      <c r="D108" s="36"/>
      <c r="E108" s="37">
        <v>305</v>
      </c>
    </row>
    <row r="109" spans="1:5" x14ac:dyDescent="0.25">
      <c r="A109" s="4" t="s">
        <v>429</v>
      </c>
      <c r="B109" s="36">
        <v>130</v>
      </c>
      <c r="C109" s="36"/>
      <c r="D109" s="36"/>
      <c r="E109" s="37">
        <v>130</v>
      </c>
    </row>
    <row r="110" spans="1:5" x14ac:dyDescent="0.25">
      <c r="A110" s="4" t="s">
        <v>175</v>
      </c>
      <c r="B110" s="36">
        <v>1312</v>
      </c>
      <c r="C110" s="36">
        <v>148</v>
      </c>
      <c r="D110" s="36">
        <v>99</v>
      </c>
      <c r="E110" s="37">
        <v>1559</v>
      </c>
    </row>
    <row r="111" spans="1:5" x14ac:dyDescent="0.25">
      <c r="A111" s="4" t="s">
        <v>176</v>
      </c>
      <c r="B111" s="36">
        <v>2833</v>
      </c>
      <c r="C111" s="36">
        <v>461</v>
      </c>
      <c r="D111" s="36">
        <v>1045</v>
      </c>
      <c r="E111" s="37">
        <v>4339</v>
      </c>
    </row>
    <row r="112" spans="1:5" x14ac:dyDescent="0.25">
      <c r="A112" s="4" t="s">
        <v>177</v>
      </c>
      <c r="B112" s="36">
        <v>1628</v>
      </c>
      <c r="C112" s="36">
        <v>341</v>
      </c>
      <c r="D112" s="36">
        <v>228</v>
      </c>
      <c r="E112" s="37">
        <v>2197</v>
      </c>
    </row>
    <row r="113" spans="1:5" x14ac:dyDescent="0.25">
      <c r="A113" s="4" t="s">
        <v>178</v>
      </c>
      <c r="B113" s="36">
        <v>1423</v>
      </c>
      <c r="C113" s="36">
        <v>91</v>
      </c>
      <c r="D113" s="36">
        <v>2</v>
      </c>
      <c r="E113" s="37">
        <v>1516</v>
      </c>
    </row>
    <row r="114" spans="1:5" x14ac:dyDescent="0.25">
      <c r="A114" s="4" t="s">
        <v>179</v>
      </c>
      <c r="B114" s="36">
        <v>2650</v>
      </c>
      <c r="C114" s="36">
        <v>133</v>
      </c>
      <c r="D114" s="36">
        <v>437</v>
      </c>
      <c r="E114" s="37">
        <v>3220</v>
      </c>
    </row>
    <row r="115" spans="1:5" x14ac:dyDescent="0.25">
      <c r="A115" s="4" t="s">
        <v>180</v>
      </c>
      <c r="B115" s="36">
        <v>1607</v>
      </c>
      <c r="C115" s="36">
        <v>240</v>
      </c>
      <c r="D115" s="36"/>
      <c r="E115" s="37">
        <v>1847</v>
      </c>
    </row>
    <row r="116" spans="1:5" x14ac:dyDescent="0.25">
      <c r="A116" s="4" t="s">
        <v>181</v>
      </c>
      <c r="B116" s="36">
        <v>1932</v>
      </c>
      <c r="C116" s="36">
        <v>118</v>
      </c>
      <c r="D116" s="36">
        <v>153</v>
      </c>
      <c r="E116" s="37">
        <v>2203</v>
      </c>
    </row>
    <row r="117" spans="1:5" x14ac:dyDescent="0.25">
      <c r="A117" s="4" t="s">
        <v>182</v>
      </c>
      <c r="B117" s="36">
        <v>2718</v>
      </c>
      <c r="C117" s="36">
        <v>458</v>
      </c>
      <c r="D117" s="36">
        <v>6362</v>
      </c>
      <c r="E117" s="37">
        <v>9538</v>
      </c>
    </row>
    <row r="118" spans="1:5" x14ac:dyDescent="0.25">
      <c r="A118" s="4" t="s">
        <v>294</v>
      </c>
      <c r="B118" s="36">
        <v>175</v>
      </c>
      <c r="C118" s="36">
        <v>4</v>
      </c>
      <c r="D118" s="36">
        <v>1</v>
      </c>
      <c r="E118" s="37">
        <v>180</v>
      </c>
    </row>
    <row r="119" spans="1:5" x14ac:dyDescent="0.25">
      <c r="A119" s="4" t="s">
        <v>183</v>
      </c>
      <c r="B119" s="36">
        <v>2939</v>
      </c>
      <c r="C119" s="36">
        <v>311</v>
      </c>
      <c r="D119" s="36">
        <v>1377</v>
      </c>
      <c r="E119" s="37">
        <v>4627</v>
      </c>
    </row>
    <row r="120" spans="1:5" x14ac:dyDescent="0.25">
      <c r="A120" s="4" t="s">
        <v>430</v>
      </c>
      <c r="B120" s="36">
        <v>610</v>
      </c>
      <c r="C120" s="36">
        <v>13</v>
      </c>
      <c r="D120" s="36"/>
      <c r="E120" s="37">
        <v>623</v>
      </c>
    </row>
    <row r="121" spans="1:5" x14ac:dyDescent="0.25">
      <c r="A121" s="4" t="s">
        <v>184</v>
      </c>
      <c r="B121" s="36">
        <v>1142</v>
      </c>
      <c r="C121" s="36">
        <v>369</v>
      </c>
      <c r="D121" s="36">
        <v>1190</v>
      </c>
      <c r="E121" s="37">
        <v>2701</v>
      </c>
    </row>
    <row r="122" spans="1:5" x14ac:dyDescent="0.25">
      <c r="A122" s="4" t="s">
        <v>185</v>
      </c>
      <c r="B122" s="36">
        <v>296</v>
      </c>
      <c r="C122" s="36"/>
      <c r="D122" s="36">
        <v>119</v>
      </c>
      <c r="E122" s="37">
        <v>415</v>
      </c>
    </row>
    <row r="123" spans="1:5" x14ac:dyDescent="0.25">
      <c r="A123" s="4" t="s">
        <v>280</v>
      </c>
      <c r="B123" s="36">
        <v>258</v>
      </c>
      <c r="C123" s="36"/>
      <c r="D123" s="36"/>
      <c r="E123" s="37">
        <v>258</v>
      </c>
    </row>
    <row r="124" spans="1:5" x14ac:dyDescent="0.25">
      <c r="A124" s="4" t="s">
        <v>186</v>
      </c>
      <c r="B124" s="36">
        <v>247</v>
      </c>
      <c r="C124" s="36"/>
      <c r="D124" s="36"/>
      <c r="E124" s="37">
        <v>247</v>
      </c>
    </row>
    <row r="125" spans="1:5" x14ac:dyDescent="0.25">
      <c r="A125" s="4" t="s">
        <v>187</v>
      </c>
      <c r="B125" s="36">
        <v>3182</v>
      </c>
      <c r="C125" s="36">
        <v>907</v>
      </c>
      <c r="D125" s="36">
        <v>1007</v>
      </c>
      <c r="E125" s="37">
        <v>5096</v>
      </c>
    </row>
    <row r="126" spans="1:5" x14ac:dyDescent="0.25">
      <c r="A126" s="4" t="s">
        <v>188</v>
      </c>
      <c r="B126" s="36">
        <v>646</v>
      </c>
      <c r="C126" s="36">
        <v>73</v>
      </c>
      <c r="D126" s="36"/>
      <c r="E126" s="37">
        <v>719</v>
      </c>
    </row>
    <row r="127" spans="1:5" x14ac:dyDescent="0.25">
      <c r="A127" s="4" t="s">
        <v>189</v>
      </c>
      <c r="B127" s="36">
        <v>194</v>
      </c>
      <c r="C127" s="36">
        <v>602</v>
      </c>
      <c r="D127" s="36">
        <v>1233</v>
      </c>
      <c r="E127" s="37">
        <v>2029</v>
      </c>
    </row>
    <row r="128" spans="1:5" x14ac:dyDescent="0.25">
      <c r="A128" s="4" t="s">
        <v>190</v>
      </c>
      <c r="B128" s="36">
        <v>5236</v>
      </c>
      <c r="C128" s="36">
        <v>615</v>
      </c>
      <c r="D128" s="36">
        <v>1282</v>
      </c>
      <c r="E128" s="37">
        <v>7133</v>
      </c>
    </row>
    <row r="129" spans="1:5" x14ac:dyDescent="0.25">
      <c r="A129" s="4" t="s">
        <v>191</v>
      </c>
      <c r="B129" s="36">
        <v>4694</v>
      </c>
      <c r="C129" s="36">
        <v>325</v>
      </c>
      <c r="D129" s="36"/>
      <c r="E129" s="37">
        <v>5019</v>
      </c>
    </row>
    <row r="130" spans="1:5" x14ac:dyDescent="0.25">
      <c r="A130" s="4" t="s">
        <v>192</v>
      </c>
      <c r="B130" s="36">
        <v>1438</v>
      </c>
      <c r="C130" s="36">
        <v>77</v>
      </c>
      <c r="D130" s="36"/>
      <c r="E130" s="37">
        <v>1515</v>
      </c>
    </row>
    <row r="131" spans="1:5" x14ac:dyDescent="0.25">
      <c r="A131" s="4" t="s">
        <v>193</v>
      </c>
      <c r="B131" s="36">
        <v>2254</v>
      </c>
      <c r="C131" s="36">
        <v>191</v>
      </c>
      <c r="D131" s="36"/>
      <c r="E131" s="37">
        <v>2445</v>
      </c>
    </row>
    <row r="132" spans="1:5" x14ac:dyDescent="0.25">
      <c r="A132" s="4" t="s">
        <v>194</v>
      </c>
      <c r="B132" s="36">
        <v>7453</v>
      </c>
      <c r="C132" s="36"/>
      <c r="D132" s="36"/>
      <c r="E132" s="37">
        <v>7453</v>
      </c>
    </row>
    <row r="133" spans="1:5" x14ac:dyDescent="0.25">
      <c r="A133" s="4" t="s">
        <v>195</v>
      </c>
      <c r="B133" s="36">
        <v>683</v>
      </c>
      <c r="C133" s="36">
        <v>12</v>
      </c>
      <c r="D133" s="36">
        <v>227</v>
      </c>
      <c r="E133" s="37">
        <v>922</v>
      </c>
    </row>
    <row r="134" spans="1:5" x14ac:dyDescent="0.25">
      <c r="A134" s="5" t="s">
        <v>4</v>
      </c>
      <c r="B134" s="37">
        <f>SUM(B5:B133)</f>
        <v>223835</v>
      </c>
      <c r="C134" s="37">
        <f t="shared" ref="C134:E134" si="0">SUM(C5:C133)</f>
        <v>19210</v>
      </c>
      <c r="D134" s="37">
        <f t="shared" si="0"/>
        <v>33269</v>
      </c>
      <c r="E134" s="37">
        <f t="shared" si="0"/>
        <v>276314</v>
      </c>
    </row>
    <row r="135" spans="1:5" x14ac:dyDescent="0.25">
      <c r="A135" s="34"/>
      <c r="B135" s="39"/>
      <c r="C135" s="39"/>
      <c r="D135" s="39"/>
      <c r="E135" s="39"/>
    </row>
    <row r="136" spans="1:5" x14ac:dyDescent="0.25">
      <c r="A136" s="34"/>
      <c r="B136" s="39"/>
      <c r="C136" s="39"/>
      <c r="D136" s="39"/>
      <c r="E136" s="39"/>
    </row>
    <row r="137" spans="1:5" x14ac:dyDescent="0.25">
      <c r="A137" s="34"/>
      <c r="B137" s="39"/>
      <c r="C137" s="39"/>
      <c r="D137" s="39"/>
      <c r="E137" s="39"/>
    </row>
    <row r="138" spans="1:5" x14ac:dyDescent="0.25">
      <c r="A138" s="61" t="s">
        <v>238</v>
      </c>
      <c r="B138" s="39"/>
      <c r="C138" s="39"/>
      <c r="D138" s="39"/>
      <c r="E138" s="39"/>
    </row>
    <row r="139" spans="1:5" x14ac:dyDescent="0.25">
      <c r="A139" s="34"/>
      <c r="B139" s="39"/>
      <c r="C139" s="39"/>
      <c r="D139" s="39"/>
      <c r="E139" s="39"/>
    </row>
    <row r="140" spans="1:5" x14ac:dyDescent="0.25">
      <c r="A140" s="62" t="s">
        <v>21</v>
      </c>
      <c r="B140" s="39"/>
      <c r="C140" s="39"/>
      <c r="D140" s="39"/>
      <c r="E140" s="39"/>
    </row>
    <row r="141" spans="1:5" x14ac:dyDescent="0.25">
      <c r="A141" s="34"/>
      <c r="B141" s="39"/>
      <c r="C141" s="39"/>
      <c r="D141" s="39"/>
      <c r="E141" s="39"/>
    </row>
  </sheetData>
  <hyperlinks>
    <hyperlink ref="A140" location="Indice!A5" display="Volver al índice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</vt:lpstr>
      <vt:lpstr>Titulación Total 2021</vt:lpstr>
      <vt:lpstr>Evolución Titulación Total</vt:lpstr>
      <vt:lpstr>Titulación Pregrado 2021</vt:lpstr>
      <vt:lpstr>Evolución Titulación Pregrado</vt:lpstr>
      <vt:lpstr>Titulación Posgrado 2021</vt:lpstr>
      <vt:lpstr>Evolución Titulación Posgrado</vt:lpstr>
      <vt:lpstr>Titulacion Postitulo 2021</vt:lpstr>
      <vt:lpstr>Evolucion Titulacion Postitulo</vt:lpstr>
      <vt:lpstr>Listado de Instituciones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Salamanca Velazquez</dc:creator>
  <cp:lastModifiedBy>Usuario de Windows</cp:lastModifiedBy>
  <dcterms:created xsi:type="dcterms:W3CDTF">2015-09-10T13:36:10Z</dcterms:created>
  <dcterms:modified xsi:type="dcterms:W3CDTF">2022-06-07T13:22:58Z</dcterms:modified>
</cp:coreProperties>
</file>